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Papers" sheetId="1" r:id="rId1"/>
    <sheet name="01-Core-DPF" sheetId="2" r:id="rId2"/>
    <sheet name="02-Z-Pinch" sheetId="3" r:id="rId3"/>
    <sheet name="03-MHD-Numerics" sheetId="4" r:id="rId4"/>
    <sheet name="04-Plasma-Physics" sheetId="5" r:id="rId5"/>
    <sheet name="05-Nuclear-Radiation" sheetId="6" r:id="rId6"/>
    <sheet name="06-Circuit-Engineering" sheetId="7" r:id="rId7"/>
    <sheet name="07-Diagnostics" sheetId="8" r:id="rId8"/>
    <sheet name="08-Electrodes-Materials" sheetId="9" r:id="rId9"/>
    <sheet name="09-Machine-Learning" sheetId="10" r:id="rId10"/>
    <sheet name="10-Uncertainty-Quantification" sheetId="11" r:id="rId11"/>
    <sheet name="12-Textbooks" sheetId="12" r:id="rId12"/>
    <sheet name="13-Computing" sheetId="13" r:id="rId13"/>
    <sheet name="15-Adjacent-Fields" sheetId="14" r:id="rId14"/>
    <sheet name="16-LAPD-Dataset-Plots" sheetId="15" r:id="rId15"/>
    <sheet name="17-Archive-Unsorted" sheetId="16" r:id="rId16"/>
    <sheet name="Equations" sheetId="17" r:id="rId17"/>
    <sheet name="Key Terms" sheetId="18" r:id="rId18"/>
    <sheet name="Methods Summary" sheetId="19" r:id="rId19"/>
    <sheet name="Domain Analysis" sheetId="20" r:id="rId20"/>
    <sheet name="AI-Physics Crossovers" sheetId="21" r:id="rId21"/>
  </sheets>
  <calcPr calcId="124519" fullCalcOnLoad="1"/>
</workbook>
</file>

<file path=xl/sharedStrings.xml><?xml version="1.0" encoding="utf-8"?>
<sst xmlns="http://schemas.openxmlformats.org/spreadsheetml/2006/main" count="41984" uniqueCount="7753">
  <si>
    <t>ID</t>
  </si>
  <si>
    <t>Category</t>
  </si>
  <si>
    <t>Title</t>
  </si>
  <si>
    <t>Authors</t>
  </si>
  <si>
    <t>Year</t>
  </si>
  <si>
    <t>DOI</t>
  </si>
  <si>
    <t>ArXiv</t>
  </si>
  <si>
    <t>Abstract</t>
  </si>
  <si>
    <t>Page Count</t>
  </si>
  <si>
    <t>Methods</t>
  </si>
  <si>
    <t>Domain Tags</t>
  </si>
  <si>
    <t>01-Core-DPF</t>
  </si>
  <si>
    <t>Accelerating kinetic plasma simulations with machine-learning-generated initial conditions</t>
  </si>
  <si>
    <t>10.1063/5.0304576</t>
  </si>
  <si>
    <t>Computational models of plasma technologies often solve for the system operating conditions by time-stepping an initial value problem to aquasi-steady solution. However, the strongly nonlinear and multi-timescale nature of plasma dynamics often necessitate millions, or evenhundreds of millions, of steps to reach convergence, reducing the effectiveness of these simulations for computer-aided engineering. We con-sider acceleration of kinetic plasma simulations via data-driven machine-learning-g</t>
  </si>
  <si>
    <t>simulation; experimental; machine_learning</t>
  </si>
  <si>
    <t>dense_plasma_focus; plasma_physics; nuclear_fusion; machine_learning; turbulence; particle_methods; ai_scientific_discovery</t>
  </si>
  <si>
    <t>Deuterium–argon admixture for plasma focus neutron generation</t>
  </si>
  <si>
    <t>Muhammad Luqman Haqqim Omar</t>
  </si>
  <si>
    <t>10.1140/epjp/s13360-026-07342-z</t>
  </si>
  <si>
    <t>The plasma pinch generated by plasma focus discharge features a spatially asymmetric ion acceleration due to the rapidchange of the localized electromagnetic ﬁeld. The neutron emission is attributed to deuteron beam interaction at the proximitiesof the plasma pinch and thermonuclear reaction in the pinch. Neutron is produced by more than the thermonuclear reaction, withtwo phases of neutron emissions clearly identiﬁed to have correlated with at least two different mechanisms. We investigated th</t>
  </si>
  <si>
    <t>experimental</t>
  </si>
  <si>
    <t>dense_plasma_focus; plasma_physics; nuclear_fusion; diagnostics; electrode_materials</t>
  </si>
  <si>
    <t>JAP25-AR-06283 1..12</t>
  </si>
  <si>
    <t>10.1063/5.0311453</t>
  </si>
  <si>
    <t>In this work, the dynamics and formation mechanisms of Z-pinch plasma in a coaxial plasma gun were investigated. By using arrays ofmagnetic probes, calorimeters, and ballistic pendulums, the profiles of current and Lorentz force density, plasma momentum, and kineticenergy were detected. It was revealed that the flow Z-pinch was governed by a radial compression process consisting of two distinct stages.After being ejected from the inter-electrode gap, the plasma was first concentrated in the n</t>
  </si>
  <si>
    <t>experimental; machine_learning</t>
  </si>
  <si>
    <t>dense_plasma_focus; z_pinch; plasma_physics; nuclear_fusion; diagnostics; electrode_materials</t>
  </si>
  <si>
    <t>On modeling nonlinear phenomena under the</t>
  </si>
  <si>
    <t>10.1209/0295-5075/ae3ee1</t>
  </si>
  <si>
    <t>– The quadratic response function (QRF) of a dense plasma in a constant magneticﬁeld to an electromagnetic ﬁeld is considered. To d etermine this function, a self-consistent modelapproach was applied based on the use of the quadratic ﬂuctuation-dissipative theorem (FDT),frequency moments for the quadratic dense plasma reaction function, and explicit approximationfor QRF with a ﬁtting parameter. The conditions of using QRF for the interpretation of lab-oratory experiments on the study of nonl</t>
  </si>
  <si>
    <t>dense_plasma_focus; plasma_physics; machine_learning</t>
  </si>
  <si>
    <t>Bennett Vorticity: Analytic solutions to a flowing, nonlinear, Shear-Flow Stabilized Z-pinch equilibrium</t>
  </si>
  <si>
    <t>Matt Russell</t>
  </si>
  <si>
    <t>dense_plasma_focus; z_pinch; mhd; plasma_physics; nuclear_fusion; turbulence; physics_informed_ml</t>
  </si>
  <si>
    <t>DPF-Bi-RRT&lt;sup&gt;*&lt;/sup&gt;: An Improved Path Planning Algorithm for Complex 3D Environments With Adaptive Sampling and Dual Potential Field Strategy</t>
  </si>
  <si>
    <t>This research work, we introduce a path planning algorithm called DPF-Bi-RRT∗whichintegrates a Dual Potential Field mechanism with a Targeted Sampling Strategy to address path planningissues in complex 3D spaces. The algorithm achieves a good trade off between the global path optimizationand precise local obstacle avoidance by combining dual-attraction and dual-repulsion mechanisms. Thealgorithm achieves effective exploration of path regions of high quality by dynamically adjusting thesampl</t>
  </si>
  <si>
    <t>simulation; machine_learning; data_analysis</t>
  </si>
  <si>
    <t>dense_plasma_focus; machine_learning</t>
  </si>
  <si>
    <t>Deuterium hybrid X-pinch driven by small dense plasma focus</t>
  </si>
  <si>
    <t>Jan Novotny,Vojtech Munzar,Jakub Cikhardt,Balzima Cikhardtova,Vojtech Juras,Pavel Kubes,Jakub Malir,Karel Rezac,Daniel Klir</t>
  </si>
  <si>
    <t>10.1088/1361-6587/ae2d96</t>
  </si>
  <si>
    <t>ThisstudypresentsaproofoftheconceptofadeuteriumhybridX-pinchconfiguration,drivenbya3kJdenseplasmafocus(PFZ-200)attheCzechTechnicalUniversityinPrague.Thesystemconsistsoftwoopposingconicalelectrodesfilledwithdeuteriumgas,formingapoint-likesourceofDDfusionprotonsviaD(d,p)Treactions.Twoaxialanode–cathodegapsof3and5mmwereinvestigated.KeydiagnosticsincludedCR-39-basedprotonimaging,pinholecamera,andenergyspectrometry.ThesmallerA–Kgap(3mm)producedacompact,nearlycircularprotonsourcewithadiameterof1</t>
  </si>
  <si>
    <t>dense_plasma_focus; z_pinch; plasma_physics; nuclear_fusion; radiation; electrode_materials</t>
  </si>
  <si>
    <t>Double 3 MJ dense plasma focus</t>
  </si>
  <si>
    <t>10.1038/s41598-025-96736-7</t>
  </si>
  <si>
    <t>typically composed of deuterium-tritium ( DT), in a controlled environment to sustain fusion reactions11–15. The primary devices used for MCF include Tokamaks, which utilize toroidal (doughnut-shaped) magnetic fields to confine plasma, achieving high stability and temperature. Stellarators employ complex, non-axisymmetric magnetic field geometries to maintain pl</t>
  </si>
  <si>
    <t>dense_plasma_focus; mhd; plasma_physics; nuclear_fusion; radiation; pulsed_power; electrode_materials; turbulence</t>
  </si>
  <si>
    <t>Experimental investigation of plasma-electrode interactions on the ZaP-HD sheared-flow-stabilized Z-pinch device</t>
  </si>
  <si>
    <t>Amierul Aqil Khairi; Uri Shumlak</t>
  </si>
  <si>
    <t>Experimental results and analysis</t>
  </si>
  <si>
    <t>10.1038/s41598-025-07939-x</t>
  </si>
  <si>
    <t>accelerated into a multitude of micro beams, which collectively form a second pulse of fast ion beam with higher energies than the first, up to MeV , primarily directed away from the anode1,2. Thus, the first dynamics-induced pulse of fast ion beams is produced just before stagnation, while the second pulse is generated toward the end of the pinch phase, merging from a multitude of instability-produced micro ion beams.In a deuterium or deuterium-–tritium mix, fusion occurs via beam-target fu</t>
  </si>
  <si>
    <t>Faeton-I: Investigation of plasma dynamics and</t>
  </si>
  <si>
    <t>10.21203/rs.3.rs-6466595/v1</t>
  </si>
  <si>
    <t>Faeton-I (F-I) is the highest direct-charged voltage plasma focus (PF), at 100 kV, 1 MA peak current. F-I produces consistent2.5×1010D-D neutrons/shot, over 3 MeV X-rays and ∼350keV deuterons, demonstrating unique combined neutron-gammaenvironment. Its peak neutron yield was recorded at 8×1010neutrons/shot at 12 torr deuterium. The overall best peakdynamics-induced pinch voltage of the F-I was measured at 194 kV. A major difﬁculty anticipated for PF operation athigh-voltage and high-current</t>
  </si>
  <si>
    <t>Measurement of electric flux emission: a new diagnostic for the dense plasma focus</t>
  </si>
  <si>
    <t>A B Blagoev</t>
  </si>
  <si>
    <t>10.1088/1402-4896/adfd1f</t>
  </si>
  <si>
    <t>Thispaperpresentsanoveldiagnostic technique forinvestigating thesymmetry oftheplasmaformation processintheDensePlasmaFocus (DPF)device.TheDPF,ascalablelaboratory plasmadevicedeveloped inthe1960s,hasbeenextensively studiedwithvariousgasfillsandconsidered forabroadrangeofapplications—including commercial fusionenergy,short-lived radioisotopeproduction formedicalimagingandbrachytherapy, nano-scale industrial coatings,anddeep-spacepropulsion. However, achieving reliableandreproducible operation</t>
  </si>
  <si>
    <t>experimental; machine_learning; simulation</t>
  </si>
  <si>
    <t>dense_plasma_focus; plasma_physics; nuclear_fusion; electrode_materials; turbulence</t>
  </si>
  <si>
    <t>Neutron generation dynamics inside a MA-class dense plasma focus Z-pinch</t>
  </si>
  <si>
    <t>10.1063/5.0253547</t>
  </si>
  <si>
    <t>Dense plasma focii (DPFs) are appealing as energy efficient sources of short pulses of ions, neutrons, and x rays. The output of these sourcesis expected to scale with input current ( I4), but has been shown to drop at the MA level [S. K. H. Auluck, “On the failure of neutron yieldscaling in the dense plasma focus, ”Phys. Plasmas 30, 080701 (2023)]. New results on the MegaJOuLe Neutron Imaging Radiography DPFshowed neutron yield production in agreement with the input current scaling beyond th</t>
  </si>
  <si>
    <t>experimental; simulation; machine_learning</t>
  </si>
  <si>
    <t>dense_plasma_focus; z_pinch; mhd; plasma_physics; nuclear_fusion; pulsed_power; electrode_materials; particle_methods</t>
  </si>
  <si>
    <t>Nitrogen ion irradiation of carbon thin films using a dense plasma focus: enhanced doping and structural modifications</t>
  </si>
  <si>
    <t>H. P. Wante</t>
  </si>
  <si>
    <t>10.1140/epjp/s13360-025-06761-8</t>
  </si>
  <si>
    <t>Activated carbons (ACs) are widely used in supercapacitors and batteries due to their high surface area, well-developedporosity, cost-effectiveness, and scalability, making them ideal for commercial energy storage applications. In this study, carbonderived from coconut shells was processed into a thin ﬁlm on a nickel substrate, synthesized via doctor blade deposition, andsubjected to nitrogen ion beam irradiation (6, 12, and 24 shots) using a 3.0 kJ dense plasma focus (PF) device, operated at 2</t>
  </si>
  <si>
    <t>dense_plasma_focus; plasma_physics; nuclear_fusion; electrode_materials</t>
  </si>
  <si>
    <t>Plasma Physics and Technology</t>
  </si>
  <si>
    <t>10.14311/ppt.2025.1.1</t>
  </si>
  <si>
    <t>In this paper, plasma emissions (radiative recombination, bremsstrahlung, and lineradiation) from a mega-joule plasma focus (PF1000) device is studied using the Lee code for nitrogen(N2), oxygen (O 2) and argon (Ar) gases with pressure variation in the range of (0.05–2.5)Torr. Iondensity, plasma velocity, pinch temperature, Joule heating, peak current, and minimum pinch radiusare also obtained with pressure change for each of the gases. It is found that the line radiation ispredominant comp</t>
  </si>
  <si>
    <t>dense_plasma_focus; plasma_physics; nuclear_fusion; radiation; pulsed_power; electrode_materials</t>
  </si>
  <si>
    <t>稠密等离子体焦点运动过程的理论和数值研究*</t>
  </si>
  <si>
    <t>SoWise</t>
  </si>
  <si>
    <t>10.7498/aps.74.20250040</t>
  </si>
  <si>
    <t>1 引 言稠密等离子体焦点(DPF)装置是一种快脉冲(μs量级)、大电流(数百kA到数MA)的等离子体放电装置, 能够以简单高效的放电形式产生高温(~107 K)、高速(105—106 m/s)和高密度(1023—1026 m–3)的等离子体[1,2]. 稠密等离子体焦点不仅可用于工业和科技领域中改善材料表面、制备纳米材料[3–10], 还可作为关键装置应用于国防领域, 例如粒子加速器[11]、空间推进[12,13]、脉冲中子源[14,15]等.DPF最早是20世纪60年代由苏联的Fillpov[1]和美国的Mather[2]独立提出的. 基于探索受控核聚变的需求, 70—90年代欧洲和美国建立了一系列大型MA量级的DPF装置, 如美国的DPF-6装置[16]、法国的Liemeil装置[17]、德国的POSEIDON[18]和SPEED装置[19]、意大利的Frascati装置[20]、波兰的PF-1000装置[21]等, 其D-D中子产额均达到了1011—1012/脉冲(D-T中子产额超过1013/脉冲).近年来, 在国防尖端领域的需求牵引下, 美</t>
  </si>
  <si>
    <t>dense_plasma_focus; z_pinch; mhd; plasma_physics</t>
  </si>
  <si>
    <t>Journal of Applied Research and Technology</t>
  </si>
  <si>
    <t>Yolanda G.G.</t>
  </si>
  <si>
    <t>The fluence of a deuteron beam emitted from three dense plasma focus (DPF) devices, PF -1000, MPEF -12 kJ and PF -2.7 kJ, versus deuterium gas pressure was simulated and studied using the adapted Lee model code (RADPFV6.16FIB). The computed fluences were then compared to the reported measured values of these devices at certain distances from the pinch, where the comparison showed good agreement including within the range of errors. Furthermore, many numerical experiments using the Lee code</t>
  </si>
  <si>
    <t>experimental; simulation</t>
  </si>
  <si>
    <t>NUMERICAL MODELING OF LIQUID WALL FLOWS FOR FUSION</t>
  </si>
  <si>
    <t>During the Z-Pinch fusion process, electric current is injected into liquid metal from the plasmacolumn, generating Lorentz forces that deform the liquid metal’s free surface. Modeling this phe-nomenon is essential for assessing the feasibility of using liquid metal as an electrode wall in fusiondevices. Traditionally, such problems, where liquid metal is exposed to electromagnetic forces, aremodeled using magneto-hydrodynamic (MHD) formulation, which is more suitable for cases withoutexter</t>
  </si>
  <si>
    <t>analytical; machine_learning; experimental; simulation</t>
  </si>
  <si>
    <t>dense_plasma_focus; z_pinch; mhd; plasma_physics; nuclear_fusion; numerical_methods; electrode_materials</t>
  </si>
  <si>
    <t>Poloidal magnetic field in the dense plasma focus</t>
  </si>
  <si>
    <t>S. K. H. Auluck</t>
  </si>
  <si>
    <t>10.1063/5.0189593</t>
  </si>
  <si>
    <t>experimental; review</t>
  </si>
  <si>
    <t>dense_plasma_focus; z_pinch; plasma_physics; nuclear_fusion; diagnostics</t>
  </si>
  <si>
    <t>Received 29 March 2024, accepted 9 April 2024, date of publication 11 April 2024, date of current version 22 April 2024.</t>
  </si>
  <si>
    <t>Previous studies on discharge dynamics have primarily focused on the generation and migrationof the charged particles and neglecting the influence of neutral excited-state particles. In this study,an integrated approach combining experiment and simulation was used to investigate the effect of neutralexcited particles on discharge development. Firstly, partial discharge was induced by applying voltage to apin-plate electrode in a darkroom environment and the emission spectrum of discharge was</t>
  </si>
  <si>
    <t>dense_plasma_focus; plasma_physics; nuclear_fusion; radiation; numerical_methods; electrode_materials</t>
  </si>
  <si>
    <t>SANDIA REPORT</t>
  </si>
  <si>
    <t>simulation; machine_learning</t>
  </si>
  <si>
    <t>dense_plasma_focus; z_pinch; mhd; plasma_physics; radiation; particle_methods</t>
  </si>
  <si>
    <t>Simulations of nozzle gas flow and gas-puff Z-pinch implosions on the Weizmann Z-pinch</t>
  </si>
  <si>
    <t>10.1063/5.0202237</t>
  </si>
  <si>
    <t>We present simulations of an oxygen gas puff Z-pinch on a University scale generator at the Weizmann Institute of Science. The workaccounts for the detailed geometry of the nozzle, the initial neutral gas density distribution, and the subsequent implosion. The modelingresults show significant improvement with data for the current at the time of stagnation in comparison with a previous effort [Rosenzweiget al. , Phys. Plasmas 27, 022705 (2020)]. As a first step, we performed simulations of the</t>
  </si>
  <si>
    <t>dense_plasma_focus; z_pinch; mhd; plasma_physics; radiation; diagnostics; electrode_materials; circuit_modeling</t>
  </si>
  <si>
    <t>Study of the plasma pinch and ion beam properties</t>
  </si>
  <si>
    <t>PcMax</t>
  </si>
  <si>
    <t>10.21203/rs.3.rs-4002830/v1</t>
  </si>
  <si>
    <t>This study presents the results of a series of numerical experiments that were carried out using Lee code in order to study the properties of plasma pinch versus nitrogen gas pressure and its effect on the number and energy of ion beams emitted from the two dense plasma focus devices PF400 and APF. The results showed that the number of nitrogen ions are 7.9 × 1013𝑖𝑜𝑛𝑠 (for PF400) and 3.82×1014𝑖𝑜𝑛𝑠 (for APF) , while the highest beam energy is 18 J for APF, due to the effect of the operatin</t>
  </si>
  <si>
    <t>dense_plasma_focus; z_pinch; plasma_physics; nuclear_fusion; radiation; pulsed_power; electrode_materials</t>
  </si>
  <si>
    <t>CORRECTIONJournal of Fusion Energy (2023) 42:9</t>
  </si>
  <si>
    <t>10.1007/s10894-023-00348-w</t>
  </si>
  <si>
    <t>of this article unfortunately had a mis -print of the unit for highest nτT product. The corrected text should read “the highest nτT product of 3.4 × 10 20 keV-s/m3”. This has been corrected by publishing this correction article.The original version has been updated.Open Access This article is licensed under a Creative Commons Attribution 4.0 International License, which permits use, sharing, The online version of the original article can be found at https://doi.org/10.1007/s10894-023-00</t>
  </si>
  <si>
    <t>dense_plasma_focus; plasma_physics; nuclear_fusion</t>
  </si>
  <si>
    <t>Focus Fusion: Overview of Progress Towards p-B11 Fusion with the Dense Plasma Focus</t>
  </si>
  <si>
    <t>Eric J. Lerner</t>
  </si>
  <si>
    <t>10.1007/s10894-023-00345-z</t>
  </si>
  <si>
    <t>LPPFusion is developing a source of fusion energy using the dense plasma focus device and p-B11fuel, a combination wecall Focus Fusion. So far, this project has led to the achievement of the highest conﬁned ion energies of any fusionexperiment ( [200 keV) as well as, recently, the lowest impurities of any fusion plasma. Among privately-funded fusionefforts, our experiments have achieved the highest ratio of fusion energy generation to device energy input (wall-plugefﬁciency) and the highest n</t>
  </si>
  <si>
    <t>dense_plasma_focus; plasma_physics; nuclear_fusion; radiation; diagnostics; pulsed_power; electrode_materials</t>
  </si>
  <si>
    <t>Investigation of optical properties and chemical structure of Nd2O3</t>
  </si>
  <si>
    <t>10.21203/rs.3.rs-2946288/v1</t>
  </si>
  <si>
    <t>In this study, nanoparticles of neodymium oxide were deposited on NaX zeolite powder using a 5.3 kJ Mather ‒ type plasma focus device.The NaX zeolite samples were exposed to the 10, 15, and 20 shot numbers of the plasma focus device at a distance of 14 cm from theanode tip and 0 angular positions with respect to the anode axis. Parent NaX zeolite and NaX:Nd composites with different Nd2O3 percentweights were characterized using different techniques such as; XRF, XRD, SEM, FT ‒ IR, and UV ‒ vi</t>
  </si>
  <si>
    <t>dense_plasma_focus; plasma_physics; radiation; electrode_materials</t>
  </si>
  <si>
    <t>On the failure of neutron yield scaling in the Dense Plasma Focus</t>
  </si>
  <si>
    <t>Avani Avanti</t>
  </si>
  <si>
    <t>Abstract: The observed sc aling of neutron yield in the Dense Plasma Focus (DPF) as the fourth power of the current in the plasma was the princ ipal driver of the growth of DPF research in its early days. Subsequent discovery of f ailure of this scaling law was also the principal reason for its abandonment by major laboratories. Attempts to understand this failure of scaling have so far been inconc lusive. This letter looks at this failure in the context of the recently introduced Genera</t>
  </si>
  <si>
    <t>dense_plasma_focus; mhd; plasma_physics; nuclear_fusion; pulsed_power; physics_informed_ml</t>
  </si>
  <si>
    <t>S K H Auluck</t>
  </si>
  <si>
    <t>Space propulsion is unique among many proposed applications of the Dense Plasma Focus in being critically dependent on the availability of a scaling theory that is well -grounded in physics, in conformity with existing experimental knowledge and applicable to experimentally untested configurations. This paper derives such a first -principles -based scaling theory and illustrates its application to a novel space propulsion c oncept, where the plasma focus sheath is employed as a power densit</t>
  </si>
  <si>
    <t>experimental; machine_learning; review</t>
  </si>
  <si>
    <t>dense_plasma_focus; z_pinch; mhd; plasma_physics; nuclear_fusion; pulsed_power; electrode_materials</t>
  </si>
  <si>
    <t>SAND2023-05021C</t>
  </si>
  <si>
    <t>The Ar Lyβ line intensity is reduced by inner-shell photoionization in the cooler region 4L-shell regionni = 2.5×1019 cm-3Te = 110 eVΔr = 2.6 mm73% total massK-shell regionni = 6.7×1019cm-3Te = 2.45 keVØ2.8mm27% total masshotcore coolblanketexperimentTwo region modelAr Lyα/Heα2.00±20%1.54Ar Lyβ/Heβ0.85±20%0.91Ar Lyγ/Heγ1.20±20%1.32K-shell power (TW/cm)11.4±10%11.5Total power (TW/cm)16±20%16.0Mass (mg/cm)1±10%1.01Radial distance (mm)B. Jones, J.P. Apruzese et al. POP 22, 020706 (2015).Z Shot</t>
  </si>
  <si>
    <t>dense_plasma_focus; z_pinch; mhd; plasma_physics; radiation</t>
  </si>
  <si>
    <t>Magnetic confinement of dense plasma inside and outside stellar coronae</t>
  </si>
  <si>
    <t>Waugh Rose F. P., Jardine Moira M.,</t>
  </si>
  <si>
    <t>10.1093/mnras/stac1698</t>
  </si>
  <si>
    <t>dense_plasma_focus; plasma_physics; radiation</t>
  </si>
  <si>
    <t>Plasma and Terahertz-Wave Propagation Characteristics in Atmospheric-Pressure Plasma Jet Under Different Operating Conditions</t>
  </si>
  <si>
    <t>10.1109/TAP.2023.3237284</t>
  </si>
  <si>
    <t>High-density plasma source device is of great sig-nificance for ground experiment verification of vehicle reentrycommunication. Atmospheric-pressure plasma jet (APPJ), as ahigh-density plasma source, has received little attention in groundexperiments on vehicle communications. In this article, terahertz(THz)-wave propagation characteristics in APPJ are investigatedby joint simulation of APPJ discharge and THz transport modeland related experimental measurements. THz interferometer(THz-IF</t>
  </si>
  <si>
    <t>dense_plasma_focus; plasma_physics; nuclear_fusion; radiation; diagnostics; electrode_materials</t>
  </si>
  <si>
    <t>Building a Sci-Fi Themed Dense Plasma Focus</t>
  </si>
  <si>
    <t>simulation</t>
  </si>
  <si>
    <t>dense_plasma_focus; plasma_physics</t>
  </si>
  <si>
    <t>Comparison of measured and computed neutron yield from PF1000 plasma focus device operated with deuterium gas</t>
  </si>
  <si>
    <t>Mohamad Akel</t>
  </si>
  <si>
    <t>10.1016/j.radphyschem.2021.109633</t>
  </si>
  <si>
    <t>The measured current wave shapes of PF1000 plasma focus discharged at 16 kV in deuterium in the pressure range 1.05 –1.2 Torr are fitted to the computed current wave shapes using the Lee model code. Very good fit is achieved which suggests that the code is configured very well for the PF1000 for these shots. This is borne out by the computed neutron yield arising from each shot agreeing well with the measured yield. The computed average yield of 8 shots at 1.2 Torr is 1.78 ×109 neutrons per</t>
  </si>
  <si>
    <t>dense_plasma_focus; plasma_physics; nuclear_fusion; radiation; pulsed_power; electrode_materials; circuit_modeling</t>
  </si>
  <si>
    <t>J. Plasma Phys. (2021), vol.87, 905870401 © The Author(s), 2021.</t>
  </si>
  <si>
    <t>10.1017/S0022377821000672</t>
  </si>
  <si>
    <t>dense_plasma_focus; plasma_physics; nuclear_fusion; diagnostics; electrode_materials; turbulence</t>
  </si>
  <si>
    <t>LLNL-JRNL-827704</t>
  </si>
  <si>
    <t>A dense plasma focus (DPF) is a relatively compact coaxial plasma gun which completes its discharge as a Z -pinch. These devices are designed to operate at a variety of scales to produce short (&lt;100 ns) pulses of ions, X -rays, and/ or neutrons. LLNL recentl y constructed and brought into operation a new device, the MJOLNIR (MegaJOuLe Neutron Imaging Radiography) DPF, which is designed for radiography and high -yield operations. This device has been commissioned and has achieved neutron</t>
  </si>
  <si>
    <t>dense_plasma_focus; plasma_physics; nuclear_fusion; pulsed_power; electrode_materials; circuit_modeling; particle_methods</t>
  </si>
  <si>
    <t>Inference of X-Ray Emission From a Plasma Focus Discharge: Comparison Between Characteristic Parameters and Neural Network Analyses</t>
  </si>
  <si>
    <t>Pulsed plasma discharges, such as the plasma focus, are a source of pulsed X rays, therefore it isdesirable to understand the relationship between this fast transient phenomena and the electrical variables ofthe discharge. Parameters from the electrical diagnostic signals are typically used to characterize the plasmafocus discharge and for the correlations with X rays measurements via scatter plots. To further evaluaterelevant information in the electrical signals, besides the characteristic</t>
  </si>
  <si>
    <t>dense_plasma_focus; plasma_physics; nuclear_fusion; radiation; machine_learning; pulsed_power; electrode_materials</t>
  </si>
  <si>
    <t>Unsteady Plasma Flow Near an Oscillating Rigid Plane Plate Under the Influence of an Unsteady Nonlinear External Magnetic Field</t>
  </si>
  <si>
    <t>In an irreversible thermodynamics framework, Stokes’ second problem was examined forunsteady oscillating ﬂow. The objective was to apply that for a plasma near an illimitable oscillating rigidplane plate under the inﬂuence of an unsteady nonlinear applied magnetic ﬁeld. The Bhatnagar-Gross-Krook(BGK) pattern of the Boltzmann kinetic equation supplemented by Maxwell’s equations was investigated.The method of moments was applied with a two-sided distribution function. The exact traveling wave</t>
  </si>
  <si>
    <t>Hard X-Ray Emission Detection Using Deep Learning Analysis of the Radiated UHF Electromagnetic Signal From a Plasma Focus Discharge</t>
  </si>
  <si>
    <t>A method to determine the presence of hard X-ray emission processes from a dense plasmafocus (205 J, 22 kV, 6.5 mbar H2) using Ultra High Frequency (UHF) measurements and deep learningtechniques is presented. Simultaneously, the electromagnetic UHF radiation emitted from the plasmafocus was measured with a Vivaldi UHF antenna, while the hard X-ray emission was measured witha scintillator-photomultiplier system. A classiﬁcation algorithm based on deep learning methods, usingtwo-dimensional c</t>
  </si>
  <si>
    <t>experimental; machine_learning; data_analysis</t>
  </si>
  <si>
    <t>dense_plasma_focus; z_pinch; plasma_physics; nuclear_fusion; radiation; machine_learning; pulsed_power; electrode_materials</t>
  </si>
  <si>
    <t>Evolution of a Pinch Column During the Acceleration of Fast Electrons and Deuterons in a Plasma-Focus Discharge</t>
  </si>
  <si>
    <t>10.1109/TPS.2018.2874288I</t>
  </si>
  <si>
    <t>dense_plasma_focus; z_pinch; mhd; plasma_physics; nuclear_fusion; radiation; diagnostics; electrode_materials</t>
  </si>
  <si>
    <t>稠密等离子体焦点二维模拟</t>
  </si>
  <si>
    <t>10.11884/HPLPB202436.240001</t>
  </si>
  <si>
    <t>* 收稿日期 ：2024-01-03； 修订日期 ：2024-03-19 基金项目 ：国家自然科学基金项 目(12075226 、12205279) 联系方式 ：欧海彬，3038889531@qq.com 。 通信作者 ：段书超，s.duan@163.com 。 第 36 卷第 7 期 强 激 光 与 粒 子 束 Vol. 36，No. 7 2024 年 7 月 HIGH POWER LASER AND PARTICLE BEAMS Jul.，2024 075001-1不如Mather型装置的电极系统紧凑 ，后者为大多数实验室所采用 [5]。1962年，Hart P J [6]提出雪耙模型解释同轴枪 的放电机理 ，该模型将等离子体电流层近似为一个均匀的薄层 ，包含一个电路方程描述电流随时间的变化 ，和一个 动量方程描述等离子体的轴向运动。后来 ，Lee S[7]将电路方程 、动量方程 、能量方程和辐射方程耦合 ，提出五相 Lee模型，分别对轴向加速 、径向内爆 、激波径向反射 、箍缩和膨胀 这5个过程进行描述 ，被广泛用于设 计Mather 型DP</t>
  </si>
  <si>
    <t>simulation; experimental</t>
  </si>
  <si>
    <t>dense_plasma_focus; mhd; plasma_physics; electrode_materials</t>
  </si>
  <si>
    <t>Numerical Simulation Study of Plasma Flow in the GAMMA10/PDX End‐cell Using a Fluid Code</t>
  </si>
  <si>
    <t>VM168</t>
  </si>
  <si>
    <t>10.1002/ctpp.201610062</t>
  </si>
  <si>
    <t>Open Access proceedings Journal of Physics: Conference series</t>
  </si>
  <si>
    <t>Graham Douglas</t>
  </si>
  <si>
    <t>10.1088/1742-6596/591/1/012021</t>
  </si>
  <si>
    <t>The dense plasma focus (DPF), a coaxial plasma gun, utilizes pulsed high current electrical discharge to heat and compress the plasma to very high density and temperature with energy densities in the range of 1 -10×1010 J/m3. The DPF device has always been in the company of several alternative magnetic fusion devices as it produces intense fusion neutrons. Several experiments conducted on many different DPF devices ranging over several order of storage energy have demonstrated that at hig</t>
  </si>
  <si>
    <t>dense_plasma_focus; plasma_physics; nuclear_fusion; pulsed_power; electrode_materials; turbulence</t>
  </si>
  <si>
    <t>zaloga-plazma.indd</t>
  </si>
  <si>
    <t>b.bursa</t>
  </si>
  <si>
    <t>10.1515/nuka-2015-0058</t>
  </si>
  <si>
    <t>dense_plasma_focus; plasma_physics; nuclear_fusion; radiation; electrode_materials</t>
  </si>
  <si>
    <t>Design and characterization of the Magnetized Plasma Interaction Experiment (MAGPIE): a new source for plasma--material interaction studies</t>
  </si>
  <si>
    <t>B D Blackwell et al</t>
  </si>
  <si>
    <t>10.1088/0963-0252/21/5/055033</t>
  </si>
  <si>
    <t>The Magnetized Plasma Interaction Experiment (MAGPIE) is a versatile helicon sourceplasma device operating in a magnetic hill conﬁguration designed to support a broad range ofresearch activity and is the ﬁrst stage of the Materials Diagnostic Facility at the AustralianNational University. Various material targets can be introduced to study a range ofplasma–material interaction phenomena.Initially, with up to 2.1 kW of RF at 13.56 MHz, argon (1018–1019m−3) and hydrogen (upto 1019m−3at 20 kW) p</t>
  </si>
  <si>
    <t>Magnetically Driven Implosions for Inertial Confinement Fusion at Sandia National Laboratories</t>
  </si>
  <si>
    <t>10.1109/TPS.2012.2223488national</t>
  </si>
  <si>
    <t>experimental; simulation; machine_learning; review</t>
  </si>
  <si>
    <t>dense_plasma_focus; z_pinch; plasma_physics; nuclear_fusion; radiation; pulsed_power</t>
  </si>
  <si>
    <t>Confinement of Hot Ion Plasma with β = 0.6 in the Gas Dynamic Trap</t>
  </si>
  <si>
    <t>Lotov</t>
  </si>
  <si>
    <t>10.13182/FST11-A11568</t>
  </si>
  <si>
    <t>CONFINEMENT OF HOT ION PLASMA WITH ȕ=0.6 IN THE GAS DYNAMIC TRAP P. A. Bagryansky1,2, A. V. Anikeev1,2, A. D. Beklemishev1,2, A. S. Donin1,2, A. A. Ivanov1,2, M. S. Korzhavina2,Yu. V. Kovalenko1,2, E. P. Kruglyakov1, A. A. Lizunov1, V. V. Maximov1,2, S. V. Murakhtin1,2, V. V. Prikhodko1,2,E. I. Pinzhenin2, A. N. Pushkareva2, V. Ya. Savkin1, K. V. Zaytsev21Budker Institute of Nuclear Physics: akademika Lavrentieva prospect/11, Novosibirsk, Russia, 630090 2Novosibirsk State University: Pirogo</t>
  </si>
  <si>
    <t>dense_plasma_focus; mhd; plasma_physics; nuclear_fusion; electrode_materials</t>
  </si>
  <si>
    <t>Plasma modelling and numerical simulation.</t>
  </si>
  <si>
    <t>J. van Dijk, G.M.W. Kroesen and A. Bogaerts</t>
  </si>
  <si>
    <t>10.1088/0022-3727/42/19/190301</t>
  </si>
  <si>
    <t>Plasma modelling is an exciting subject in which virtually all physical disciplines arerepresented. Plasma models combine the electromagnetic, statistical and ﬂuid dynamicaltheories that have their roots in the 19th century with the modern insights concerning thestructure of matter that were developed throughout the 20th century.The present cluster issue consists of 20 invited contributions, which are representative ofthe state of the art in plasma modelling and numerical simulation. These con</t>
  </si>
  <si>
    <t>simulation; review; experimental; data_analysis</t>
  </si>
  <si>
    <t>Sand2004-5997</t>
  </si>
  <si>
    <t>ALEGRA is an arbitrary Lagrangian-Eulerian ﬁnite element code that emphasizeslarge distortion and shock propagation in inviscid ﬂuids and solids. This documentdescribes user options for modeling resistive magnetohydrodynamic, thermal conduc-tion, and radiation emission effects.3AcknowledgmentThe authors wish to acknowledge the contri butions of Kent Budge to early draft versionsof this manual and associated algorithms in th e areas of thermal conduction, emission andopacity modeling.Pave</t>
  </si>
  <si>
    <t>dense_plasma_focus; mhd</t>
  </si>
  <si>
    <t>TSINGHUA SCIENCE AND TECHNOLOGY</t>
  </si>
  <si>
    <t>Although many scientists suggested that the ionized metallic vapor produced in plasma focus plays a significant role in the X ray emission, they did not give a visual image of the metallic vapor. In this paper the evolution of plasma sheath above the anode was recorded with a laser differential interferometer and the metallic vapor produced on the target surface by bombardment of an intense electron beam was observed for the first time. The results can help understanding of the physical proc</t>
  </si>
  <si>
    <t>Experimental investigation of the critical ionization velocity in gas mixtures</t>
  </si>
  <si>
    <t>The critical ionization velocity which is of cosmogonic and astrophysical interest has hitherto mainly been investigated for pure gases. Since in space we always have gas mixtures, it is of interest also to study gas mixtures. The present report, which is a summary of a more detailed report (Axnfis, 1976), summarizes the results of systematic experiments on the critical ionization velocity as a function of the mixing ratio for binary gas mixtures of H2, He, N2, 02, Ne and Ar. The apparatus</t>
  </si>
  <si>
    <t>Direct Measurement of a Plasma Flow Velocity Using a Mach Probe in Hanbit Magnetic Mirror Device</t>
  </si>
  <si>
    <t>10.13182/FST03-A11963613</t>
  </si>
  <si>
    <t>dense_plasma_focus; plasma_physics; nuclear_fusion; radiation; diagnostics</t>
  </si>
  <si>
    <t>Voltage characteristics of a rotating plasma</t>
  </si>
  <si>
    <t>View the article online for updates and enhancements. You may also like On the current density limiting effect in SF6-based mixtures A A Belevtsev, K N Firsov, S Yu Kazantsev et al. -NUMERICAL SIMULATIONS OF Z-PINCH EXPERIMENTS TO CREATE SUPERSONIC DIFFERENTIALLY ROTATING PLASMA FLOWS M. Bocchi, B. Ummels, J. P. Chittenden et al.-Discussion of the deflagration index expression for cylindrical vessel Zhe Song, Peili Zhang, Jianjun Liang et al. -This content was downloaded from IP a</t>
  </si>
  <si>
    <t>dense_plasma_focus; z_pinch; plasma_physics; nuclear_fusion</t>
  </si>
  <si>
    <t>Assessment of ALEGRA Computation for Magnetostatic Configurations</t>
  </si>
  <si>
    <t>─ A closed-form solution is described here for the equilibrium configurations of the magnetic field in a simple heterogeneous domain. This problem and its solution are used for rigorous assessment of the accuracy of the ALEGRA code in the quasistatic limit. By the equilibrium configuration we understand the static condition, or the stationary states without macroscopic current. The analysis includes quite a general class of 2D solutions for which a linear isotropic metallic matrix is pl</t>
  </si>
  <si>
    <t>dense_plasma_focus; mhd; nuclear_fusion</t>
  </si>
  <si>
    <t>Fully Three-dimensional Simulation and Modeling</t>
  </si>
  <si>
    <t>A Dense Plasma Focus (DPF) is a pulsed-powermachine that electromagnetically accelerates and cylindricallycompresses a shocked plasma in a Z-pinch. The pinch results in abrief (∼100 nanosecond) pulse of X-rays, and, for some workinggases, also a pulse of neutrons. A great deal of experimentalresearch has been done into the physics of DPF reactions, andthere exist mathematical models describing its behavior duringthe different time phases of the reaction. Two of the phases,known as the in</t>
  </si>
  <si>
    <t>dense_plasma_focus; z_pinch; mhd; plasma_physics; nuclear_fusion; radiation; pulsed_power; electrode_materials; circuit_modeling</t>
  </si>
  <si>
    <t>Kinetic Analysis of Electrode Heating Effects in a Torr Regime Capacitively Coupled Plasma Reactor 2 D Particle in Cell Simulation Study</t>
  </si>
  <si>
    <t>dense_plasma_focus; plasma_physics; electrode_materials; particle_methods</t>
  </si>
  <si>
    <t>Lee-paper.pdf</t>
  </si>
  <si>
    <t>fquarant</t>
  </si>
  <si>
    <t>dense_plasma_focus</t>
  </si>
  <si>
    <t>Optimization and Development of a Dense Plasma Focus Simulator</t>
  </si>
  <si>
    <t>This paper outlines the development and optimization of a comprehensive Dense Plasma Focus (DPF) simulator. Thesimulator leverages GPU acceleration via Metal APIs and parallel processing through multi-core CPU optimizations,designed for high-performance computing (HPC) on Apple Silicon systems.</t>
  </si>
  <si>
    <t>The Pinch Effect</t>
  </si>
  <si>
    <t>02-Z-Pinch</t>
  </si>
  <si>
    <t>Effects of external magnetic fields on the multi-mode Rayleigh–Taylor instability</t>
  </si>
  <si>
    <t>10.1063/5.0305344</t>
  </si>
  <si>
    <t>The magneto-Rayleigh –Taylor instability (mRTI) is a key process in inertial confinement fusion and is thought to be widespread in the inter-stellar medium, where it can concentrate plasma into discrete structures. We present resistive MHD simulations of the nonlinear evolution ofmulti-mode mRTI in both two and three dimensions, examining the effects of uniform external magnetic fields oriented either parallel or per-pendicular to the initial interface. In both 2D and 3D, weak parallel fields</t>
  </si>
  <si>
    <t>simulation; analytical; machine_learning</t>
  </si>
  <si>
    <t>z_pinch; mhd; plasma_physics; nuclear_fusion; turbulence</t>
  </si>
  <si>
    <t>Effects of parallel magnetic fields on sheaths near biased electrodes in a highly collisional Z-pinch plasma</t>
  </si>
  <si>
    <t>C. R. Skolar; B. Srinivasan</t>
  </si>
  <si>
    <t>z_pinch; plasma_physics; nuclear_fusion; electrode_materials</t>
  </si>
  <si>
    <t>Explosive eruption cycles in a rotating Z-pinch</t>
  </si>
  <si>
    <t>David N. Hosking; Luca Swinnerton; Rahul Kesavan</t>
  </si>
  <si>
    <t>The Hall Term and Anomalous Resistivity Effects in Neon Gas-Puff Z-Pinches</t>
  </si>
  <si>
    <t>A. Rososhek; C. E. Seyler; E. S. Lavine; D. A. Hammer</t>
  </si>
  <si>
    <t>z_pinch; mhd; plasma_physics; radiation; pulsed_power; electrode_materials; turbulence</t>
  </si>
  <si>
    <t>A Comprehensive Analytical Model of the Dynamic Z-Pinch</t>
  </si>
  <si>
    <t>Alejandro Mesa Dame; Eric S. Lavine; David A. Hammer</t>
  </si>
  <si>
    <t>experimental; analytical; machine_learning; simulation</t>
  </si>
  <si>
    <t>AIP Advances ARTICLE pubs.aip.org/aip/adv</t>
  </si>
  <si>
    <t>10.1063/5.0250789</t>
  </si>
  <si>
    <t>The plasma Z-pinch plays a pivotal role in generating bright optical radiation with short wavelengths in Discharge-produced Plasma (DPP)sources, such as capillary discharge-produced and inductively driven electrodeless light sources. In this study, we investigate the Z-pinchdynamics of DPP-based electrodeless light sources using two-dimensional magnetohydrodynamic simulations via the USim code. Meanwhile,the influences of plasma density disturbances and the parametric effects of pulsed curren</t>
  </si>
  <si>
    <t>Asymptotic scaling laws for the stagnation conditions of Z-pinch implosions</t>
  </si>
  <si>
    <t>experimental; analytical</t>
  </si>
  <si>
    <t>z_pinch; plasma_physics; nuclear_fusion; radiation</t>
  </si>
  <si>
    <t>Bennett Vorticity: A family of nonlinear Shear-Flow Stabilized Z-pinch equilibria</t>
  </si>
  <si>
    <t>z_pinch; mhd; plasma_physics; nuclear_fusion; turbulence; physics_informed_ml</t>
  </si>
  <si>
    <t>Case study of a differentiable heterogeneous multiphysics solver for a nuclear fusion application</t>
  </si>
  <si>
    <t>Jack B. Coughlin; Archis Joglekar; Jonathan Brodrick; Alexander Lavin</t>
  </si>
  <si>
    <t>This work presents a case study of a heterogeneous multiphysics solver from thenuclear fusion domain. At the macroscopic scale, an auto-differentiable ODEsolver in JAX computes the evolution of the pulsed power circuit and bulk plasmaparameters for a compressing Z Pinch. The ODE solver requires a closure for theimpedance of the plasma load obtained via root-finding at every timestep, whichwe solve efficiently using gradient-based Newton iteration. However, incorporatingnon-differentiable p</t>
  </si>
  <si>
    <t>simulation; analytical</t>
  </si>
  <si>
    <t>z_pinch; plasma_physics; nuclear_fusion; radiation; machine_learning; numerical_methods; pulsed_power; electrode_materials; circuit_modeling; ai_scientific_discovery</t>
  </si>
  <si>
    <t>Impulse-driven transport of liquid metal from z-pinch electrodes and implications for fusion fuel contamination</t>
  </si>
  <si>
    <t>Daniel P. Weber; Colin S. Adams</t>
  </si>
  <si>
    <t>z_pinch; mhd; plasma_physics; nuclear_fusion; electrode_materials</t>
  </si>
  <si>
    <t>Spectroscopic measurements of graphite electrode erosion on the ZaP-HD sheared-flow-stabilized Z-pinch device</t>
  </si>
  <si>
    <t>Amierul Aqil Khairi; Elyse Lian; Uri Shumlak</t>
  </si>
  <si>
    <t>z_pinch; plasma_physics; nuclear_fusion; radiation; diagnostics; electrode_materials</t>
  </si>
  <si>
    <t>DATTA et al.</t>
  </si>
  <si>
    <t>The FuZE sheared-flow-stabilized Z pinch at Zap Energy is simulated using whole-device modeling employing anaxisymmetric resistive magnetohydrodynamic formulation implemented within the discontinuous Galerkin WARPXM frame-work. Simulations show formation of Z pinches with densities of approximately 1022m-3and total DD fusion neutron rate of107perµs for approximately 2 µs. Simulation-derived synthetic diagnostics show peak currents and voltages within 10% andtotal yield within approximately 3</t>
  </si>
  <si>
    <t>z_pinch; mhd; plasma_physics; nuclear_fusion; numerical_methods; diagnostics; pulsed_power; electrode_materials; circuit_modeling</t>
  </si>
  <si>
    <t>Estimation of gas puff Z-pinch parameters by using snowplow model simulation and the β factor variation</t>
  </si>
  <si>
    <t>M. E. Abdel-Kader</t>
  </si>
  <si>
    <t>10.1007/s12648-025-03642-9</t>
  </si>
  <si>
    <t>The gas puff z-pinch device is used to investigate the dynamics of injected plasma by neutral particles; duringthe injection of the plasma by the neutral particles, the temperature is lowered and the plasma density is increased. Thesnowplow model is used to simulate the gas puff z-pinch device and estimate the gas puff pinch parameters. The modeltakes into account the radial compression, the reﬂected shock wave, and the expansion phases. The electric circuit andmomentum equations are used and</t>
  </si>
  <si>
    <t>z_pinch; mhd; plasma_physics; nuclear_fusion; radiation; pulsed_power; electrode_materials</t>
  </si>
  <si>
    <t>IEEE TPS © 2024 IEEE. PERSONAL USE IS PERMITTED, BUT REPUBLICATION/REDISTRIBUTION REQUIRES IEEE PERMISSION. 1</t>
  </si>
  <si>
    <t>The Kadomtsev pinch, namely the Z-pinch pro-file marginally stable to interchange modes, is revisited inlight of observations from axisymmetric MHD modeling of theFuZE sheared-flow-stabilized Z-pinch experiment. We show thatKadomtsev’s stability criterion, cleanly derived by the minimumenergy principle but of opaque physical significance, has anintuitive interpretation in the specific entropy analogous tothe Schwarzschild-Ledoux criterion for convective stability ofadiabatic pressure dis</t>
  </si>
  <si>
    <t>simulation; experimental; review</t>
  </si>
  <si>
    <t>z_pinch; mhd; plasma_physics</t>
  </si>
  <si>
    <t>Progress on Multielement Spectroscopic Temperature and Impurity Studies on a High Flow Velocity Z-Pinch</t>
  </si>
  <si>
    <t>10.1109/TPS.2024.3354119</t>
  </si>
  <si>
    <t>z_pinch; mhd; plasma_physics; nuclear_fusion; radiation; diagnostics</t>
  </si>
  <si>
    <t>Time-resolved measurement of neutron energy</t>
  </si>
  <si>
    <t>Previous measurements of neutron energy using fast plastic scintillatorswhile operating the Fusion Z Pinch Experiment (FuZE) constrained the energy ofany yield-producing deuteron beams to less than 4.65 keV. FuZE has since beenoperated at increasingly higher input power, resulting in increased plasma currentand larger fusion neutron yields. A detailed experimental study of the neutronenergy isotropy in these regimes applies more stringent limits to possible contributionsfrom beam-target fu</t>
  </si>
  <si>
    <t>z_pinch; mhd; plasma_physics; nuclear_fusion; uncertainty_quantification; pulsed_power; electrode_materials</t>
  </si>
  <si>
    <t>Z Pinch Kinetics II AIP/123-QED</t>
  </si>
  <si>
    <t>z_pinch; mhd; plasma_physics; nuclear_fusion; diagnostics; turbulence</t>
  </si>
  <si>
    <t>Impact of the radial density profile on the Z-pinch stability at a microsecond rise time of the driving current</t>
  </si>
  <si>
    <t>10.1063/5.0132064</t>
  </si>
  <si>
    <t>This paper considers the instabilities of imploding aluminum metal-puff Z-pinches with an outer plasma shell. An experiment was per-formed on the GIT-12 generator (3.2–3.6 MA, /C241ls implosion times, and /C2415 cm initial Z-pinch radius). It was shown that the density pro-ﬁle of the Z-pinch material had the dominant effect on the growth and suppression of instabilities. Two Z-pinch load conﬁgurations wereused. The ﬁrst conﬁguration provided a tailored density proﬁle (TDP) [A. L. Velikovich et</t>
  </si>
  <si>
    <t>z_pinch; mhd; plasma_physics; nuclear_fusion; pulsed_power</t>
  </si>
  <si>
    <t>On the Evolution From Micrometer-Scale Inhomogeneity to Global Overheated Structure During the Intense Joule Heating of a z-Pinch Rod</t>
  </si>
  <si>
    <t>10.1109/TPS.2017.2655450azimuthally</t>
  </si>
  <si>
    <t>Ultrafast optical microscopy of metal z-pinch rodspulsed with megaampere current is contributing new data andcritical insight into what provides the fundamental seed for themagneto-Rayleigh–Taylor (MRT) instability. A two-frame nearinfrared/visible intensiﬁed-charge-coupled device gated imagerwith 2-ns temporal resolution and 3- µm spatial resolution cap-tured emissions from the nonuniformly Joule heated surfaces ofultrasmooth aluminum (Al) rods. Nonuniform surface emissionsare consistently ﬁr</t>
  </si>
  <si>
    <t>z_pinch; mhd; plasma_physics; nuclear_fusion; pulsed_power; electrode_materials</t>
  </si>
  <si>
    <t>Calculation of the Equilibrium Evolution of the ZaP Flow $Z$ -Pinch Using a Four-Chord Interferometer</t>
  </si>
  <si>
    <t>10.1109/TPS.2015.2431973with</t>
  </si>
  <si>
    <t>A four-chord interferometer and measurementsfrom an array of surface-mounted magnetic probes were used inconjunction with equations of radial heat conduction and radialforce balance to calculate the equilibrium evolution of a pinchplasma in the ZaP ﬂow Z-pinch. A multiple shooting method wasused to solve the nonlinear coupled differential equation system,with ohmic heating and bremsstrahlung radiation as sources andsinks, respectively. Data from a single ZaP pulse are reportedincluding proﬁles</t>
  </si>
  <si>
    <t>z_pinch; mhd; plasma_physics; radiation; diagnostics; pulsed_power</t>
  </si>
  <si>
    <t>Helicon wave propagation and plasma equilibrium in high-density hydrogen plasma in converging magnetic fields</t>
  </si>
  <si>
    <t>Juan Fran Caneses</t>
  </si>
  <si>
    <t>Plasma Research Laboratory Research School of Physics and Engineering ANU college of Physical and Mathematical Sciences</t>
  </si>
  <si>
    <t>z_pinch; plasma_physics; nuclear_fusion; diagnostics</t>
  </si>
  <si>
    <t>Interferometric Characterization of Laboratory Plasma Astrophysical Jets Produced by a 1-&lt;inline-formula&gt; &lt;tex-math notation="TeX"&gt;$\mu $ &lt;/tex-math&gt;&lt;/inline-formula&gt;s Pulsed Power Driver</t>
  </si>
  <si>
    <t>10.1109/TPS.2014.2323575time-resolved</t>
  </si>
  <si>
    <t>z_pinch; mhd; plasma_physics; pulsed_power; electrode_materials</t>
  </si>
  <si>
    <t>CitationRESEARCH ARTICLE| AUGUST 16 2006</t>
  </si>
  <si>
    <t>10.1063/1.2234284</t>
  </si>
  <si>
    <t>Structure of stagnated plasma in aluminum wire array Z pinchesG. N. HallBlackett Laboratory, Imperial College, London SW7 2BW, United KingdomS. A. Pikuz and T . A. ShelkovenkoLaboratory of Plasma Studies, Cornell University, Ithaca, New York 14853S. N. Bland, S. V. Lebedev, D. J. Ampleford,a/H20850J. B. A. Palmer, S. C. Bott,J. Rapley, and J. P . ChittendenBlackett Laboratory, Imperial College, London SW7 2BW, United KingdomJ. P . ApruzesePlasma Physics Division, Naval Research Laborato</t>
  </si>
  <si>
    <t>z_pinch; mhd; plasma_physics; nuclear_fusion; radiation</t>
  </si>
  <si>
    <t>Optical measurements of plasma dynamics in carbon fiber Z-pinches</t>
  </si>
  <si>
    <t>R. Aliaga-Rossel;S.V. Lebedev;J.P. Chittenden;I.H. Mitchell;R. Saavedra;A.E. Dangor;M.G. Haines</t>
  </si>
  <si>
    <t>A series of experiments has been carried out onthe Mega Ampere Generator for Plasma Implosion Experiments(MAGPIE) generator in order to study the dynamics of carbonﬁber Z-pinches. The generator was operated at 1.4 MV, with apeak current of 1 MA, and a rise time of 150 ns. In some shots,a current prepulse of about 30 kA was provided to study itsinﬂuence on the dynamics of the ﬁber pinch. Carbon ﬁbers of 7,33, and 300/22/22/22m diameter were used during these experiments.The diagnostics employe</t>
  </si>
  <si>
    <t>03-MHD-Numerics</t>
  </si>
  <si>
    <t>Asymptotic-preserving semi-implicit finite volume scheme for Extended Magnetohydrodynamics</t>
  </si>
  <si>
    <t>Yi Han Toh; Joshua Dolence; Karthik Duraisamy</t>
  </si>
  <si>
    <t>A Finite Volume (FV) scheme is developed for solving the extended magnetohydrodynamic(XMHD) equations, yielding accurate results in the ideal, resistive, and Hall MHD limits.This is accomplished by first re-writing the XMHD equations such that it allows the algo-rithm to retain the use of ideal MHD Riemann solvers and the constrained transport methodto preserve divergence-free magnetic fields. Incorporation of electron inertia and displace-ment current introduces additional numerical stiffn</t>
  </si>
  <si>
    <t>z_pinch; mhd; plasma_physics; nuclear_fusion; numerical_methods</t>
  </si>
  <si>
    <t>Self-consistent full MHD coupling of JOREK and STARWALL for advanced plasma free boundary simulation</t>
  </si>
  <si>
    <t>R Sparago,F J Artola,M Hoelzl</t>
  </si>
  <si>
    <t>10.1088/1361-6587/adbfb9</t>
  </si>
  <si>
    <t>An adequate modelling of the electromagnetic (EM) interaction of the plasma with thesurrounding conductors is paramount for the correct reproduction of 3D plasma dynamics.Simulations of the latter provide in turn useful predictions regarding the plasma evolution, therelated MHD modes leading to disruptions and the EM forces acting on the vacuum vessel’scomponents when said disruptions occur. The latest modelling efforts with the 3D FEMnon-linear JOREK code have been directed towards the edd</t>
  </si>
  <si>
    <t>simulation; machine_learning; review</t>
  </si>
  <si>
    <t>mhd; plasma_physics; nuclear_fusion; numerical_methods</t>
  </si>
  <si>
    <t>A Structure-Preserving Semi-implicit IMEX Finite Volume Scheme for Ideal Magnetohydrodynamics at all Mach and Alfvén Numbers</t>
  </si>
  <si>
    <t>Walter Boscheri</t>
  </si>
  <si>
    <t>10.1007/s10915-024-02606-1</t>
  </si>
  <si>
    <t>We present a divergence-free semi-implicit ﬁnite volume scheme for the simulation of theideal magnetohydrodynamics (MHD) equations which is stable for large time steps con-trolled by the local transport speed at all Mach and Alfvén numbers. An operator splittingtechnique allows to treat the convective terms explicitly while the hydrodynamic pressureand the magnetic ﬁeld contributions are integrated implicitly, yielding two decoupled linearimplicit systems. The linearity of the implicit part is a</t>
  </si>
  <si>
    <t>Code-to-code comparison between FLASH and HYDRA in gas-puff Z-pinch modeling</t>
  </si>
  <si>
    <t>10.1063/5.0231394</t>
  </si>
  <si>
    <t>The numerical modeling of gas-puff Z pinches involves the nonlinear coupling of a broad range of complex, multi-physics phenomena thatmakes such simulations challenging. The challenge is further compounded by nonlinear instabilities that can impact the dynamics of implod-ing gas-puff Z pinches, such as the magneto Rayleigh –Taylor instability (MRTI). If the growth rate and amplitude of the latter is comparableto the relevant timescales and properties of the imploding plasma, the MRTI can dram</t>
  </si>
  <si>
    <t>z_pinch; mhd; plasma_physics; nuclear_fusion; machine_learning; circuit_modeling; numerical_methods</t>
  </si>
  <si>
    <t>Interpretative 3D MHD modelling of deuterium SPI into a JET H-mode plasma</t>
  </si>
  <si>
    <t>M. Kong,E. Nardon,M. Hoelzl,D. Bonfiglio,D. Hu,S.-J. Lee,R. Samulyak,U. Sheikh,S. Silburn,F.J. Artola,A. Boboc,G. Bodner,P. Carvalho,E. Delabie,J.M. Fontdecaba,S.N. Gerasimov,T.C. Hender,S. Jachmich,D. Kos,K.D. Lawson,S. Pamela,C. Sommariva,. tancar,B. Stein-Lubrano,H.J. Sun,R. Sweeney,G. Szepesi,the JOREK Team</t>
  </si>
  <si>
    <t>10.1088/1741-4326/ad3b1c</t>
  </si>
  <si>
    <t>The pre-thermal quench (pre-TQ) dynamics of a pure deuterium (D 2) shattered pellet injection(SPI) into a 3MA/ 7MJ JET H-mode plasma is studied via 3D non-linear MHD modelling withthe JOREK code. The interpretative modelling captures the overall evolution of the measureddensity and radiated power. The simulations also identify the importance of the drifts of ablationplasmoids towards the tokamak low field side (LFS) and the impurities in the backgroundplasma in fragment penetration, assimil</t>
  </si>
  <si>
    <t>MNRAS 000, 000–000 (2023) Preprint 12 July 2024 Compiled using MNRAS L ATEX style file v3.0</t>
  </si>
  <si>
    <t>We present a finite-volume, genuinely 4th-order accurate numerical method for solving the equations of resistive relativisticmagnetohydrodynamics (Res-RMHD) in Cartesian coordinates. In our formulation, the magnetic field is evolved in time interms of face-average values via the constrained-transport method while the remaining variables (density, momentum, energyandelectric fields)are advancedas cellvolume-averages. Spatialaccuracyemploys 5th-orderaccurate WENO-Zreconstructionfrompointvalues</t>
  </si>
  <si>
    <t>mhd; plasma_physics; numerical_methods; physics_informed_ml</t>
  </si>
  <si>
    <t>Near real time 3D Reconstruction of the Solar Coronal Parameters Based</t>
  </si>
  <si>
    <t>mhd; numerical_methods</t>
  </si>
  <si>
    <t>Overleaf Example</t>
  </si>
  <si>
    <t>A new three-dimensional, non-linear, non-adiabatic Magnetohydro-dynamics (MHD) model has been implemented in MIPS code, which takes intoaccount the parallel heat diffusivity. The model has been benchmarked againstthe former MHD model used in MIPS code. A preliminary study of the coredensity collapse event (CDC) observed in the Large Helical Device (LHD) plasmahas been performed using the new model. The equilibrium has been constructedusing HINT code for axis β= 4% plasma with a steep press</t>
  </si>
  <si>
    <t>mhd; plasma_physics; nuclear_fusion; diagnostics; numerical_methods</t>
  </si>
  <si>
    <t>Theory and Finite-Element Simulation Methodology of Gas Discharge Plasmas</t>
  </si>
  <si>
    <t>This comprehensive research work explores the intricate realm of gas discharge plasmasimulations, offering a profound understanding of its theoretical framework and providing a detaileddescription of the finite-element simulation process in COMSOL Multiphysics software. Firstly, a solidmathematical foundation essential for modeling gas discharge plasmas is established. Subsequently,a detailed finite-element simulation methodology is presented, along with practical guidance on theirimplement</t>
  </si>
  <si>
    <t>experimental; simulation; review</t>
  </si>
  <si>
    <t>mhd; plasma_physics; nuclear_fusion; radiation; numerical_methods; electrode_materials</t>
  </si>
  <si>
    <t>MPI-AMRVAC 3.0: Updates to an open-source simulation framework</t>
  </si>
  <si>
    <t>Keppens R., Popescu Braileanu B., Zhou Y., Ruan W., Xia C., Guo Y., Claes N., Bacchini F.</t>
  </si>
  <si>
    <t>10.1051/0004-6361/202245359</t>
  </si>
  <si>
    <t>Context. Computational astrophysics nowadays routinely combines grid-adaptive capabilities with modern shock-capturing, highresolution spatio-temporal integration schemes in challenging multidimensional hydrodynamic and magnetohydrodynamic (MHD)simulations. A large, and still growing, body of community software exists, and we provide an update on recent developments withinthe open-source MPI-AMRVAC code.Aims. Complete with online documentation, the MPI-AMRVAC 3.0 release includes several rec</t>
  </si>
  <si>
    <t>mhd; plasma_physics; nuclear_fusion; ai_scientific_discovery; numerical_methods</t>
  </si>
  <si>
    <t>See discussions, st ats, and author pr ofiles f or this public ation at : https://www .researchgate.ne t/public ation/370442241</t>
  </si>
  <si>
    <t>10.1063/5.0138221</t>
  </si>
  <si>
    <t>When plasma is compressed by magnetic forces, a pinch phenomenon is observed. Pinch plasma has received signiﬁcant attention as anefﬁcient source of radiation and a way for high-density plasma physics analysis. In this study, a non-ideal magnetohydrodynamics (MHD)model is applied to a smoothed particle hydrodynamics (SPH) framework to analyze pinch plasmas whose local resistivity varies with tem-perature and pressure. The proposed SPH model incorporates several numerical treatments, such as a c</t>
  </si>
  <si>
    <t>z_pinch; mhd; plasma_physics; numerical_methods</t>
  </si>
  <si>
    <t>untitled</t>
  </si>
  <si>
    <t>10.1109/TPS.2020.2968887plume</t>
  </si>
  <si>
    <t>A new, charge-conserving, energy-based, openboundary condition (BC) is developed and used to performsteady-state plasma plume simulations. This BC prevents thenumerical instability, which is typically observed for kineticsimulations that employ the traditional outﬂow boundary, andthus allows the fully kinetic plume simulations to reach a steady-state with ﬁnite computational domain sizes. In addition tomodeling a plume with colocated electron–ion sources, the BCis also applied to separated ele</t>
  </si>
  <si>
    <t>mhd; plasma_physics; electrode_materials; particle_methods; numerical_methods</t>
  </si>
  <si>
    <t>Lagrangian Formulation of the Snowplow Model</t>
  </si>
  <si>
    <t>We write down the lagrangian for the snowplow model of the Z pinchsystem. Then, we develop the Euler-Lagrange equations to find out thecorresponding equations of motion. Next, we set a criterion for quantita-tively estimating the performance of Z pinch devices. Finally, we applythis criterion to a specific Z pinch system.</t>
  </si>
  <si>
    <t>z_pinch; mhd; plasma_physics; nuclear_fusion; pulsed_power; electrode_materials; numerical_methods</t>
  </si>
  <si>
    <t>04-Plasma-Physics</t>
  </si>
  <si>
    <t>Bridging the gap between collisional andcollisionless plasma shocks: A simulation study using OSIRIS</t>
  </si>
  <si>
    <t>10.1063/5.0294460</t>
  </si>
  <si>
    <t>Shock waves in plasma can be characterized according to the physical mechanisms behind their formation. When collisions are frequent, shockdissipation is mainly binary-collision driven, and the shock width (SW) is often comparable to a few mean-free-paths. In contrast, collisionlessshocks rely on collective plasma processes to establish dissipation on scales far below the mean-free-path. The purpose of this study is to bridgethese two regimes. Here, we present simulations using the OSIRIS par</t>
  </si>
  <si>
    <t>plasma_physics; turbulence; particle_methods</t>
  </si>
  <si>
    <t>Effects of impurities on zonal flows in tokamak plasmas</t>
  </si>
  <si>
    <t>10.1063/5.0293772</t>
  </si>
  <si>
    <t>Effects of impurities on zonal flows (ZFs) driven by the ion density and temperature perturbations in tokamak plasmas are investigated usinggyrokinetic theory and simulations. The Rosenbluth –Hinton collisionless gyrokinetic model for ZFs is used, with model source termsdesigned to represent the drive from different plasma species in the plasma. For ZFs driven by the main ion density perturbations, thepresence of impurities could decrease the amplitude of ZFs by increasing the total ion mass</t>
  </si>
  <si>
    <t>plasma_physics; nuclear_fusion; turbulence; particle_methods</t>
  </si>
  <si>
    <t>Particle-in-Cell simulations of lithium redeposition in plasma sheaths under oblique magnetic fields</t>
  </si>
  <si>
    <t>10.1063/5.0307230</t>
  </si>
  <si>
    <t>Compact nuclear fusion reactors will require advanced plasma-facing components capable of withstanding the higher heat and neutron fluxescharacteristic of these machines. Liquid metal walls, based for instance on lithium, have emerged as a promising alternative to solid walls.This study investigates lithium redeposition on plasma-facing walls in a deuterium plasma environment using a self-consistent 1D3VParticle-in-Cell code. The model accounts for the interplay between lithium evaporation an</t>
  </si>
  <si>
    <t>plasma_physics; nuclear_fusion; electrode_materials; turbulence; particle_methods</t>
  </si>
  <si>
    <t>Path integral molecular dynamics: A high-fidelity approach to quantum dynamics of electrons</t>
  </si>
  <si>
    <t>10.1063/5.0304026</t>
  </si>
  <si>
    <t>We investigate electron transport in the uniform electron gas using ring-polymer molecular dynamics (RPMD). Working in the weakly cou-pled, non-degenerate regime, we use RPMD to probe how the onset of quantum diffraction effects at high temperature reshapes electron –electron collisions and leads to a classical-to-quantum crossover in macroscopic transport properties. Static thermodynamics obtained withRPMD are consistent with the weak-coupling equation of state, confirming correct quantum Bo</t>
  </si>
  <si>
    <t>plasma_physics; nuclear_fusion</t>
  </si>
  <si>
    <t>Quantifying reconnection and its dynamical role in2D magnetic Rayleigh–Taylor turbulence</t>
  </si>
  <si>
    <t>10.1063/5.0283980</t>
  </si>
  <si>
    <t>Magnetic Rayleigh –Taylor instability (MRTI) governs material transport and mixing in astrophysical and laboratory plasmas under theinfluence of gravity and magnetic fields. While magnetic reconnection is known to occur during MRTI evolution, its role in the evolution andenergy dynamics remains poorly understood. Here, we present a comprehensive analysis of the role of reconnection in the two-dimensionalMRTI dynamics, using high-resolution simulations. We establish that reconnection, through</t>
  </si>
  <si>
    <t>simulation; data_analysis; experimental</t>
  </si>
  <si>
    <t>mhd; plasma_physics; nuclear_fusion; numerical_methods; turbulence</t>
  </si>
  <si>
    <t>A case study of scientific computing with limited precision numbers: Applying rescaling and baseline shifting techniques to a spectral Vlasov–Maxwell code</t>
  </si>
  <si>
    <t>10.1063/5.0254812</t>
  </si>
  <si>
    <t>We have developed SpectaVla , a code that solves the multi-dimensional Vlasov –Maxwell equations using the spectral method described inG. L. Delzanno [J. Comp. Phys. 301, 338 (2015)]. This code is designed to take advantage of a chip-scale tensor core optimized for 3D convo-lution with 8-bit fixed-point numbers. The code is benchmarked against theory on a number of fundamental plasma physics problems. Weemploy rescaling and baseline shifting techniques to ensure proper precision of the result</t>
  </si>
  <si>
    <t>plasma_physics; machine_learning; numerical_methods</t>
  </si>
  <si>
    <t>CitationRESEARCH ARTICLE| DECEMBER 01 1972</t>
  </si>
  <si>
    <t>10.1063/1.1693881</t>
  </si>
  <si>
    <t>plasma_physics; turbulence</t>
  </si>
  <si>
    <t>General kinetic ion-induced electron emission model for metallic walls applied to biased Z-pinch electrodes</t>
  </si>
  <si>
    <t>10.1063/5.0261942</t>
  </si>
  <si>
    <t>A kinetic ion-induced electron emission (IIEE) model for general applications is developed to obtain the emitted electron energy spectrumfor a distribution of ion impacts on a metallic surface. We assume an ionization cascade mechanism and use empirical models for the ion andelectron stopping powers. The emission spectrum and the secondary electron yield (SEY) are validated for a variety of materials. The IIEEmodel is used to study the effect of IIEE on the plasma-material interactions of Z-p</t>
  </si>
  <si>
    <t>z_pinch; plasma_physics; nuclear_fusion; diagnostics; electrode_materials; particle_methods</t>
  </si>
  <si>
    <t>Mesh-free sparse identification of nonlinear dynamics</t>
  </si>
  <si>
    <t>Mars Liyao Gao; J. Nathan Kutz; Bernat Font</t>
  </si>
  <si>
    <t>Identifying the governing equations of a dynamical system is one of the mostimportant tasks for scientific modeling. However, this procedure often requireshigh-quality spatio-temporal data uniformly sampled on structured grids. In thispaper, we propose mesh-free SINDy, a novel algorithm which leverages the powerof neural network approximation as well as auto-differentiation to identify gov-erning equations from arbitrary sensor placements and non-uniform temporal datasampling. We show that</t>
  </si>
  <si>
    <t>machine_learning; data_analysis; experimental; simulation</t>
  </si>
  <si>
    <t>plasma_physics; nuclear_fusion; machine_learning; uncertainty_quantification; numerical_methods; ai_scientific_discovery; equation_discovery; physics_informed_ml</t>
  </si>
  <si>
    <t>Snowplow Model Predictions for Plasma Temperature in Z pinch Discharges</t>
  </si>
  <si>
    <t>Miguel Cárdenas; Alejandro Nettle; Leandro Núñez</t>
  </si>
  <si>
    <t>Using the general framework of the snowplow model, we intro-duce the equations for computing plasma temperature in Z pinchdischarges. We also present expressions to quantify energy trans-fers in Z pinch discharges. We then apply this methodology to es-timate the temperature and energy transfers of a real prototypicalexperiment and analyze how the plasma temperature behaves undervarious modifications of the parameters of the prototypical exper-iment. Among our discoveries we highlight that</t>
  </si>
  <si>
    <t>dense_plasma_focus; z_pinch; plasma_physics; nuclear_fusion; pulsed_power; electrode_materials</t>
  </si>
  <si>
    <t>An Improved Z-Transform Finite Difference Time Domain Method for Electromagnetic Scattering and Plasma Stealth</t>
  </si>
  <si>
    <t>The plasma sheath can absorb or reflect electromagnetic waves, thus affecting thecommunication of hypersonic vehicles. The study of attenuation and enhancement of electromagneticscattering by plasma is of great significance. We propose a novel Z-transform finite-difference time-domain (ZT-FDTD) method to study the interaction between electromagnetic waves and plasmas. Thenumerical results show that this method has high accuracy and improves the computational efficiency by9.8percent, compare</t>
  </si>
  <si>
    <t>plasma_physics; numerical_methods</t>
  </si>
  <si>
    <t>Centrifugal confinement fusion thruster</t>
  </si>
  <si>
    <t>10.1080/10420150.2024.2434505</t>
  </si>
  <si>
    <t>Centrifugal confinement fusion, a promising alternative to toroidalconfinement devices like tokamaks and stellarators, leverages super-sonic plasma rotation within a magnetic mirror configuration toachieve simplified coil design, compactness, and enhanced stability.This brief article explores the potential of centrifugal confinementfusion for propulsion applications. A previous concern regardingthe escape of energetic ions, essential for propulsion, is addressedthrough test-particle simulations</t>
  </si>
  <si>
    <t>Hydrogen Utilization as a Plasma Source for Magnetohydrodynamic Direct Power Extraction (MHD-DPE)</t>
  </si>
  <si>
    <t>This study explores the suitability of hydrogen-based plasma in direct power extraction (DPE)as a non-conventional electricity generation method. We apply computational modeling and principles inphysics and chemistry to estimate different thermal and electric properties of a water-vapor/nitrogen/cesium-vapor (H 2O/N 2/Cs) gas mixture with different levels of cesium (Cs) at a fixed temperature of 2300 K(2026.85◦C). This gas mixture and temperature are selected because they resemble the stoich</t>
  </si>
  <si>
    <t>mhd; plasma_physics</t>
  </si>
  <si>
    <t>J. Plasma Phys. (2024), vol.90, 905900217 © The Author(s), 2024.</t>
  </si>
  <si>
    <t>10.1017/S0022377824000424</t>
  </si>
  <si>
    <t>plasma_physics; nuclear_fusion; radiation; pulsed_power; electrode_materials</t>
  </si>
  <si>
    <t>Plasma Antennas: A Comprehensive Review</t>
  </si>
  <si>
    <t>This paper aims to comprehensively review the literature on Gaseous Plasma Antennas(GPAs). These innovative devices transmit electromagnetic (EM) signals through ionized gas, knownas plasma, instead of conventional metal structures. GPAs offer distinct advantages over their metalliccounterparts, particularly in performance reconfigurability. The paper begins by evaluating the EMproperties of the plasma medium, exploring methodologies for its generation, measurement, and simulation.Subsequen</t>
  </si>
  <si>
    <t>review; experimental</t>
  </si>
  <si>
    <t>plasma_physics; nuclear_fusion; electrode_materials</t>
  </si>
  <si>
    <t>Plasma pressure profiles in a sheared-flow-stabilized Z-pinch</t>
  </si>
  <si>
    <t>10.1063/5.0209351</t>
  </si>
  <si>
    <t>We report the plasma pressure reached inside the central plasma column of a sheared-flow-stabilized Z-pinch using Thomson scatteringmeasurements. Building on previously reported experimental results and the analysis methods established for the high temperature andmoderate density plasmas generated on the FuZE device, we show evidence of a central plasma region with higher electron temperatureand density, which is consistent with a pinch behavior. Elevated electron temperatures up to 2 :2560:8</t>
  </si>
  <si>
    <t>experimental; data_analysis</t>
  </si>
  <si>
    <t>z_pinch; plasma_physics; nuclear_fusion; diagnostics; pulsed_power; electrode_materials</t>
  </si>
  <si>
    <t>10894_2023_342_Article 1..12</t>
  </si>
  <si>
    <t>Christopher Galea</t>
  </si>
  <si>
    <t>10.1007/s10894-023-00342-2</t>
  </si>
  <si>
    <t>The Princeton Field-Reversed Conﬁguration (PFRC) nuclear fusion reactor concept is an innovative approach to fusionpower generation prioritizing low neutron production and small size. A combination of analytical modeling and numericalsimulation shows that the novel heating approach generates an FRC with closed ﬁeld lines. Simulation data from a single-particle Hamiltonian code predicts ms-scale plasma heating in reactor-scale conditions while PIC codes predict formationof warm FRC plasmas from</t>
  </si>
  <si>
    <t>experimental; machine_learning; simulation; review</t>
  </si>
  <si>
    <t>plasma_physics; nuclear_fusion; radiation; particle_methods</t>
  </si>
  <si>
    <t>CitationRESEARCH ARTICLE| NOVEMBER 20 2023</t>
  </si>
  <si>
    <t>10.1063/5.0171845</t>
  </si>
  <si>
    <t>Magnetic mirror configurations are observed in natural settings and have various applications in laboratory plasmas, such as a magneticexpander of the open mirror fusion devices. The axial plasma flow in open mirror systems is significantly influenced by atomic processesinvolving neutrals, such as ionization and charge-exchange collisions. A quasi-two-dimensional computational model was developed tostudy these effects on accelerated plasma flow in magnetic mirror configurations. This model in</t>
  </si>
  <si>
    <t>plasma_physics; nuclear_fusion; uncertainty_quantification; turbulence; particle_methods</t>
  </si>
  <si>
    <t>FlDyn2360286Yatsukhno.fm</t>
  </si>
  <si>
    <t>Input2</t>
  </si>
  <si>
    <t>10.1134/S0015462823602863</t>
  </si>
  <si>
    <t>A brief review of publications on bench experiments focused on investigating the physicalprocesses accompanying the interaction between ionize d and neutral gases in the presence of an exter-nal magnetic field is presented. The main accent is on the studies concerning the problems of investi-gation of the anomalous ionization phenomenon when realizing the experiment’s parameters (themagnetic and electric field strengths, plasma and neutral gas densities, voltage, and gas type) that arethe most</t>
  </si>
  <si>
    <t>plasma_physics; nuclear_fusion; uncertainty_quantification; electrode_materials; turbulence</t>
  </si>
  <si>
    <t>Kyle P. Kelley,1,a Anna N. Morozovska,2 Eugene A. Eliseev,3 Yongtao Liu,1 Shelby S. Fields,4</t>
  </si>
  <si>
    <t>Kalinin, Sergei V.</t>
  </si>
  <si>
    <t>plasma_physics; electrode_materials</t>
  </si>
  <si>
    <t>Positive Streamer Initiation in SF&lt;sub&gt;6&lt;/sub&gt;/CO&lt;sub&gt;2&lt;/sub&gt; Based on Zener&amp;#x2019;s Field Ionization</t>
  </si>
  <si>
    <t>In this study, experiments were performed to measure the inception and breakdown voltagesof SF 6/CO 2mixed gases with varying mixing ratios at two different pressures (1 and 2 bar). Using thepreliminary data obtained from the experiments, a 3D particle model was used to investigate positive streamerinitiation in SF 6/CO 2with field ionization. Field ionization using Zener’s model was assumed to be similarto the electron detachment in air. The experimental results showed that at P=1 bar, the</t>
  </si>
  <si>
    <t>plasma_physics; machine_learning; electrode_materials; particle_methods</t>
  </si>
  <si>
    <t>Supernova simulations confront SN 1987A neutrinos</t>
  </si>
  <si>
    <t>10.1103/PhysRevD.108.083040</t>
  </si>
  <si>
    <t>simulation; experimental; review; machine_learning</t>
  </si>
  <si>
    <t>plasma_physics</t>
  </si>
  <si>
    <t>Targeting integrin pathways: mechanisms and advances in therapy</t>
  </si>
  <si>
    <t>Xiaocong Pang</t>
  </si>
  <si>
    <t>10.1038/s41392-022-01259-6</t>
  </si>
  <si>
    <t>review</t>
  </si>
  <si>
    <t>mdpi.com/journal/sensorsSpecial Issue Reprint</t>
  </si>
  <si>
    <t>10.3390/books978-3-7258-1450-3</t>
  </si>
  <si>
    <t>plasma_physics; nuclear_fusion; radiation; diagnostics</t>
  </si>
  <si>
    <t>2022 Review of Data-Driven Plasma Science</t>
  </si>
  <si>
    <t>10.1109/TPS.2023.3268170</t>
  </si>
  <si>
    <t>experimental; review; simulation; machine_learning</t>
  </si>
  <si>
    <t>plasma_physics; nuclear_fusion; machine_learning; uncertainty_quantification; diagnostics; ai_scientific_discovery</t>
  </si>
  <si>
    <t>CitationRESEARCH ARTICLE| APRIL 29 2021</t>
  </si>
  <si>
    <t>10.1063/5.0046843</t>
  </si>
  <si>
    <t>The large differential drift motion between electrons and ions that is created by the E /C2B current can produce different instabilities, such asthe electron cyclotron drift instability, perpendicular to the magnetic ﬁeld, and the Modiﬁed Two-Stream Instability (MTSI), with a compo-nent along the magnetic ﬁeld. In this paper, we derive and validate a stability condition for the apparition of the MTSI modes in 2D particle-in-cell simulations of E /C2B discharges in the radial-azimuthal plane of</t>
  </si>
  <si>
    <t>plasma_physics; particle_methods</t>
  </si>
  <si>
    <t>Edited byElectron Scattering</t>
  </si>
  <si>
    <t>MDPI</t>
  </si>
  <si>
    <t>10.3390/atoms10020054</t>
  </si>
  <si>
    <t>EditorGrzegorz Piotr KarwaszUniversity Nicolaus CopernicusPolandEditorial OfﬁceMDPISt. Alban-Anlage 664052 Basel, SwitzerlandThis is a reprint of articles from the Special Issue published online in the open access journalAtoms (ISSN 2218-2004) (available at: https://www.mdpi.com/journal/atoms/specialissues/ElectronScatteringGases PlasmaModeling).For citation purposes, cite each article independently as indicated on the article page online and asindicated below:LastName, A.A.; LastName</t>
  </si>
  <si>
    <t>Journal of Instrumentation</t>
  </si>
  <si>
    <t>10.1088/1748-0221/16/05/P05018</t>
  </si>
  <si>
    <t>PAPERCharge exchange radiation diagnostic with gas jettarget for measurement of plasma flow velocity inthe linear magnetic trapTo cite this article: A. Lizunov 2021 JINST 16 P05018</t>
  </si>
  <si>
    <t>plasma_physics; nuclear_fusion; radiation; diagnostics; electrode_materials; turbulence</t>
  </si>
  <si>
    <t>Thermally driven countercurrent plasma centrifuge</t>
  </si>
  <si>
    <t>10.1080/01496395.2020.1808683</t>
  </si>
  <si>
    <t>Renewed interest in plasma isotope separation stems from the need to produce certain isotopes more inexpensively. These include isotopes of groups I and II, rare earth and some other elements of the periodic table. While gas centrifuge cascades, developed for uranium enrichment, are capable of a wider range of separation applications, they are limited to elements that can form volatile gaseous compounds at room temperature. In the absence of a suitable compound, more expensive separation te</t>
  </si>
  <si>
    <t>Critical Velocity Ionization in Substellar Atmospheres</t>
  </si>
  <si>
    <t>A. D. Wilson</t>
  </si>
  <si>
    <t>The observation of radio, X-ray, and H αemission from substellar objects indicates the presence of plasma regionsand associated high-energy processes in their surrounding envelopes. This paper numerically simulates andcharacterizes critical velocity ionization (CVI ), a potential ionization process, that can ef ﬁciently generate plasma as aresult of neutral gas ﬂows interacting with seed magnetized plasmas. By coupling a gas –magnetohydrodynamic(MHD )interactions code (to simulate the ioniza</t>
  </si>
  <si>
    <t>mhd; plasma_physics; radiation; turbulence</t>
  </si>
  <si>
    <t>On the Relationship Between the Electromagnetic Burst and Inductive Sensor Measurement of a Pulsed Plasma Accelerator</t>
  </si>
  <si>
    <t>A remote and non-invasive diagnostic of the plasma focus using antennas is presented in thiswork. The main motivation is the application of such diagnostic in a miniaturized plasma accelerator, basedon the plasma focus architecture, as a cube satellite thruster. The evaluation of this proposal was carried outmeasuring a hundred of joules plasma focus operation simultaneously with the inductive measurement andantennas. Three different antennas tuned in the ultra high frequency range were test</t>
  </si>
  <si>
    <t>dense_plasma_focus; z_pinch; plasma_physics; nuclear_fusion; pulsed_power; electrode_materials; circuit_modeling</t>
  </si>
  <si>
    <t>A compact new incoherent Thomson scattering diagnostic for low-temperature plasma studies</t>
  </si>
  <si>
    <t>Benjamin Vincent</t>
  </si>
  <si>
    <t>Incoherent Thomson scattering (ITS )has a long history of application for the determination ofelectron density and temperature in dense fusion plasmas, and in recent years, has beenincreasingly extended to studies in low-temperature plasma environments. In this work, thedesign and preliminary implementation of a new, sensitive and uniquely compact ITS platformknown as Thomson scattering experiments for low temperature ion sources are described.Measurements have been performed on a hollow cat</t>
  </si>
  <si>
    <t>10.1109/TPS.2018.2868757resulting</t>
  </si>
  <si>
    <t>We present a new experimental platform for study-ing radiative shocks using an “inverse liner z-pinch” conﬁgura-tion. This platform was tested on the MAGPIE pulsed powerfacility ( ∼1M Aw i t har i s et i m eo f ∼240 ns) at Imperial CollegeLondon, U.K. Current is discharged through a thin-walled metaltube (a liner) embedded in a low-density gas-ﬁll and returnedthrough a central post. The resulting magnetic pressure insidethe liner launched a cylindrically symmetric, expanding radiativeshock in</t>
  </si>
  <si>
    <t>z_pinch; plasma_physics; nuclear_fusion; radiation; diagnostics; pulsed_power; electrode_materials</t>
  </si>
  <si>
    <t>Beam Velocity and Density Influences on Ion-Beam Pulses Moving in Magnetized Plasmas</t>
  </si>
  <si>
    <t>10.1109/TPS.2016.2581202to</t>
  </si>
  <si>
    <t>The wakeﬁeld and stopping power of an ion-beampulse moving in magnetized plasmas are investigated usingparticle-in-cell simulations. The effects of beam velocity anddensity on the wakeﬁeld and stopping power are discussed.Besides the longitudinal inverted V-shaped wakes, strong whistlerwaves are observed when low-density and low-velocity pulsesmove in plasmas in the presence of a magnetic ﬁeld. Thecorresponding stopping powers are enhanced because of dragfrom these whistler waves. As the beam</t>
  </si>
  <si>
    <t>plasma_physics; nuclear_fusion; particle_methods</t>
  </si>
  <si>
    <t>CitationRESEARCH ARTICLE| JULY 18 2016</t>
  </si>
  <si>
    <t>10.1063/1.4956443</t>
  </si>
  <si>
    <t>Alfv /C19en ionization in an MHD-gas interactions codeA. D. Wilson and D. A. DiverSchool of Physics and Astronomy, SUPA, University of Glasgow, Glasgow G12 8QQ, United Kingdom(Received 15 December 2015; accepted 22 June 2016; published online 18 July 2016)A numerical model of partially ionized plasmas is developed in order to capture their evolvingionization fractions as a result of Alfv /C19en ionization (AI). The mechanism of, and the parameterregime necessary for, AI is discussed and an</t>
  </si>
  <si>
    <t>mhd; plasma_physics; nuclear_fusion; particle_methods</t>
  </si>
  <si>
    <t>10.1088/1748-0221/8/12/C12014</t>
  </si>
  <si>
    <t>We applied Fraunhofer diffraction (FD) method to GAMMA10 plasma. The FDmethod can measure the density ﬂuctuation in detail and the wave number of the ﬂuctuation. Wesuccessfully obtained the density ﬂuctuation spectra in GAMMA 10. Analyzing the FD methodsignals of radial ﬂuctuation intensity proﬁle, we can successfully obtain the wave number and thephase velocity of the low frequency density ﬂuctuation.</t>
  </si>
  <si>
    <t>The Astrophysical Journal , 776:11 (20pp), 2013 October 10 doi: 10.1088/0004-637X/776/1/11</t>
  </si>
  <si>
    <t>IOP Publishing 2013 Sep 17:0:0</t>
  </si>
  <si>
    <t>10.1088/0004-637X/776/1/11</t>
  </si>
  <si>
    <t>Observations of continuous radio and sporadic X-ray emission from low-mass objects suggest they harbor localizedplasmas in their atmospheric environments. For low-mass objects, the degree of thermal ionization is insufﬁcientto qualify the ionized component as a plasma, posing the question: what ionization processes can efﬁcientlyproduce the required plasma that is the source of the radiation? We propose Alfv ´en ionization as a mechanism forproducing localized pockets of ionized gas in the at</t>
  </si>
  <si>
    <t>plasma_physics; radiation; turbulence</t>
  </si>
  <si>
    <t>Topical Review</t>
  </si>
  <si>
    <t>10.1088/0741-3335/55/6/063001</t>
  </si>
  <si>
    <t>A gas dynamic trap (GDT) is a version of a magnetic mirror whose characteristic features are along mirror-to-mirror distance, which exceeds the effective mean free path of ion scatteringinto a loss cone, a large mirror ratio ( R∼100)and axial symmetry. Under these conditions,the plasma conﬁned in a GDT is isotropic and Maxwellian. The rate at which it is lost out ofthe ends is governed by a set of simple gas-dynamic equations, hence the name of the device.Plasma magnetohydrodynamic stability is</t>
  </si>
  <si>
    <t>mhd; plasma_physics; nuclear_fusion</t>
  </si>
  <si>
    <t>arXiv:1305.4928v1 [physics.plasm-ph] 21 May 2013PLASMAS AND GASES</t>
  </si>
  <si>
    <t>mhd; plasma_physics; nuclear_fusion; pulsed_power; electrode_materials</t>
  </si>
  <si>
    <t>Gas rarefaction and the time evolution of long high-power impulse magnetron sputtering pulses</t>
  </si>
  <si>
    <t>C Huo et al</t>
  </si>
  <si>
    <t>10.1088/0963-0252/21/4/045004</t>
  </si>
  <si>
    <t>Model studies of 400 µs long discharge pulses in high-power impulse magnetron sputteringhave been made to study the gas dynamics and plasma chemistry in this type of pulsedprocessing plasma. Data are taken from an experiment using square voltage pulses applied toan Al target in an Ar atmosphere at 1.8 Pa. The study is limited to low power densities,&lt;0.5k Wc m−2, in which the discharge is far away from the runaway self-sputtering mode.The model used is the ionization region model, a time-depen</t>
  </si>
  <si>
    <t>Title of dissertation: DIAMAGNETISM OF A SUPERSONIC</t>
  </si>
  <si>
    <t>DIAMAGNETISM OF A SUPERSONICROTATING MAGNETIZED PLASMAbyWilliam YoungDissertation submitted to the Faculty of the Graduate School of theUniversity of Maryland, College Park in partial fulﬁllmentof the requirements for the degree ofDoctor of Philosophy2012Advisory Committee:Professor Adil Hassam, Chair/AdvisorProfessor Richard EllisProfessor Christopher DavisDr. John RodgersProfessor William DorlandAll rights reservedINFORMATION TO ALL USERSThe quality of this reproduction is dep</t>
  </si>
  <si>
    <t>mhd; plasma_physics; nuclear_fusion; radiation; diagnostics; pulsed_power</t>
  </si>
  <si>
    <t>ORIGINAL RESEARCH</t>
  </si>
  <si>
    <t>10.1007/s10894-010-9331-x</t>
  </si>
  <si>
    <t>Velocity of hydrogen plasmas rotating due toimposed E9Bﬁelds at the Maryland Centrifugal Exper-iment (MCX) (Ellis et al., Phys Plasmas 12:055704, 2005),where Eis the electric ﬁeld in the radial direction and Bthemagnetic ﬁeld in the axial direction of a cylindrical con-ﬁguration, has traditionally been measured using Dopplershifts of atomic spectra from impurity elements such ascarbon. Ideally, the gyrocenter of trace particles rotates atthe bulk plasma velocity, regardless of the charged</t>
  </si>
  <si>
    <t>mhd; plasma_physics; nuclear_fusion; radiation</t>
  </si>
  <si>
    <t>Sub-Alfvénic velocity limits in magnetohydrodynamic rotating plasmas</t>
  </si>
  <si>
    <t>10.1063/1.3383051</t>
  </si>
  <si>
    <t>Reuse of AIP content is subject to the terms at: http://pop.aip.org/about/rights_and_permissionsSub-Alfvénic velocity limits in magnetohydrodynamic rotating plasmasC. Teodorescu, R. Clary, R. F. Ellis, A. B. Hassam,C. A. Romero-Talamas, and W. C. YoungUniversity of Maryland, College Park, Maryland 20742, USA/H20849Received 15 December 2009; accepted 17 March 2010; published online 14 May 2010 /H20850Magnetized plasmas in shaped ﬁelds rely on large, supersonic rotation to effect centrifugal</t>
  </si>
  <si>
    <t>3372833.pdf</t>
  </si>
  <si>
    <t>aduma</t>
  </si>
  <si>
    <t>The quality of this reproduction is dependent upon the quality of the copy submitted. Broken or indistinct print, colored or poor quality illustrations and photographs, print bleed-through, substandard margins, and improper alignment can adversely affect reproduction. In the unlikely event that the author did not send a complete manuscript and there are missing pages, these will be noted. Also, if unauthorized copyright material had to be removed, a note will indicate the deletion.</t>
  </si>
  <si>
    <t>plasma_physics; nuclear_fusion; radiation; pulsed_power</t>
  </si>
  <si>
    <t>Current‐voltage relation of a centrifugally confined plasma</t>
  </si>
  <si>
    <t>L. C. Ray, Y.&amp;#8208;J. Su, R. E. Ergun, P. A. Delamere, F. Bagenal</t>
  </si>
  <si>
    <t>10.1029/2008JA013969</t>
  </si>
  <si>
    <t>Mirror stabilization experiments in the Hanbit device</t>
  </si>
  <si>
    <t>A.C. England et al</t>
  </si>
  <si>
    <t>10.1088/0029-5515/49/12/125008</t>
  </si>
  <si>
    <t>The Hanbit magnetic mirror device has been involved in a series of experiments on stabilization of the MHD ﬂutetype mode. We undertook investigations to see whether a divertor and the kinetic stabilizer (KS) of Post et al canstabilize the MHD instability. The Hanbit divertor conﬁguration used one of the central cell coils with reversedcurrent as the divertor coil and two other coils with increased current to compensate the ﬁeld droop. The divertoreliminated the m=− 1 instability when the null p</t>
  </si>
  <si>
    <t>mhd; plasma_physics; nuclear_fusion; diagnostics</t>
  </si>
  <si>
    <t>CitationRESEARCH ARTICLE| NOVEMBER 25 2008</t>
  </si>
  <si>
    <t>10.1063/1.3028312</t>
  </si>
  <si>
    <t>Analysis and modeling of edge ﬂuctuations and transport mechanismin the Maryland Centrifugal ExperimentI. U. Uzun-Kaymak, P . N. Guzdar, R. Clary, R. F. Ellis, A. B. Hassam, and C. TeodorescuInstitute for Research in Electronics and Applied Physics, University of Maryland, College Park,Maryland 20742, USA/H20849Received 21 August 2008; accepted 29 October 2008; published online 25 November 2008 /H20850The Maryland Centrifugal Experiment /H20851R. F. Ellis et al. , Phys. Plasmas 12, 055704</t>
  </si>
  <si>
    <t>mhd; plasma_physics; nuclear_fusion; electrode_materials; circuit_modeling</t>
  </si>
  <si>
    <t>A Critical Ionization Velocity Experiment on the ARGOS Satellite</t>
  </si>
  <si>
    <t>10.2514/6.2007-279</t>
  </si>
  <si>
    <t>AmericanInstituteofAeronauticsandAstronautics 2()* 2 / V e M =Nomenclature V*=criticalionization velocity B =magnetic field E =electricfield e =electroncharge =efficiencyofionizationbyCIV. M =molecularweightoftheneutralgas nXe =densityo fneutralxenongas nO+ =densityofoxygenion c=chargeexchangeratebetweenneutralxenonandoxygenion i=gyrofrequencyofxenonion LH =lowerhybridplasmamodetimescale =cross -sectionofchargeexchange betweenxenonandoxygenion qi =chargeofion H =electronhe</t>
  </si>
  <si>
    <t>Title of dissertation: PARAMETRIC LIMITATIONS ON DISCHARGE</t>
  </si>
  <si>
    <t>PARAMETRIC LIMITATIONS ON DISCHARGEPERFORMANCE IN THEMARYLAND CENTRIFUGAL EXPERIMENTbyRobert LunsfordDissertation submitted to the Faculty of the Graduate School of theUniversity of Maryland, College Park in partial fulﬁllmentof the requirements for the degree ofDoctor of Philosophy2007Advisory Committee:Professor Richard Ellis, ChairProfessor Adil HassamProfessor Alan W. DesilvaAssociate Professor William DorlandProfessor Wendell T. HillUMI Number: 326033032603302007Copyright</t>
  </si>
  <si>
    <t>plasma_physics; diagnostics; pulsed_power; circuit_modeling</t>
  </si>
  <si>
    <t>Maser based on cyclotron resonance in a decaying plasma</t>
  </si>
  <si>
    <t>plasma_physics; physics_informed_ml</t>
  </si>
  <si>
    <t>Axial Electron Heat Loss from Mirror Devices Revisited</t>
  </si>
  <si>
    <t>eedadmin</t>
  </si>
  <si>
    <t>10.13182/FST05-A627</t>
  </si>
  <si>
    <t>AXIAL ELECTRON HEAT LOSS FROM MIRROR DEVICES REVISITEDD.D. RyutovLawrence Livermore National Laboratory, Livermore, CA 94551, USAAn issue of the axial electron heat loss is of a significantimportance for mirror-based fusion devices. This problemhas been considered in a number of publications but it isstill shrouded in misconceptions. In this paper we revisitit once again. We discuss the following issues: 1)Formation of the electron distribution function in the endtank at large expansion r</t>
  </si>
  <si>
    <t>CitationBRIEF REPORT| FEBRUARY 08 2005</t>
  </si>
  <si>
    <t>10.1063/1.1854687</t>
  </si>
  <si>
    <t>Vacuum ultraviolet measurements on hydrogen resonance linesin the Maryland Centrifugal ExperimentJ. Ghosh, R. Elton, H. Griem, C. T eodorescu, A. Case, and R. EllisInstitute for Research in Electronics and Applied Physics, University of Maryland, College Park, Maryland20742/H20849Received 19 October 2004; accepted 7 December 2004; published online 8 February 2005;publisher error corrected 20 October 2005 /H20850Extended spectroscopic measurements of hydrogen emission into the vacuum ultra</t>
  </si>
  <si>
    <t>plasma_physics; nuclear_fusion; radiation; electrode_materials</t>
  </si>
  <si>
    <t>CitationRESEARCH ARTICLE| MAY 05 2005</t>
  </si>
  <si>
    <t>10.1063/1.1896954</t>
  </si>
  <si>
    <t>Steady supersonically rotating plasmas in the Maryland CentrifugalExperimenta R. F. Ellis,b!A. Case, R. Elton, J. Ghosh, H. Griem, A. Hassam, R. Lunsford,S. Messer, and C. TeodorescuUniversity of Maryland, College Park, Maryland 20742-3511sReceived 12 November 2004; accepted 28 February 2004; published online 5 May 2005 dThe Maryland Centrifugal Experiment MCX fR. F. Ellis, A. B. Hassam, and S. Messer, Phys.Plasmas 8, 2057 s2000 dgstudies supersonic rotation and enhanced conﬁnement produc</t>
  </si>
  <si>
    <t>mhd; plasma_physics; nuclear_fusion; radiation; diagnostics; pulsed_power; circuit_modeling; turbulence</t>
  </si>
  <si>
    <t>Steady supersonically rotating plasmas in the Maryland Centrifugal Experiment</t>
  </si>
  <si>
    <t>CitationRESEARCH ARTICLE| OCTOBER 01 2004</t>
  </si>
  <si>
    <t>10.1063/1.1789619</t>
  </si>
  <si>
    <t>Measurement of the rotational velocity in Hanbit mirror deviceby using the Gundestrup-emissive-triple probe systemK.-S. Chung,a)G. Y. Kwak, Y.-S. Choi, and M.-J. LeeElectric Probe Applications Laboratory, Hanyang University, Seoul 133-791, KoreaJ. G. Bak and M. KwonKorea Basic Science Institute, Yusung, Taejeon, 305-333, Korea(Presented on 22 April 2004; published 20 October 2004 )A new probe set, called the Gundestrup-emissive-triple (GET )probe, is developed to measure therotational ve</t>
  </si>
  <si>
    <t>plasma_physics; nuclear_fusion; diagnostics</t>
  </si>
  <si>
    <t>Microsoft PowerPoint - Madison Workshop for FUSE 2018.ppt</t>
  </si>
  <si>
    <t>hassam</t>
  </si>
  <si>
    <t>Basic Idea• centrifugal forces =&gt; axial confinement • rotation shear =&gt; stability to interchanges Hassam, AB, Comments Plasma Phys Cont. Fus., 18, 26 3, 1997 Ellis, RF; Hassam, AB; Messer, S; et al. PHYSICS OF PLASMAS 8, 2057, 2001 Next few slides show why need Ms&gt; 1 •Sonic Mach number, Ms, is the Figure of Merit for Equilibrium, Stability, and Lawson Breakeven. Ms&gt; 1MHD Centrifugal Confinement =&gt; need high Mach number B. ∇∇∇∇p = - B.[nm u.∇∇∇∇u] p : nmu 21 : u</t>
  </si>
  <si>
    <t>VOLUME 87, N UMBER 2 3 PHYSICAL REVIEW LETTERS 3D ECEMBER 2001</t>
  </si>
  <si>
    <t>10.1103/PhysRevLett.87.235002</t>
  </si>
  <si>
    <t>simulation; review</t>
  </si>
  <si>
    <t>TSS‐1R electron currents: Magnetic limited collection from a heated presheath</t>
  </si>
  <si>
    <t>David L. Cooke, Ira Katz</t>
  </si>
  <si>
    <t>We show that currents collected by TSS-1R are con- sistent with Parker-Murphy magnetic limited collection from the ionosphere where the local electron temperatures are elevated as observed during the first TSS-1 mission. An analytic develop- ment of the previous Katz et al. [1994] presheath model is presented. This model accounts for the heating that occurs as electrons fall through the potentials necessary to reflect the ram ions while satisfying the Bohm sheath stability criterion. This</t>
  </si>
  <si>
    <t>plasma_physics; diagnostics</t>
  </si>
  <si>
    <t>INFORMATION TO USERS</t>
  </si>
  <si>
    <t>Reproduced with permission of the copyright owner. Further reproduction prohibited without permission.</t>
  </si>
  <si>
    <t>Momentum coupling in the “CRIT II” critical ionization velocity experiment</t>
  </si>
  <si>
    <t>K. Liou, R. B. Torbert, G. Haerendel</t>
  </si>
  <si>
    <t>A unified theory has been developed to explain the formation of a quasi-dc electric pulse (co &lt; fi) induced by an ionizing neutral barium beam across n ionospheric plasma. We obtained a generalized form for the dc electric field in the plane perpendicular to the magnetic field within a simplified slab barium cloud moving perpendicular to the geomagnetic fields. A current system associated with the quasi-dc electric field was also proposed to provide a way to transfer the momentum between</t>
  </si>
  <si>
    <t>Non‐solar UV produced ions observed optically from the “CRIT I” Critical Velocity Ionization Experiment</t>
  </si>
  <si>
    <t>H. C. Stenbaek-Nielsen, E. M. Wescott, D. Rees, A. Valenzuela, N. Brenning</t>
  </si>
  <si>
    <t>Alfven's Critical Velocity Effect Tested in Space</t>
  </si>
  <si>
    <t>G. Haerendel • Alfven's Critical Velocity Effect Tested in Space 729 interactions. A sounding rocket flight of a complex payload with plasma diagnostic instruments and, among others, a separable shaped charge provided an occasion of studying this effect in great detail [11]. The data are discussed in a separate paper which will be referred to as Paper 2. A similar ex-periment was performed by Deehr et al. (1982) [20] using barium and strontium, but without any in-situ diagnostics. Aft</t>
  </si>
  <si>
    <t>Journal of Physics D:</t>
  </si>
  <si>
    <t>Critical ionisation velocity and the dynamics of acoaxial plasma gunTo cite this article: M A Raadu 1978 J. Phys. D: Appl. Phys. 11 363</t>
  </si>
  <si>
    <t>plasma_physics; diagnostics; electrode_materials</t>
  </si>
  <si>
    <t>Trajectories of Charged Particles in Radial Electric and Uniform Axial Magnetic Fields</t>
  </si>
  <si>
    <t>Gerald W. Englert</t>
  </si>
  <si>
    <t>Review of the critical velocity of gas-plasma interaction</t>
  </si>
  <si>
    <t>A review is given of the experimental investigations concerning the critical velocity of the interaction between a neutral gas and a plasma in relative motion. In most of the experiments this critical velocity is equivalent to a voltage limitation of a discharge through a partially ionized, mag- netized plasma. The critical velocity phenomenon can have been of importance in a large number of experiments but it has been observed in rather few cases and studied in detail in less than half a do</t>
  </si>
  <si>
    <t>Critical voltage of a rotating plasma</t>
  </si>
  <si>
    <t>View the article online for updates and enhancements. You may also like On improved confinement in mirror plasmas by a radial electric field O Ågren and V E Moiseenko -CHARACTERIZING TRANSITION TEMPERATURE GAS IN THE GALACTIC CORONA Bart P. Wakker, Blair D. Savage, Andrew J. Fox et al. -Extension of measurable velocity limit of ultrasonic velocity profiling based on phase difference gradient analysis Naruki Shoji -</t>
  </si>
  <si>
    <t>plasma_physics; nuclear_fusion; electrode_materials; circuit_modeling</t>
  </si>
  <si>
    <t>View the article online for updates and enhancements. You may also like On the current density limiting effect in SF6-based mixtures A A Belevtsev, K N Firsov, S Yu Kazantsev et al. -Occultation of a Large Star by the Large Plutino (28978) Ixion on 2020 October 13 UTCStephen E. Levine, Carlos A. Zuluaga, Michael J. Person et al. -Discussion of the deflagration index expression for cylindrical vessel Zhe Song, Peili Zhang, Jianjun Liang et al. -</t>
  </si>
  <si>
    <t>Collision between a Nonionized Gas and a Magnetized Plasma</t>
  </si>
  <si>
    <t>H. Alfven</t>
  </si>
  <si>
    <t>COLLISIONS OFGASANDPLASMA 7ii6-089600gauss0xxB~7000gaussKa~~~~~~ ~~~~~~xxBoooogauss~aO~eaesey~~~~~0 Orotation. Afterafewmicroseconds astationary stateisreached. Theplasmarotates withacertainvelocityvyandthevoltage between A~andA2hasaconstantvalue(during30@secormore).Thevoltage canbeexpected tobegivenbythepolarization oftheplasma,sothatB2wgBpdR.c~xi2-1O 20H V=10kVR=2Q50 160FxG.2.Voltage between theelectrodes asafunctionofthegaspressure (hydrogen).2.SUMMARY OFBLOCK'S ANDFAHLES</t>
  </si>
  <si>
    <t>PII: 0032-0633(82)90059-9</t>
  </si>
  <si>
    <t>The critical velocity triggering anomalous ionization of the neutral gas by plasma flow is calculated for the model based on the lower hybride instability. It depends strongly on the plasma and gas parameters, defining the instability development of the ionized atoms beam in the counter- streaming plasma. In particular, the possible role of the critical ionization mechanism for Halley’s comet is examined. The fulfilment of both Townsend’s condition for the selfustained beam plasma dis- cha</t>
  </si>
  <si>
    <t>Kinetic and nonlinear processes in space plasmas</t>
  </si>
  <si>
    <t>On the origin of the solar system. By H. Alfvén. International series of monographs on physics, Oxford (Clarendon Press), 1954. Pp. viii, 194; 47 Figs., 15 tables</t>
  </si>
  <si>
    <t>05-Nuclear-Radiation</t>
  </si>
  <si>
    <t>ELEMENTS OF NEUTRON PHYSICS</t>
  </si>
  <si>
    <t>nuclear_fusion; uncertainty_quantification; radiation</t>
  </si>
  <si>
    <t>JHEP01(2021)107</t>
  </si>
  <si>
    <t>10.1007/JHEP01(2021</t>
  </si>
  <si>
    <t>New light particles produced in supernovae can lead to additional energy lossand a consequent deﬁcit in neutrino production in conﬂict with the neutrinos observedfrom Supernova 1987A (SN1987A). Contrary to the majority of previous SN1987A studies,we examine the impact of Z′bosons, axions, and axion-like particles (ALPs) interactingwith the muonsproduced in SN1987A. For the ﬁrst time, we ﬁnd constraints on generic Z′bosonscoupledtomuons, andapplyourresultstoparticlemodelsincludinggauged Lµ−L</t>
  </si>
  <si>
    <t>nuclear_fusion; radiation</t>
  </si>
  <si>
    <t>PoS(COSMICWISPers)041</t>
  </si>
  <si>
    <t>review; experimental; machine_learning</t>
  </si>
  <si>
    <t>radiation; nuclear_fusion</t>
  </si>
  <si>
    <t>BOOK OF ABSTRACTS</t>
  </si>
  <si>
    <t>Aleksandar Ristic</t>
  </si>
  <si>
    <t>I BOOK OF ABSTRACTS ELEVENTH INTERNATI ONAL CONFERENCE ON RADIATION, NATURAL SCIENCES, MEDICINE, ENGINEERING, TECHNOLOGY AND ECOLOGY (RAD 202 3) 19–23.06.202 3 | HERCEG NOVI | www.rad -conference.org TABLE OF CONTENTS Click on the title of the abstract to access it PLENA RY LECTURES Dejan Trbojevic, Design of the Affordable FLASH Proton Therapy Facility with Permanent Magnets ... 1 BIOCHEMISTRY Aušra Nemeikaitė -Čėnienė, Violeta Jonušienė, Lina Misevičienė, Audronė Maro</t>
  </si>
  <si>
    <t>machine_learning; nuclear_fusion; radiation</t>
  </si>
  <si>
    <t>Developing Ni single-atom sites in carbon nitride for efficient photocatalytic H2O2 production</t>
  </si>
  <si>
    <t>Xu Zhang</t>
  </si>
  <si>
    <t>10.1038/s41467-023-42887-y</t>
  </si>
  <si>
    <t>Endoplasmic reticulum stress: molecular mechanism and therapeutic targets</t>
  </si>
  <si>
    <t>Xingyi Chen</t>
  </si>
  <si>
    <t>10.1038/s41392-023-01570-w</t>
  </si>
  <si>
    <t>Fe/Cu diatomic catalysts for electrochemical nitrate reduction to ammonia</t>
  </si>
  <si>
    <t>Shuo Zhang</t>
  </si>
  <si>
    <t>10.1038/s41467-023-39366-9</t>
  </si>
  <si>
    <t>electrode_materials; nuclear_fusion; radiation</t>
  </si>
  <si>
    <t>First measurements of p11B fusion in a magnetically confined plasma</t>
  </si>
  <si>
    <t>R. M. Magee</t>
  </si>
  <si>
    <t>10.1038/s41467-023-36655-1</t>
  </si>
  <si>
    <t>plasma_physics; nuclear_fusion; radiation; turbulence</t>
  </si>
  <si>
    <t>Impact of impurities on water electrolysis: a review</t>
  </si>
  <si>
    <t>Hans Becker</t>
  </si>
  <si>
    <t>10.1039/d2se01517jrsc.li/sustainable-energy</t>
  </si>
  <si>
    <t>Large-area synthesis and transfer of multilayer hexagonal boron nitride for enhanced graphene device arrays</t>
  </si>
  <si>
    <t>Satoru Fukamachi</t>
  </si>
  <si>
    <t>10.1038/s41928-022-00911-x</t>
  </si>
  <si>
    <t>Synergistic effects of mixing and strain in high entropy spinel oxides for oxygen evolution reaction</t>
  </si>
  <si>
    <t>Jihyun Baek</t>
  </si>
  <si>
    <t>10.1038/s41467-023-41359-7</t>
  </si>
  <si>
    <t>radiation; electrode_materials; nuclear_fusion</t>
  </si>
  <si>
    <t>The code uses a phenomenological mechanism for beam-target production of fusion neutrons, partially based on ideas published by Gribkov et al 17</t>
  </si>
  <si>
    <t>Loh</t>
  </si>
  <si>
    <t>10.1007/s10894-008-9132-7</t>
  </si>
  <si>
    <t>Experimental data of neutron yield Y n against pinch current I pinch is assembled to produce a more global scaling law than available. From the data a mid-range point is obtained to calibrate the neutron production mechanism of the Lee Model code. This code is then used for numerical experiments on a range of focus devices to derive neutron scaling laws. The results are the following: Y n=2x1011Ipinch4.7 and Y n=9x109Ipeak3.9. It is felt that the scaling law with respect to I pinch is rig</t>
  </si>
  <si>
    <t>dense_plasma_focus; plasma_physics; nuclear_fusion; electrode_materials; radiation</t>
  </si>
  <si>
    <t>06-Circuit-Engineering</t>
  </si>
  <si>
    <t>Electron Trajectories and Critical Current in a Two-Dimensional Planar Magnetically Insulated Crossed-Field Gap</t>
  </si>
  <si>
    <t>The critical current in a one-dimensional (1D) crossed-field gap is defined by the transition froma cycloidal flow to a near-Brillouin (nB) state characterized by electron flow orthogonal to both the electricand magnetic fields and uniform virtual cathode formation. Motivated by recent studies on space-charge-limited current in non-magnetic diodes, we assess the meaning of critical current in a magentically insulatedtwo-dimensional (2D) planar crossed-field geometry. Particle-in-cell (PIC) s</t>
  </si>
  <si>
    <t>plasma_physics; nuclear_fusion; electrode_materials; turbulence; particle_methods; circuit_modeling; pulsed_power</t>
  </si>
  <si>
    <t>A Review on Challenges in DC Microgrid Planning and Implementation</t>
  </si>
  <si>
    <t>Kolampurath Jithin, Graduate Student Member, IEEE, Puthan Purayil Haridev, Nanappan Mayadevi, Raveendran Pillai Harikumar, Member, IEEE, and Valiyakulam Prabhakaran Mini</t>
  </si>
  <si>
    <t>DC microgrids are gaining more attention with the increased penetration of various DC sources such as solar pho ‐tovoltaic systems , fuel cells , batteries , etc., and DC loads . Due to the rapid integration of these components into the existing power system , the importance of DC microgrids has reached a salient point . Compared with conventional AC systems , DC sys‐tems are free from synchronization issues , reactive power con ‐trol, frequency control , etc., and are more reliable and e</t>
  </si>
  <si>
    <t>machine_learning; circuit_modeling; pulsed_power</t>
  </si>
  <si>
    <t>Towards physics-informed machine learning-based predictive maintenance for power converters – A review</t>
  </si>
  <si>
    <t>Youssof Fassi, Vincent Heiries, Jérôme Boutet, Sebastien Boisseau</t>
  </si>
  <si>
    <t>10.1109/TPEL.2023.3328438_xFFFF_</t>
  </si>
  <si>
    <t>Abstract— Predictive maintenance for power electronic converters has emerged as a critical area of research and development. With the rapid advancements in deep learning techniques, new possibilities have emerged for enhancing the performance and reliability of pow er converters. However, addressing challenges related to data resources, physical consistency, and generalizability has become crucial in achieving optimal strategies. This comprehensive review article presents an insightful ov</t>
  </si>
  <si>
    <t>machine_learning; review; simulation</t>
  </si>
  <si>
    <t>nuclear_fusion; machine_learning; uncertainty_quantification; numerical_methods; ai_scientific_discovery; physics_informed_ml; circuit_modeling; pulsed_power</t>
  </si>
  <si>
    <t>07-Diagnostics</t>
  </si>
  <si>
    <t>Physics Principles of Inertial Conﬁnement Fusion and U.S. Program</t>
  </si>
  <si>
    <t>z_pinch; plasma_physics; nuclear_fusion; radiation; pulsed_power; diagnostics</t>
  </si>
  <si>
    <t>Development of plasma sources and diagnostics for the simulation of fusion edge plasmas</t>
  </si>
  <si>
    <t>Hyun-Jong Woo</t>
  </si>
  <si>
    <t>10.1007/s40042-021-00374-x</t>
  </si>
  <si>
    <t>Although the research on divertors and scrape-off layers (SOLs) has been not as focused on as the recent success of the Korean fusion program, a few linear plasma devices have been developed for simulating divertor and SOL plasmas: (1) diversified plasma simulator (DiPS), a versatile linear machine, has been developed for simulations of divertor and space plasmas with various electric probes, such as single, triple, and Mach Probes and gridded energy analyzer. DiPS consists of two major part</t>
  </si>
  <si>
    <t>plasma_physics; nuclear_fusion; radiation; diagnostics; electrode_materials</t>
  </si>
  <si>
    <t>Plasma Dynamics Using Ion Doppler Spectroscopy in HIT-SI3</t>
  </si>
  <si>
    <t>Charles T. Hooper</t>
  </si>
  <si>
    <t>Plasma Dynamics Using Ion Doppler Spectroscopy in HIT-SI3Charles T. HooperChair of the Supervisory Committee:Professor Thomas R. JarboeWilliam E. Boeing Department of Aeronautics and AstronauticsThe HIT-SI3 experiment uses three inductive helicty injectors to form andsustain a spheromak plasma by imposed-dynamo current drive (IDCD). Anion Doppler spectrometer utilizes 72 viewing chords and a µs time resolu-tion to measure CIII impurity ions on the toroidal midplane. A Monte Carlonumeric</t>
  </si>
  <si>
    <t>mhd; plasma_physics; nuclear_fusion; radiation; machine_learning; uncertainty_quantification; diagnostics</t>
  </si>
  <si>
    <t>08-Electrodes-Materials</t>
  </si>
  <si>
    <t>Titanium nitride (TiN) as a promising alternative to plasmonic metals: a comprehensive review of synthesis and applications</t>
  </si>
  <si>
    <t>Ujjwal Mahajan</t>
  </si>
  <si>
    <t>10.1039/d3ma00965c</t>
  </si>
  <si>
    <t>radiation; electrode_materials</t>
  </si>
  <si>
    <t>A review on nanoparticles: characteristics, synthesis, applications, and challenges</t>
  </si>
  <si>
    <t>Khadijah A. Altammar</t>
  </si>
  <si>
    <t>10.3389/fmicb.2023.1155622</t>
  </si>
  <si>
    <t>electrode_materials</t>
  </si>
  <si>
    <t>09-Machine-Learning</t>
  </si>
  <si>
    <t>MeshGraphNet-Transformer: Scalable Mesh-based Learned Simulation for Solid Mechanics</t>
  </si>
  <si>
    <t>Mikel M. Iparraguirre; Iciar Alfaro; David Gonzalez; Elias Cueto</t>
  </si>
  <si>
    <t>We present MeshGraphNet-Transformer (MGN-T), a novel architecture that combines the globalmodeling capabilities of Transformers with the geometric inductive bias of MeshGraphNets, whilepreserving a mesh-based graph representation. MGN-T overcomes a key limitation of standard MGN,the inefficient long-range information propagation caused by iterative message passing on large,high-resolution meshes. A physics-attention Transformer serves as a global processor, updating allnodal states simultan</t>
  </si>
  <si>
    <t>nuclear_fusion; machine_learning; numerical_methods; ai_scientific_discovery; graph_neural_networks; physics_informed_ml</t>
  </si>
  <si>
    <t>RUNNs: Ritz-Uzawa Neural Networks for Solving Variational Problems</t>
  </si>
  <si>
    <t>Pablo Herrera; Jamie M. Taylor; Carlos Uriarte; Ignacio Muga; David Pardo; Kristoffer G. van der Zee</t>
  </si>
  <si>
    <t>Solving Partial Differential Equations (PDEs) using neural networks presents different challenges, includingintegration errors and spectral bias, often leading to poor approximations. In addition, standard neuralnetwork-based methods, such as Physics-Informed Neural Networks (PINNs), often lack stability when dealingwith PDEs characterized by low-regularity solutions.To address these limitations, we introduce the Ritz–Uzawa Neural Networks (RUNNs) framework, an it-erative methodology to sol</t>
  </si>
  <si>
    <t>machine_learning; experimental; simulation</t>
  </si>
  <si>
    <t>machine_learning; ai_scientific_discovery; physics_informed_ml</t>
  </si>
  <si>
    <t>Conservation-informed Graph Learning for Spatiotemporal Dynamics Prediction</t>
  </si>
  <si>
    <t>10.1145/3690624.3709244Keywords</t>
  </si>
  <si>
    <t>Data-centric methods have shown great potential in understandingand predicting spatiotemporal dynamics, enabling better design andcontrol of the object system. However, deep learning models oftenlack interpretability, fail to obey intrinsic physics, and struggle tocope with the various domains. While geometry-based methods,e.g., graph neural networks (GNNs), have been proposed to furthertackle these challenges, they still need to find the implicit physicallaws from large datasets and rely</t>
  </si>
  <si>
    <t>machine_learning; data_analysis; simulation</t>
  </si>
  <si>
    <t>machine_learning; ai_scientific_discovery; equation_discovery; graph_neural_networks; physics_informed_ml</t>
  </si>
  <si>
    <t>Data-driven discovery of the equations of turbulent convection</t>
  </si>
  <si>
    <t>Christopher J. Wareing; Alasdair T. Roy; Matthew Golden; Roman O. Grigoriev; Steven M. Tobias</t>
  </si>
  <si>
    <t>machine_learning; numerical_methods; turbulence; ai_scientific_discovery; equation_discovery; physics_informed_ml</t>
  </si>
  <si>
    <t>NAS-PINN V2: I MPROVED NEURAL ARCHITECTURE SEARCH</t>
  </si>
  <si>
    <t>Limited by the operation and measurement conditions, numerical simulation is often the only feasibleapproach for studying plasma behavior and mechanisms. Although artificial intelligence methods,especially physics-informed neural network (PINN), have been widely applied in plasma simulation,the design of the neural network structures still largely relies on the experience of researchers.Meanwhile, existing neural architecture search methods tailored for PINN have encountered failureswhen de</t>
  </si>
  <si>
    <t>simulation; machine_learning; experimental</t>
  </si>
  <si>
    <t>mhd; plasma_physics; nuclear_fusion; machine_learning; uncertainty_quantification; numerical_methods; turbulence; ai_scientific_discovery; physics_informed_ml</t>
  </si>
  <si>
    <t>Neural operator surrogate models of plasma edge simulations: feasibility and data efficiency</t>
  </si>
  <si>
    <t>N. Carey; L. Zanisi; S. Pamela; V. Gopakumar; J. Omotani; J. Buchanan; J. Brandstetter; F. Paischer; G. Galletti; P. Setinek</t>
  </si>
  <si>
    <t>Simulation-based plasma scenario development plays a crucial role in designing next-generation tokamaks and fusion power plants. However, the inclusion of high-fidelitysimulations of Scrape-Off Layer (SOL) turbulence and transient MHD events such as EdgeLocalized Modes (ELMs) in highly iterative applications remains computationally prohibitive,limiting their use in design and control workflows. Understanding these phenomena is vital,as they govern heat flux on plasma-facing components, infl</t>
  </si>
  <si>
    <t>simulation; machine_learning; data_analysis; experimental</t>
  </si>
  <si>
    <t>mhd; plasma_physics; nuclear_fusion; machine_learning; turbulence</t>
  </si>
  <si>
    <t>Reconstructing Relativistic Magnetohydrodynamics with Physics-Informed Neural Networks</t>
  </si>
  <si>
    <t>Corwin Cheung; Marcos Johnson-Noya; Michael Xiang; Dominic Chang; Alfredo Guevara</t>
  </si>
  <si>
    <t>We construct the first physics-informed neural-network (PINN) surrogates for relativistic magneto-hydrodynamics (RMHD) using a hybrid PDE and data-driven workflow. Instead of training for theconservative form of the equations, we work with Jacobians or PDE characteristics directly in termsof primitive variables. We further add to the trainable system the divergence-free condition, withoutthe need of cleaning modes. Using a novel MUON optimizer implementation, we show that a base-line PINN t</t>
  </si>
  <si>
    <t>machine_learning; simulation; experimental</t>
  </si>
  <si>
    <t>mhd; plasma_physics; machine_learning; numerical_methods; ai_scientific_discovery; physics_informed_ml</t>
  </si>
  <si>
    <t>Symbolic Regression Is All You Need: From Simulations to Scaling Laws in Binary Neutron Star Mergers</t>
  </si>
  <si>
    <t>P. Darc; Clecio R. Bom; Charles Kilpatrick; Bernardo M. O. Fraga; Gabriel S. M. Teixeira</t>
  </si>
  <si>
    <t>Gravitational wave sources with electromagnetic counterparts have highlighted theneed for predictive, interpretable models linking the parameters of compact binarysystems to post-merger remnants and mass outflows. In this work, we exploreAI-driven symbolic regression (SR) frameworks to derive updated analytical rela-tions for disk ejecta mass in binary neutron star mergers, trained on state-of-the-artnumerical relativity simulations. Our method reveals a set of compact equationsthat outper</t>
  </si>
  <si>
    <t>simulation; data_analysis; analytical; machine_learning</t>
  </si>
  <si>
    <t>machine_learning; uncertainty_quantification; ai_scientific_discovery; physics_informed_ml</t>
  </si>
  <si>
    <t>-RXUQDO1 D P H</t>
  </si>
  <si>
    <t>plasma_physics; electrode_materials; machine_learning</t>
  </si>
  <si>
    <t>Avoiding fusion plasma tearing instability with deep reinforcement learning</t>
  </si>
  <si>
    <t>Jaemin Seo</t>
  </si>
  <si>
    <t>10.1038/s41586-024-07024-9</t>
  </si>
  <si>
    <t>mhd; plasma_physics; nuclear_fusion; machine_learning</t>
  </si>
  <si>
    <t>PP1 journal</t>
  </si>
  <si>
    <t>-2024-07-10_15h-18m-34s-12 layers, 2048 wide, 30 epochs-After about 6000 steps the train and test error hit what it would be on zeroed input, and the gradients vanished.-2024-07-10_15h-41m-52s-This time let’s try leaky ReLU-12 layers, 2048 wide, 30 epochs-No overﬁtting evident-2024-07-10_16h-10m-24s-4 layers, 512 wide, 30 epochs, leaky ReLU-Trains faster and just as good as the 12x2048 when it comes to the testing loss-Qualitative performance seems a little worse than the bigger model</t>
  </si>
  <si>
    <t>machine_learning; data_analysis</t>
  </si>
  <si>
    <t>machine_learning</t>
  </si>
  <si>
    <t>Physics-informed MeshGraphNets (PI-MGNs): Neural finite element solvers for non-stationary and nonlinear simulations on arbitrary meshes</t>
  </si>
  <si>
    <t>Tobias Würth; Niklas Freymuth; Clemens Zimmerling; Gerhard Neumann; Luise Kärger;</t>
  </si>
  <si>
    <t>Engineering components must meet increasing technological demands in evershorter development cycles. To face these challenges, a holistic approach isessential that allows for the concurrent development of part design, materialsystem and manufacturing process. Current approaches employ numericalsimulations, which however quickly becomes computation-intensive, espe-cially for iterative optimization. Data-driven machine learning methods canbe used to replace time- and resource-intensive numer</t>
  </si>
  <si>
    <t>machine_learning; simulation</t>
  </si>
  <si>
    <t>machine_learning; numerical_methods; ai_scientific_discovery; graph_neural_networks; physics_informed_ml</t>
  </si>
  <si>
    <t>Plasma surrogate modelling using Fourier neural operators</t>
  </si>
  <si>
    <t>plasma_physics; machine_learning</t>
  </si>
  <si>
    <t>TORAX: A Fast and Differentiable Tokamak Transport Simulator in JAX</t>
  </si>
  <si>
    <t>plasma_physics; nuclear_fusion; machine_learning; uncertainty_quantification; turbulence</t>
  </si>
  <si>
    <t>X-MeshGraphNet: Scalable Multi-Scale Graph</t>
  </si>
  <si>
    <t>Graph Neural Networks (GNNs) have gained sig-nificant traction for simulating complex physical systems, withmodels like MeshGraphNet demonstrating strong performanceon unstructured simulation meshes. However, these models faceseveral limitations, including scalability issues, requirement formeshing at inference, and challenges in handling long-rangeinteractions. In this work, we introduce X-MeshGraphNet, ascalable, multi-scale extension of MeshGraphNet designed toaddress these challenges</t>
  </si>
  <si>
    <t>nuclear_fusion; machine_learning; numerical_methods; graph_neural_networks</t>
  </si>
  <si>
    <t>arXiv:2404.09834v4 [math.AP] 3 Mar 2025ON A DEGENERATE SECOND ORDER TRAFFIC MODEL:</t>
  </si>
  <si>
    <t>We propose and analyse a new microscopic second order Follow -the-Leader type schemeto describe traﬃc ﬂows. The main novelty of this model consis ts in multiplying the second order termby a nonlinear function of the global density, with the inten t of considering the attentiveness of thedrivers in dependence on the amount of congestion. Such term makes the system highly degenerate;indeed, coherently with the modellistic viewpoint, we allo w for the nonlinearity to vanish as soon asconsecuti</t>
  </si>
  <si>
    <t>nuclear_fusion; machine_learning</t>
  </si>
  <si>
    <t>Influence of magnetic field on MHD mixed convection in lid-driven cavity with heated wavy bottom surface</t>
  </si>
  <si>
    <t>Mst. Umme Mahmuda Maya</t>
  </si>
  <si>
    <t>10.1038/s41598-023-45707-x</t>
  </si>
  <si>
    <t>mhd; machine_learning; numerical_methods</t>
  </si>
  <si>
    <t>lapd-msi-ebm poster</t>
  </si>
  <si>
    <t>Phil Travis</t>
  </si>
  <si>
    <t>plasma_physics; nuclear_fusion; machine_learning; diagnostics</t>
  </si>
  <si>
    <t>The Influence of the Magnetic Field on DC and the Impulse Breakdown of Noble Gases</t>
  </si>
  <si>
    <t>Čedomir I. Belić, Koviljka Đ. Stanković, Milić M. Pejović and Predrag V. Osmokrović</t>
  </si>
  <si>
    <t>10.3390/ma12050752</t>
  </si>
  <si>
    <t>Increased electromagnetic contamination of the environment accompanied with theampliﬁed miniaturization of electronic components underline the issue of the reliable operationof electronics. Reliability is of utmost importance in special applications such as medical instruments,nuclear installations, fusion experiments, etc., where larger magnetic ﬁelds occur during operation.Therefore, the interest for insulation components that consistently protect instrumentation fromovervoltage is growin</t>
  </si>
  <si>
    <t>plasma_physics; nuclear_fusion; electrode_materials; machine_learning</t>
  </si>
  <si>
    <t>Writeup PP1</t>
  </si>
  <si>
    <t>machine_learning; experimental; data_analysis</t>
  </si>
  <si>
    <t>plasma_physics; nuclear_fusion; turbulence; machine_learning</t>
  </si>
  <si>
    <t>10-Uncertainty-Quantification</t>
  </si>
  <si>
    <t>Epistemic and Aleatoric Uncertainty</t>
  </si>
  <si>
    <t>This work suggests several methods of uncertainty treatmentin multiscale modelling and describes their application to a system ofcoupled turbulent transport simulations of a tokamak plasma. We pro-pose a method to quantify the usually aleatoric uncertainty of a systemin a quasistationary state, estimating the mean values and their errorsfor quantities of interest, which is average heat fluxes in the case of tur-bulence simulations. The method defines the stationarity of the systemand sugg</t>
  </si>
  <si>
    <t>Validation set number0.0000.0020.0040.0060.0080.0100.012MSE</t>
  </si>
  <si>
    <t>uncertainty_quantification</t>
  </si>
  <si>
    <t>z axis pred profile uncertainty</t>
  </si>
  <si>
    <t>Validation set number0.000000.000050.000100.000150.000200.000250.00030MSE</t>
  </si>
  <si>
    <t>pred discharge voltage uncertainty</t>
  </si>
  <si>
    <t>12-Textbooks</t>
  </si>
  <si>
    <t>CitationRESEARCH ARTICLE| DECEMBER 01 1961</t>
  </si>
  <si>
    <t>10.1063/1.1706313</t>
  </si>
  <si>
    <t>10.1063/1.1706312</t>
  </si>
  <si>
    <t>CitationRESEARCH ARTICLE| SEPTEMBER 03 2024</t>
  </si>
  <si>
    <t>10.1063/5.0188913</t>
  </si>
  <si>
    <t>A plasma device has been created to study dynamic plasma coupling in an E ×B-drifting magnetized plasma. The E ×B magnetized plasmadevice is a 1.2 m diameter by 2 m long cylindrical chamber with two sets of Helmholtz coils in a mirror configuration. A steady-state axialhollow cathode source injects a plasma discharge in electrical contact with a floating conductor at a range that forms a unique axisymmetricequipotential surface or Virtual Cathode Lightsaber (VCL). The VCL generates two plasma</t>
  </si>
  <si>
    <t>mhd; plasma_physics; nuclear_fusion; diagnostics; electrode_materials</t>
  </si>
  <si>
    <t>DD Form 3067-7, "Science, Mathematics, and Research for Transformation (SMART) Scholarship Phase 1 Annual Report ".pdf</t>
  </si>
  <si>
    <t>dmccrary</t>
  </si>
  <si>
    <t>Machine learning accelerated particle-in-cell plasma</t>
  </si>
  <si>
    <t>Particle-In-Cell (PIC) methods are frequently used for kinetic, high-ﬁdelity simula-tions of plasmas. Implicit formulations of PIC algorithms feature strong conserva-tion properties, up to numerical round-off errors, and are not subject to time-steplimitations which make them an attractive candidate to use in simulations fusionplasmas. Currently they remain prohibitively expensive for high-ﬁdelity simulationof macroscopic plasmas. We investigate how amortized solvers can be incorporatedwit</t>
  </si>
  <si>
    <t>plasma_physics; nuclear_fusion; machine_learning; turbulence; particle_methods; ai_scientific_discovery; physics_informed_ml</t>
  </si>
  <si>
    <t>VSim Reference Manual</t>
  </si>
  <si>
    <t>Tech-X Corporation</t>
  </si>
  <si>
    <t>plasma_physics; uncertainty_quantification; circuit_modeling</t>
  </si>
  <si>
    <t>Mjnolir Physics Review</t>
  </si>
  <si>
    <t>Anthony Link</t>
  </si>
  <si>
    <t>LLNL -PRES -7907575MegaJOuLe Neutron Imaging Radiography (MJOLNIR) design &amp; build teamNow: 1 MJ/2.7 MAUpgrade: 2 MJ/4+ MALLNL -PRES -7907576Stages of a DPF discharge1) insulator flashover2) run -down3) run -in4) pinchAnodeAnodeCathodeInsulatorFill gasStages of a DPF dischargeLLNL -PRES -7907577AnodeAnodeInsulatorStages of a DPF discharge1) insulator flashover2) run -down3) run -in4) pinchStages of a DPF dischargeLLNL -PRES -7907578AnodeAnodeInsulatorStages of a DPF di</t>
  </si>
  <si>
    <t>dense_plasma_focus; mhd; plasma_physics; nuclear_fusion; radiation; electrode_materials; particle_methods</t>
  </si>
  <si>
    <t>Plasma and Fusion Research,ISSN 1880-6821</t>
  </si>
  <si>
    <t>The Japan Society of Plasma Science and Nuclear Fusion Research</t>
  </si>
  <si>
    <t>10.1585/pfr.14.2402063</t>
  </si>
  <si>
    <t>plasma_physics; nuclear_fusion; diagnostics; electrode_materials</t>
  </si>
  <si>
    <t>CitationRESEARCH ARTICLE| DECEMBER 17 2018</t>
  </si>
  <si>
    <t>10.1063/1.5051665</t>
  </si>
  <si>
    <t>Maximizing neutron yields by scaling hollow diameter of a dense plasmafocus anodeB. H. Shaw,a)S. Chapman, C. M. Cooper, C. Goyon, J. Angus, A. Link, D. P. Higginson,J. X. Liu, J. M. Mitrani, Y. A. Podpaly, A. Povilus, and A. SchmidtLawrence Livermore National Laboratory, Livermore, California 94550, USA(Received 10 August 2018; accepted 30 November 2018; published online 17 December 2018)Experiments were performed to maximize the neutron yield from a 2 kJ dense plasma focus (DPF)and chara</t>
  </si>
  <si>
    <t>dense_plasma_focus; plasma_physics; nuclear_fusion; pulsed_power; electrode_materials</t>
  </si>
  <si>
    <t>Plasma Formulary</t>
  </si>
  <si>
    <t>plasma_physics; nuclear_fusion; radiation</t>
  </si>
  <si>
    <t>SIMULATION AND CHARACTERIZATION OF A</t>
  </si>
  <si>
    <t>Thesis</t>
  </si>
  <si>
    <t>Andre C. Marta</t>
  </si>
  <si>
    <t>Present day computer technology equips standard laptops with enough computational power to matchthat of some supercomputers from the last century. It is extremely beneﬁcial that we make use of techno-logical advances to increase the quality and reach of science teaching. We developed a computationaltoolkit that is intended to be used in the context of plasma physics education. The goal is to include asimulation component in plasma physics courses. Simulations are run in the ZPIC Particle-In-</t>
  </si>
  <si>
    <t>plasma_physics; diagnostics; particle_methods</t>
  </si>
  <si>
    <t>USimInDepth</t>
  </si>
  <si>
    <t>Plasma Modeling: PRELIMS</t>
  </si>
  <si>
    <t>10.1088/978-0-7503-1200-4</t>
  </si>
  <si>
    <t>simulation; experimental; analytical; review</t>
  </si>
  <si>
    <t>mhd; plasma_physics; nuclear_fusion; turbulence; particle_methods</t>
  </si>
  <si>
    <t>Francis F . Chen</t>
  </si>
  <si>
    <t>10.1007/978-3-319-22309-4</t>
  </si>
  <si>
    <t>No Slide Title</t>
  </si>
  <si>
    <t>Plasma Fest 2015 Scrape-offlayer Kinetic EffectsEdge pedestal temperature profile near the edge of an H -mode discharge in the DIII -D tokamak. [Porter 2000 ]. Pedestal is shaded region. Schematic views of divertor tokamak and edge -plasma region (magnetic separatrix is the red line and the black boundaries indicate the shape of magnetic flux surfaces) Where are collisions signifiant in plasmas? Example: Tokamak edge boundary layer R (cm) Temp. (eV) 0 500 1000 What Can Math A</t>
  </si>
  <si>
    <t>plasma_physics; uncertainty_quantification</t>
  </si>
  <si>
    <t>LLNL-JRNL-650219</t>
  </si>
  <si>
    <t>Dense plasma focus (DPF) Z -pinch devices are sources of copious high energy electrons and ions, x -rays, and neutrons. The mechanisms through which these physically simple devices generate such high -energy beams in a relatively short distance are not fully understood and past optimization efforts of these devices have been largely empirical . Previously we reported on the first fully kinetic simulations of a DPF and compared them with hybrid and fluid simulations of the same device . Here</t>
  </si>
  <si>
    <t>dense_plasma_focus; z_pinch; plasma_physics; nuclear_fusion; pulsed_power; electrode_materials; circuit_modeling; particle_methods</t>
  </si>
  <si>
    <t>LLNL-TR-659069</t>
  </si>
  <si>
    <t>This document was prepared as an account of work sponsored by an agency of the United States government. Neither the United States government nor Lawrence Livermore National Security, LLC, nor any of their employees makes any warranty, expre ssed or implied, or assumes any legal liability or responsibility for the accuracy, completeness, or usefulness of any information, apparatus, product, or process disclosed, or represents that its use would not infringe privately owned rights. Reference h</t>
  </si>
  <si>
    <t>dense_plasma_focus; plasma_physics; nuclear_fusion; radiation; uncertainty_quantification; electrode_materials; particle_methods</t>
  </si>
  <si>
    <t>Modeling and Simulation in Science,</t>
  </si>
  <si>
    <t>10.1007/978-3-319-03804-9Springer</t>
  </si>
  <si>
    <t>mhd; plasma_physics; turbulence</t>
  </si>
  <si>
    <t>CitationRESEARCH ARTICLE| SEPTEMBER 17 2012</t>
  </si>
  <si>
    <t>10.1063/1.4752073</t>
  </si>
  <si>
    <t>Alfv /C19en’s critical ionization velocity observed in high power impulsemagnetron sputtering dischargesN. Brenning and D. LundinDivision of Space and Plasma Physics, School of Electric Engineering, Royal Institute of Technology,SE-100 44, Stockholm, Sweden(Received 20 June 2012; accepted 28 August 2012; published online 17 September 2012)Azimuthally rotating dense plasma structures, spokes, have recently been detected in several highpower impulse magnetron sputtering (HiPIMS) devices use</t>
  </si>
  <si>
    <t>LLNL-JRNL-563254</t>
  </si>
  <si>
    <t>Dense plasma focus (DPF) Z -pinch devices are sources of copious high energy electrons and ions, x -rays, and neutrons. The mechanisms through which these physically simple devices generate such high -energy beams in a relatively short distance arenot fully understood. We now have, for the first time, demonstrated a capability to model these plasmas fully kinetically, allowing us to simulate the pinch proces sat the particle scale. We present here the results of the initial kinetic simulatio</t>
  </si>
  <si>
    <t>dense_plasma_focus; z_pinch; plasma_physics; nuclear_fusion; pulsed_power; electrode_materials; particle_methods</t>
  </si>
  <si>
    <t>ORNL/TM-2012/57</t>
  </si>
  <si>
    <t>This is the accepted manuscript made available via CHORUS. The article has been</t>
  </si>
  <si>
    <t>10.1103/PhysRevLett.109.205003</t>
  </si>
  <si>
    <t>Dense plasma focus (DPF) Z-pinch devices are sources of copious high energy electrons and ions, x-rays, and neutrons. The mechanisms through which these physically simple devices generate such high-energy beams in a relatively short distance are no t fully understood. We now have, for the first time, demonstrated a capability to model these plasmas fu lly kinetically, allowing us to simulate the pinch process at the particle scale. We present here the results of the initial kinetic simulatio</t>
  </si>
  <si>
    <t>dense_plasma_focus; z_pinch; plasma_physics; nuclear_fusion; radiation; pulsed_power; electrode_materials; particle_methods</t>
  </si>
  <si>
    <t>10.1109/TPS.2012.2222676</t>
  </si>
  <si>
    <t>The dense plasma focus (DPF) is a Z-pinch that hasbeen studied for 50 years. Within ten years of its discovery byFillipov and Fillipova in Russia and Mather in the USA, thisdense pinch was scaled up to 2-MA currents and neutron outputsof∼1012/pulse. More remarkable is the fact that most of therelevant physics and scaling laws were elucidated within this ﬁrstdecade. The subsequent period has seen this type of pinch usedas a teaching tool, developed as a portable neutron source forsecurity appl</t>
  </si>
  <si>
    <t>dense_plasma_focus; z_pinch; mhd; plasma_physics; nuclear_fusion; radiation; pulsed_power; electrode_materials</t>
  </si>
  <si>
    <t>CitationBRIEF REPORT| SEPTEMBER 26 2011</t>
  </si>
  <si>
    <t>10.1063/1.3631793</t>
  </si>
  <si>
    <t>The magnetic centrifugal mass filterAbraham J. Fetterman and Nathaniel J. FischDepartment of Astrophysical Sciences, Princeton University, Princeton, New Jersey 08540, USA(Received 26 July 2011; accepted 9 August 2011; published online 26 September 2011)Mass ﬁlters using rotating plasmas have been considered for separating nuclear waste and spentnuclear fuel. We propose a new mass ﬁlter that utilizes centrifugal and magnetic conﬁnement ofions in a way similar to the asymmetric centrifugal</t>
  </si>
  <si>
    <t>Module 1: Introduction - The Plasma Focus and the Lee model (Lecture -2hrs or self -reading 4 hrs) 1 1.1 Description of the plasma focus. How it works, dimensions and lifetimes of the hot dense plasma 2 1.2 Scaling proper ties of the plasma focus 6 1.3 The radiative Lee model: the 5 phases 8 1.4 Using the Lee model as reference for diagnostics 11 1.5 Insights on plasma focus from numerical experiments using Lee model code 16 Module 2: Universal Plasma Focus Laborat ory</t>
  </si>
  <si>
    <t>Numerical Experiments Providing New Insights into Plasma Focus Fusion Devices</t>
  </si>
  <si>
    <t>Sing Lee</t>
  </si>
  <si>
    <t>10.3390/en3040711</t>
  </si>
  <si>
    <t>Recent extensive and systematic numerical experiments have uncovered new insights into plasma focus fusion devices in cluding the following: (1) a plasma current limitation effect, as device static inductance is reduced towards very small values; (2) scaling laws of neutron yield and soft x-ra y yield as functions of storage energies and currents; (3) a global scaling law for neut ron yield as a function of storage energy combining experimental and numerical data showing that scaling det</t>
  </si>
  <si>
    <t>dense_plasma_focus; z_pinch; plasma_physics; nuclear_fusion; electrode_materials</t>
  </si>
  <si>
    <t>LLNL-JRNL-420827</t>
  </si>
  <si>
    <t>The successful operation (with β≤60%, classical ions and electrons with Te=250 eV) ofthe Gas Dynamic Trap (GDT) device at the Budker Institute of Nuclear Physics (BINP)in Novosibirsk, Russia, extrapolates to a 2 MW/m2 Dynamic Trap Neutron Source(DTNS), which burns only ~100 g of tritium per full power year. The DTNS has noserious physics, engineering, or technology obstacles; the extension of neutral beam linesto steady state can use demonstrated engineering; and it supports near-term tokamaks a</t>
  </si>
  <si>
    <t>SAND2009-6373</t>
  </si>
  <si>
    <t>We have carried out 2D simulations of th ree dense plasma focus (DPF) devices using the ALEGRA-HEDP code and validated the results against expe riments. The three devices included two Mather-type machines described by Bernard et. al. [1] and the Tallboy device currently in operation at NS Tec in North Las Vegas. We present simulation results and compare to detailed plasma measurements for one Bernard device and to current and neutron yields for all three. We also describe a new ALEGRA cap</t>
  </si>
  <si>
    <t>dense_plasma_focus; mhd; plasma_physics; nuclear_fusion; radiation; pulsed_power; electrode_materials; particle_methods</t>
  </si>
  <si>
    <t>SAND2007-2984P</t>
  </si>
  <si>
    <t>ivACKNOWLEDGMENTSJeff Quintenz initiated this history project while serving as director of the Pulsed Power Sciences Center. Keith Matzen, who took over the Center in 2005, continued funding and support for the project.The author is grateful to the following people for their assistance with this history:Staff in the Sandia History Project and Records Management Department, in particular Myra O’Canna, Rebecca Ullrich, and Laura Martinez. Also Ramona Abeyta, Shirley Aleman, Anna Nusbaum,</t>
  </si>
  <si>
    <t>nuclear_fusion; pulsed_power</t>
  </si>
  <si>
    <t>01621283.pdf</t>
  </si>
  <si>
    <t>Robert Krasny</t>
  </si>
  <si>
    <t>10.1109/TPS.2006.871104inunbounded</t>
  </si>
  <si>
    <t>plasma_physics; uncertainty_quantification; electrode_materials; particle_methods</t>
  </si>
  <si>
    <t>FUNDAMENTALS OF PLASMA PHYSICS</t>
  </si>
  <si>
    <t>PAUL M.BELLAN</t>
  </si>
  <si>
    <t>CitationRESEARCH ARTICLE| MAY 01 2003</t>
  </si>
  <si>
    <t>10.1063/1.1558294</t>
  </si>
  <si>
    <t>Sheared ﬂow stabilization experiments in the ZaP ﬂow Z pincha U. Shumlak,b)B. A. Nelson, R. P. Golingo, S. L. Jackson, and E. A. CrawfordUniversity of Washington, Aerospace and Energetics Research Program, Seattle, Washington 98195 –2250D. J. Den HartogDepartment of Physics, University of Wisconsin-Madison, Madison, Wisconsin 53706~Received 7 November 2002; accepted 9 January 2003 !The stabilizing effect of a sheared axial ﬂow on the m51 kink instability in Z pinches has beenstudied numer</t>
  </si>
  <si>
    <t>z_pinch; mhd; plasma_physics; nuclear_fusion; diagnostics; pulsed_power; electrode_materials; turbulence</t>
  </si>
  <si>
    <t>PREPARED FOR THE U.S. DEPARTMENT OF ENERGY,</t>
  </si>
  <si>
    <t>TheuseofthePythonscriptinglanguageforscientificapplicationsandinparticulartosolvepartialdifferentialequationsisexplored.ItisshownthatPython'srichdatastructureandobjectorientedfeaturescanbeexploitedtowriteprogramsthatarenotonlysignificantlymoreconcisethantheircounterpartswritteninFortran,CorC++,butarealsonumericallyefficient.Toillustratethis,atwo-dimensionalfiniteelementcode(ELLIPT2D)hasbeenwritten.ELLIPT2Dprovidesaflexibleandeasy-to-useframeworkforsolvingalargeclassofsecondorderellipticprob</t>
  </si>
  <si>
    <t>mhd; plasma_physics; nuclear_fusion; numerical_methods; electrode_materials</t>
  </si>
  <si>
    <t>10.1017/CBO9780511807183.023</t>
  </si>
  <si>
    <t>ANODE GEOMETRY AND FOCUS CHARACTERISTICS</t>
  </si>
  <si>
    <t>10.1017/CBO9780511807183.017</t>
  </si>
  <si>
    <t>mhd; plasma_physics; nuclear_fusion; electrode_materials</t>
  </si>
  <si>
    <t>10.1017/CBO9780511807183.022</t>
  </si>
  <si>
    <t>mhd; plasma_physics; nuclear_fusion; turbulence</t>
  </si>
  <si>
    <t>Copyright</t>
  </si>
  <si>
    <t>PII: 0375-9601(80)90273-X</t>
  </si>
  <si>
    <t>Volume79A,number5,6 PHYSICS LETTERS 27October 198036mmMicrowavediagnostics Coaxialplasmagun~4 ....B:H-iNaClResistor p ~IETh~(&lt; DRIFTSPACE&gt;~J~ 1—10kvPUMP PortforNeutralI 56~fdNeutralgas gasp~jlsemonitoring Electromagneticinjectionvalve gasvalve — ~gapFig.1.Schematic oftheexperiment. Theblackcirclesindicatethelocations ofVxBprobesformeasuring plasmastreamvelocityatdifferent pointsinthegascloud.1000Gisprovided intheinteraction regionwherea PLASMA -HYDROGENgascloudisinjectedbyanelectromag</t>
  </si>
  <si>
    <t>10.1017/CBO9780511807183.012</t>
  </si>
  <si>
    <t>REVIEW PAPER</t>
  </si>
  <si>
    <t>A review is given of theoretical and experimental investigations on rotating plasmas. The basic equationsare discussed from the microscopic and macroscopic points of view, including the balance of matter, momentum, and heat,as well as associated stability problems and limiting effects. Various types of devices are described, and obtained experimentalresults are compared with theoretical predictions. The review also summarizes the applications of rotating plasmas to fusionresearch, cosmical</t>
  </si>
  <si>
    <t>experimental; review; machine_learning</t>
  </si>
  <si>
    <t>CitationRESEARCH ARTICLE| FEBRUARY 01 1959</t>
  </si>
  <si>
    <t>10.1063/1.1735132</t>
  </si>
  <si>
    <t>JOURNAL OF APPLIED PHYSICS VOLUME 30. NUMBER 2 FEBRUARY. 1959 Hydromagnetic Capacitor* OSCAR ANDERSON, t WILLIAM R. BAKER, t ALEXANDER BRATENAHL, t HAROLD P. FURTH,t AND WULF B. KUNKEL t Radiation Laboratory, University oj California, Berkeley, Calijornia (Received June 30, 1958) Very high dielectric constants can easily be achieved by means of an io.nized gas in a .strong magnetic field. When an orthogonal electric field is applied, the resultant particle dnft stores electncal energy. In</t>
  </si>
  <si>
    <t>plasma_physics; pulsed_power; electrode_materials; physics_informed_ml</t>
  </si>
  <si>
    <t>10.1017/CBO9780511807183.014</t>
  </si>
  <si>
    <t>10.1017/CBO9780511807183.002</t>
  </si>
  <si>
    <t>Adiabatic gas law, 214,218,314</t>
  </si>
  <si>
    <t>mhd; plasma_physics; nuclear_fusion; radiation; diagnostics</t>
  </si>
  <si>
    <t>Amazon.com Shopping Cart</t>
  </si>
  <si>
    <t>Application of a Plasma Accelerator of the Dense Plasma Focus Type in Simulation of Radiation Damage and Testing of Materials for Nuclear Systems</t>
  </si>
  <si>
    <t>Пименов</t>
  </si>
  <si>
    <t>We present some results of our experiments with use of a number of plasma accelerators of the Dense Plasma Focus type, namely PF-5M (IMET, bank energy – 5 kJ), PF-6 (IPPLM, 7 kJ), and the largest in the world DPF facility operating with deuterium as a working gas PF-1000 (IPPLM, 1.2 MJ). We use this set of devices for application in the field of radiation material sciences , in particular for Simulation of Radiation Damage and Testing of Materials intended for use in Thermonuclear Reactors</t>
  </si>
  <si>
    <t>Approximate Magnitudes in Some Typical Plasmas</t>
  </si>
  <si>
    <t>Average Values and Macroscopic Variables</t>
  </si>
  <si>
    <t>Charged Particle Motion in Constant and Uniform Electromagnetic Fields</t>
  </si>
  <si>
    <t>Charged Particle Motion in Nonuniform Magnetostatic Fields</t>
  </si>
  <si>
    <t>Charged Particle Motion in Time-varying Electromagnetic Fields</t>
  </si>
  <si>
    <t>Conversion Factors for Units</t>
  </si>
  <si>
    <t>Dimensions and Lifetime of the Plasma Focus Pinch - Plasma Science, IEEE Transactions on</t>
  </si>
  <si>
    <t>IEEE</t>
  </si>
  <si>
    <t>Electromagnetic Waves in Free Space</t>
  </si>
  <si>
    <t>Elements of Plasma Kinetic Theory</t>
  </si>
  <si>
    <t>data_analysis</t>
  </si>
  <si>
    <t>10.1017/CBO9780511807183.018</t>
  </si>
  <si>
    <t>10.1017/CBO9780511807183.005</t>
  </si>
  <si>
    <t>analytical</t>
  </si>
  <si>
    <t>10.1017/CBO9780511807183.013</t>
  </si>
  <si>
    <t>10.1017/CBO9780511807183.010</t>
  </si>
  <si>
    <t>10.1017/CBO9780511807183.004</t>
  </si>
  <si>
    <t>Hamiltonian–Lagrangian formalism exploits time and space symmetries. A brief review ofthe Hamiltonian–Lagrangian formalism follows, emphasizing aspects relevant todynamics of charged particles.The starting point is to postulate the existence of a function L, called theLagrangian, which:</t>
  </si>
  <si>
    <t>10.1017/CBO9780511807183.011</t>
  </si>
  <si>
    <t>10.1017/CBO9780511807183.006</t>
  </si>
  <si>
    <t>10.1017/CBO9780511807183.009</t>
  </si>
  <si>
    <t>10.1017/CBO9780511807183.003</t>
  </si>
  <si>
    <t>mhd; plasma_physics; diagnostics</t>
  </si>
  <si>
    <t>10.1017/CBO9780511807183.015</t>
  </si>
  <si>
    <t>plasma_physics; nuclear_fusion; turbulence</t>
  </si>
  <si>
    <t>10.1017/CBO9780511807183.008</t>
  </si>
  <si>
    <t>10.1017/CBO9780511807183.016</t>
  </si>
  <si>
    <t>Front Matter</t>
  </si>
  <si>
    <t>Innovative Edu cation &amp; Training in High Power Laser Plasmas</t>
  </si>
  <si>
    <t>Δημητρίου Βασίλειος</t>
  </si>
  <si>
    <t>Innovative Edu cation &amp; Training in High Power Laser Plasmas Plasma Physics - Theory and Experiments</t>
  </si>
  <si>
    <t>dense_plasma_focus; plasma_physics; diagnostics</t>
  </si>
  <si>
    <t>Institute of Computational Mathematics and Mathematical</t>
  </si>
  <si>
    <t>Kulikov</t>
  </si>
  <si>
    <t>mhd; plasma_physics; nuclear_fusion; radiation; numerical_methods</t>
  </si>
  <si>
    <t>Introduction</t>
  </si>
  <si>
    <t>Introduction to plasma physics using Python</t>
  </si>
  <si>
    <t>mhd; plasma_physics; physics_informed_ml</t>
  </si>
  <si>
    <t>Macroscopic Equations for a Conducting Fluid</t>
  </si>
  <si>
    <t>Macroscopic Transport Equations</t>
  </si>
  <si>
    <t>Magnetohydrodynamic Waves</t>
  </si>
  <si>
    <t>Microsoft Word - 4355E7A4-1855-2834CE.doc</t>
  </si>
  <si>
    <t>www</t>
  </si>
  <si>
    <t>S Lee International Centre for Dense Magnetised Plasmas, Warsaw, Poland, and Plasma Radiation Lab, NIE, Nanyang Technological University, Singapore leesing@optusnet.com.au</t>
  </si>
  <si>
    <t>Physical Constants (MKSA)</t>
  </si>
  <si>
    <t>Plasma Conductivity and Diffusion</t>
  </si>
  <si>
    <t>Preface</t>
  </si>
  <si>
    <t>Related Pergamon Titles of Interest</t>
  </si>
  <si>
    <t>Simple Applications of Magnetohydrodynamics</t>
  </si>
  <si>
    <t>Some Basic Plasma Phenomena</t>
  </si>
  <si>
    <t>Some Important Plasma Parameters</t>
  </si>
  <si>
    <t>The Boltzmann and the Fokker-Planck Equations</t>
  </si>
  <si>
    <t>The Equilibrium State</t>
  </si>
  <si>
    <t>Transport Processes in Plasmas</t>
  </si>
  <si>
    <t>Useful Relations in Cartesian and in Curvilinear Coordinates</t>
  </si>
  <si>
    <t>Useful Vector Relations</t>
  </si>
  <si>
    <t>Waves in Cold Plasmas</t>
  </si>
  <si>
    <t>Waves in Hot Isotropic Plasmas</t>
  </si>
  <si>
    <t>Waves in Hot Magnetized Plasmas</t>
  </si>
  <si>
    <t>Waves in Warm Plasmas</t>
  </si>
  <si>
    <t>13-Computing</t>
  </si>
  <si>
    <t>Advances in Computational Science and Engineering</t>
  </si>
  <si>
    <t>10.3934/acse.2023015</t>
  </si>
  <si>
    <t>Multi-fidelity models provide a framework for integrating compu-tational models of varying complexity, allowing for accurate predictions whileoptimizing computational resources. These models are especially beneficialwhen acquiring high-accuracy data is costly or computationally intensive. Thisreview offers a comprehensive analysis of multi-fidelity models, focusing ontheir applications in scientific and engineering fields, particularly in optimiza-tion and uncertainty quantification. It cl</t>
  </si>
  <si>
    <t>review; simulation; machine_learning; experimental</t>
  </si>
  <si>
    <t>machine_learning; uncertainty_quantification; ai_scientific_discovery</t>
  </si>
  <si>
    <t>Machine learning in solar physics</t>
  </si>
  <si>
    <t>Andrés Asensio Ramos</t>
  </si>
  <si>
    <t>10.1007/s41116-023-00038-x</t>
  </si>
  <si>
    <t>The application of machine learning in solar physics has the potential to greatlyenhance our understanding of the complex processes that take place in the atmo-sphere of the Sun. By using techniques such as deep learning, we are now in theposition to analyze large amounts of data from solar observations and identify pat-terns and trends that may not have been apparent using traditional methods. This canhelp us improve our understanding of explosive events like solar ﬂares, which canhave a str</t>
  </si>
  <si>
    <t>machine_learning; review; data_analysis</t>
  </si>
  <si>
    <t>nuclear_fusion; machine_learning; graph_neural_networks</t>
  </si>
  <si>
    <t>An Approximate Time-Parallel Method for the Fast and Accurate Computation of Particle Trajectories in a Magnetic Field</t>
  </si>
  <si>
    <t>Carl Lederman, David Bilyeu</t>
  </si>
  <si>
    <t>10.4236/jamp.2018.63046</t>
  </si>
  <si>
    <t>A temporal multiscale hybridization method is presented that carefully couples coarse scale gyrokinetic models with exact charged particle solution trajectories (that is, with full phase information) in a magnetic field. The a p-proach is based on the careful approximation of a sum, generally employed for time -parallel (TP) computing applications. While the h ybridization m e-thod presented is highly parallelizable, a computational efficiency gain is seen from considering serial computat</t>
  </si>
  <si>
    <t>15-Adjacent-Fields</t>
  </si>
  <si>
    <t>A constrained-transport embedded boundary method for compressible resistive magnetohydrodynamics</t>
  </si>
  <si>
    <t>Samuel W. Jones; Colin P. McNally; Meritt Reynolds</t>
  </si>
  <si>
    <t>10.1016/j.jcp.2025.114641</t>
  </si>
  <si>
    <t>Motivated by the increased interest in pulsed-power magneto-inertial fusion devices in recent years, we present a method forimplementing an arbitrarily shaped embedded boundary on a Cartesian mesh while solving the equations of compressible resistivemagnetohydrodynamics. The method is built around a finite volume formulation of the equations in which a Riemann solver is usedto compute fluxes on the faces between grid cells, and a face-centered constrained transport formulation of the inductio</t>
  </si>
  <si>
    <t>mhd; plasma_physics; nuclear_fusion; numerical_methods; physics_informed_ml</t>
  </si>
  <si>
    <t>A parametric study of the turbulent energy transfer in three-dimensional lattice-Boltzmann Hall-MHD plasma simulations</t>
  </si>
  <si>
    <t>10.1063/5.0298970</t>
  </si>
  <si>
    <t>Observations from heliospheric missions have deepened our understanding of the solar wind. However, the complexity arising from itsquasi-collisionless and multiscale nature leaves open several key questions on how energy is transferred and dissipated in the interplanetaryplasma. In this parametric study, we investigate turbulent energy transfer and intermittent plasma processes in three-dimensional directnumerical simulations, in the Hall-MHD framework, performed with the fast lattice-Boltzma</t>
  </si>
  <si>
    <t>mhd; plasma_physics; turbulence; particle_methods</t>
  </si>
  <si>
    <t>Available Energy and Ground States of Convective Hydrodynamic and Hydromagnetic Instabilities</t>
  </si>
  <si>
    <t>Kaixuan Fan; Yao Zhou</t>
  </si>
  <si>
    <t>z_pinch; plasma_physics; nuclear_fusion; turbulence</t>
  </si>
  <si>
    <t>Differentiable Programming for Plasma Physics: From Diagnostics to Discovery and Design</t>
  </si>
  <si>
    <t>A. S. Joglekar; A. G. R. Thomas; A. L. Milder; K. G. Miller; J. P. Palastro; D. H. Froula</t>
  </si>
  <si>
    <t>2603.11231</t>
  </si>
  <si>
    <t>simulation; machine_learning; experimental; analytical</t>
  </si>
  <si>
    <t>plasma_physics; machine_learning; diagnostics; turbulence; particle_methods; ai_scientific_discovery; equation_discovery; physics_informed_ml</t>
  </si>
  <si>
    <t>Extension of the fusion power plant costing standard</t>
  </si>
  <si>
    <t>Simon Woodruff; Alicia Durham; Alex Higginbottom; Chris Raastad</t>
  </si>
  <si>
    <t>This paper documents the work of the Clean Air Task Force (CATF) International Working Group(IWG) on Fusion Cost Analysis in 2024–2025, and the methodological extensions implemented inthe CATF-supported branch of the pyFECONs fusion power-plant costing framework. Using thestandards-aligned chart-of-accounts and physics-to-economics workflow established by ARPA-E ( 1).The IWG development reorganizes and deepens the framework around three architecture-definingcost-driver tracks:Magnetic Fusio</t>
  </si>
  <si>
    <t>plasma_physics; nuclear_fusion; pulsed_power</t>
  </si>
  <si>
    <t>Fused-Silica Activation Cherenkov Detector for Pulsed D--T Fusion Yields</t>
  </si>
  <si>
    <t>N. Kaneshige; S. Alawabdeh; W. Hennig; D. Cech; M. Hua; R. Grazioso</t>
  </si>
  <si>
    <t>We demonstrate a compact, non-toxic, low-cost neutron-yield diagnostic for pulsed D–T fusionmachines that uses an undoped fused-silica (SiO2) rod as both activation target and Cherenkovradiator. D–T neutrons (14.1 MeV) activate28Si and16O to produce short-lived28Al (𝑇1∕2=134s)and16N (𝑇1∕2= 7.13s); ensuing𝛽−particles exceed the Cherenkov threshold and generate UV–visiblelightdetectedbyafastphotomultipliertube.A 6inlength×1indiameter SiO2rodisopticallycoupledandreadoutwithaCAENDT5730digitizer</t>
  </si>
  <si>
    <t>Hydrodynamic simulations of expanded warm dense foil heated by pulsed-power</t>
  </si>
  <si>
    <t>Luc Revello; Laurent Videau; Frédéric Zucchini; Mathurin Lagrée; Christophe Blancard; Benjamin Jodar</t>
  </si>
  <si>
    <t>mhd; plasma_physics; nuclear_fusion; circuit_modeling</t>
  </si>
  <si>
    <t>Langmuir probes in a wide range of plasma density: Emissive and non-emissive probes</t>
  </si>
  <si>
    <t>Valerian Nemchinsky</t>
  </si>
  <si>
    <t>10.1063/5.0286881</t>
  </si>
  <si>
    <t>Ion saturation current and floating potential were calculated for non-emissive and emissive probes using a kinetic approach. A wide range of plasmapressures was considered: from almost collisionless R/ l/C281 up to almost continuous (R/ l/C291) cases, where R is the probe radius and lis the ion freepath. Calculations were performed for cold ions (ion temperature T i¼0) and for warm ions (the ratio of the ion temperature to the electron temper-ature T i/Tenot exceeding approximately 0.3). The</t>
  </si>
  <si>
    <t>Study on the reignition phase and magnetic field simulation of drawn vacuum arc in 126 kV axial magnetic field contacts</t>
  </si>
  <si>
    <t>10.1063/5.0309001</t>
  </si>
  <si>
    <t>With the increase in breaking voltage level, studying the evolution characteristics of reignition of high-current vacuum arc plays an importantrole to improve the breaking capacity of vacuum circuit breakers. In order to analyze the characteristics of the arc in the reignition phase of126 kV axial magnetic field (AMF) contacts, drawn vacuum arc experiments were conducted in a detachable vacuum chamber and magneticfield simulations were performed under corresponding conditions. By analyzing th</t>
  </si>
  <si>
    <t>plasma_physics; pulsed_power; electrode_materials</t>
  </si>
  <si>
    <t>The role of particle feedback on particle acceleration in magnetic reconnection</t>
  </si>
  <si>
    <t>10.1063/5.0294865</t>
  </si>
  <si>
    <t>Magnetic reconnection is a ubiquitous process in astrophysical plasmas and an efficient mechanism for particle acceleration. Using 2.5Dmagnetohydrodynamic simulations with a co-evolving fluid-particle framework, we investigate how particle feedback affects reconnectionand acceleration. Our simulations demonstrate that particle feedback to the fluid amplifies shear flows within magnetic islands, whichstrengthens the convective electric field and thereby boosts particle acceleration. This mecha</t>
  </si>
  <si>
    <t>A Comprehensive Review of Reliability Analysis for Pulsed Power Supplies</t>
  </si>
  <si>
    <t>Xiaozhen Zhao, Haolin Tong, Haodong Wu, Ahmed Abu-Siada, Kui Li and Chenguo Yao</t>
  </si>
  <si>
    <t>10.3390/en19020518</t>
  </si>
  <si>
    <t>Achieving high reliability remains the critical challenge for pulsed power supplies (PPS),whose core components are susceptible to severe degradation and catastrophic failure dueto long-term operation under electrical, thermal and magnetic stresses, particularly thoseassociated with high voltage and high current. This reliability challenge fundamentallylimits the widespread deployment of PPSs in defense and industrial applications. Thisarticle provides a comprehensive and systematic review</t>
  </si>
  <si>
    <t>z_pinch; plasma_physics; pulsed_power; electrode_materials</t>
  </si>
  <si>
    <t>A classification of restrictive polynomial correspondences</t>
  </si>
  <si>
    <t>Bharath Krishna Seshadri; Shrihari Sridharan</t>
  </si>
  <si>
    <t>In this manuscript, we study a special class of correspondences on P1ˆP1, namelypolynomial correspondences. We focus on what we call restrictive polynomial corre-spondence, categorise them into reducible and irreducible ones. We further give char-acterising results for reducible and irreducible restrictive polynomial correspondences.We also define an operation that paves the way to obtain a new irreducible restric-tive polynomial correspondence from any two given irreducible restrictive pol</t>
  </si>
  <si>
    <t>ai_scientific_discovery; equation_discovery</t>
  </si>
  <si>
    <t>Dynami-CAL GraphNet: A Physics-Informed Graph Neural Network Conserving Linear and Angular Momentum for Dynamical Systems</t>
  </si>
  <si>
    <t>Vinay Sharma; Olga Fink</t>
  </si>
  <si>
    <t>Accurate, interpretable, and real-time modeling of multi-body dynamical systems is essential for pre-dicting behaviors and inferring physical properties in natural and engineered environments. Traditionalphysics-based models face scalability challenges and are computationally demanding, while data-drivenapproaches like Graph Neural Networks (GNNs) often lack physical consistency, interpretability, andgeneralization. In this paper, we proposeDynami-CAL GraphNet, a Physics-Informed Graph Neura</t>
  </si>
  <si>
    <t>machine_learning; ai_scientific_discovery; graph_neural_networks; physics_informed_ml</t>
  </si>
  <si>
    <t>Exploring the Physics of the Plasma Liner Experiment: A Multi-dimensional Study with FLASH, OSIRIS, and HELIOS</t>
  </si>
  <si>
    <t>E. C. Hansen; P. Farmakis; D. Michta; C. Ren; H. Wen; S. Langendorf; F. Chu; P. Tzeferacos</t>
  </si>
  <si>
    <t>experimental; simulation; analytical</t>
  </si>
  <si>
    <t>mhd; plasma_physics; nuclear_fusion; radiation; turbulence; particle_methods</t>
  </si>
  <si>
    <t>High Gain Fusion Target Design using Generative Artificial Intelligence</t>
  </si>
  <si>
    <t>Michael E. Glinsky</t>
  </si>
  <si>
    <t>Resistive diffusion and radiative cooling effects in magnetized oblique shocks</t>
  </si>
  <si>
    <t>R. Datta; E. Neill; E. Freeman; E. S. Lavine; S. Chowdhry; L. Horan IV au2; W. M. Potter; D. A. Hammer; B. R. Kusse; J. D. Hare</t>
  </si>
  <si>
    <t>z_pinch; mhd; plasma_physics; nuclear_fusion; diagnostics; pulsed_power</t>
  </si>
  <si>
    <t>Revisiting Fusion in D-3He Plasmas With Spin-Polarized Fuel</t>
  </si>
  <si>
    <t>Validation of FLASH for magnetically driven inertial</t>
  </si>
  <si>
    <t>z_pinch; mhd; plasma_physics; nuclear_fusion; radiation; pulsed_power; circuit_modeling</t>
  </si>
  <si>
    <t>Exploring self-consistent 2.5D flare simulations with MPI-AMRVAC</t>
  </si>
  <si>
    <t>Druett Malcolm, Ruan Wenzhi, Keppens Rony</t>
  </si>
  <si>
    <t>Formation and Study of a Spherical Plasma Liner for Plasma-Jet-Driven Magneto-Inertial Fusion</t>
  </si>
  <si>
    <t>z_pinch; plasma_physics; nuclear_fusion; pulsed_power; electrode_materials</t>
  </si>
  <si>
    <t>LLNL-JRNL-856211</t>
  </si>
  <si>
    <t>Nuclear fusion is a potential source of carbon-freeelectricity with many concepts in development. The Portable andAdaptable Neutron Diagnostics for Advancing Fusion Energy Sci-ence (PANDA-FES) suite has been deployed since 2021 to measureneutron yield, energy, and spatiotemporal source location at twodifferent Z-pinch fusion devices. This diagnostic can be used ata variety of facilities pursuing fusion in the magnetic, inertial,and magneto-inertial regimes. These different regimes have a</t>
  </si>
  <si>
    <t>dense_plasma_focus; z_pinch; plasma_physics; nuclear_fusion; radiation; machine_learning</t>
  </si>
  <si>
    <t>PDE-LEARN : Using Deep Learning to Discover Partial Diﬀerential</t>
  </si>
  <si>
    <t>In this paper, we introduce PDE-LEARN , a novel deep learning algorithm that can identify governing partialdiﬀerential equations (PDEs) directly from noisy, limited measurements of a physical system of interest.PDE-LEARN uses a Rational Neural Network, U, to approximate the system response function and a sparse,trainable vector, ξ, to characterize the hidden PDE that the system response function satisﬁes. Our approachcouples the training of Uandξusing a loss function that (1) makes Uapproxim</t>
  </si>
  <si>
    <t>machine_learning; experimental</t>
  </si>
  <si>
    <t>machine_learning; ai_scientific_discovery; equation_discovery; physics_informed_ml</t>
  </si>
  <si>
    <t>PHYSICS -CONSTRAINED POLYNOMIAL CHAOS EXPANSION FOR</t>
  </si>
  <si>
    <t>We present a novel physics-constrained polynomial chaos expansion as a surrogatemodeling method capable of performing both scientific machine learning ( SciML )and uncertainty quantification ( UQ) tasks. The proposed method possesses a uniquecapability: it seamlessly integrates SciML intoUQand vice versa, which allowsit to quantify the uncertainties in SciML tasks effectively and leverage SciML forimproved uncertainty assessment during UQ-related tasks. The proposed surrogatemodel can effe</t>
  </si>
  <si>
    <t>machine_learning; simulation; data_analysis</t>
  </si>
  <si>
    <t>Reducing the computational complexity of implicit schemes in the modeling of kinetic inelastic collisions in a partially ionized plasma</t>
  </si>
  <si>
    <t>10.1002/num.23121</t>
  </si>
  <si>
    <t>Modeling the time evolution of atomic number densitiesand the kinetic (non-Maxwellian) electron energy distribu-tion function under the action of electron impact collisionsby classical approaches requires an implicit time-steppingscheme to maintain numerical stability. The resulting lin-ear system that must be iteratively solved at each timestep incorporates a dense (nonsparse) matrix. For Lvari-ables being propagated, the computational cost is O(L3).We present an alternative approach wi</t>
  </si>
  <si>
    <t>plasma_physics; machine_learning; numerical_methods; graph_neural_networks</t>
  </si>
  <si>
    <t>arXiv:2404.14274v1 [math.NA] 22 Apr 2024Noname manuscript No.</t>
  </si>
  <si>
    <t>Numericalsimulationsofidealcompressiblemagnetohydro dynamic(MHD)equations are challenging, as the solutions are required to be magnetic divergence-free for general cases as well as oscillation-free for cases involving discontinuities.To overcome these diﬃculties, we develop a locally divergen ce-free oscillation-eliminating discontinuous Galerkin (LDF-OEDG) method for ideal compressibleMHD equations. In the LDF-OEDG method, the numerical soluti on is advancedin time by using a strong stabi</t>
  </si>
  <si>
    <t>arXiv:2405.18759v3 [physics.plasm-ph] 16 Feb 2025Ponderomotive electron physics captured in a single-ﬂuid e xtended</t>
  </si>
  <si>
    <t>z_pinch; mhd; plasma_physics; nuclear_fusion; turbulence; particle_methods</t>
  </si>
  <si>
    <t>Published as a conference paper at ICLR 2021</t>
  </si>
  <si>
    <t>Mesh-based simulations are central to modeling complex physical systems inmany disciplines across science and engineering. Mesh representations sup-port powerful numerical integration methods and their resolution can be adaptedto strike favorable trade-offs between accuracy and efﬁciency. However, high-dimensional scientiﬁc simulations are very expensive to run, and solvers and pa-rameters must often be tuned individually to each system studied. Here we intro-duce M ESHGRAPH NETS, a framew</t>
  </si>
  <si>
    <t>Computer modeling of plasmas and plasma-surface interactions.</t>
  </si>
  <si>
    <t>A. Bogaerts, E. Bultinck, M. eckert, V. georgieva, M. mao, E. Neyts and L. Schwaederlé</t>
  </si>
  <si>
    <t>10.1002/ppap.200800207</t>
  </si>
  <si>
    <t>plasma_physics; nuclear_fusion; uncertainty_quantification; electrode_materials; particle_methods</t>
  </si>
  <si>
    <t>10.1017/CBO9780511807183.007</t>
  </si>
  <si>
    <t>Particle Interactions in Plasmas</t>
  </si>
  <si>
    <t>ThePrilncet;onFRC::Rot;at;i'ng-Magnet'ic-F'ield-Experilment; RFSyst;em*</t>
  </si>
  <si>
    <t>16-LAPD-Dataset-Plots</t>
  </si>
  <si>
    <t>Axial position (cm)0510152025Isat (mA / mm2)</t>
  </si>
  <si>
    <t>Axial position (cm)510152025Isat (mA / mm2)</t>
  </si>
  <si>
    <t>Bsource=1500 G (M=3.0)</t>
  </si>
  <si>
    <t>z position (cm)0510152025Isat (mA / mm2)z profile at x=0 cm</t>
  </si>
  <si>
    <t>z-score0100020003000400050006000CountsHistogram of z-scores, = 0.01</t>
  </si>
  <si>
    <t>z-score025050075010001250150017502000CountsNLL=0.5</t>
  </si>
  <si>
    <t>z-score0500100015002000CountsHistogram of z-scores, = 1.0</t>
  </si>
  <si>
    <t>All x-axis Isat (mA / mm2)05101520All y-axis Isat (mA / mm2)x- and y-axis Isat values at equal radius</t>
  </si>
  <si>
    <t>Axial position (cm)123456789Isat (mA / mm2)</t>
  </si>
  <si>
    <t>DR1_23, =0.01</t>
  </si>
  <si>
    <t>Data limits</t>
  </si>
  <si>
    <t>Gas puff duration (ms)0.00.20.40.60.81.01.2Isat gradient (mA mm2 / m)</t>
  </si>
  <si>
    <t>Isat (A / mm2)</t>
  </si>
  <si>
    <t>MSEEffect of learning rate schedules on losses</t>
  </si>
  <si>
    <t>Number of dataruns in training set0.0030.0040.0050.0060.007T est set loss (MSE)T est set losses vs dataset diversity</t>
  </si>
  <si>
    <t>PP1 -- DR1_08 wd-scan-0.01_big</t>
  </si>
  <si>
    <t>PP1 -- DR1_15 wd-scan-0.01_big</t>
  </si>
  <si>
    <t>PP1 -- DR1_33 wd-scan-0.01_big</t>
  </si>
  <si>
    <t>PP1 -- DR2_02 wd-scan-0.01_big</t>
  </si>
  <si>
    <t>PP1 -- DR2_10 wd-scan-0.01_big</t>
  </si>
  <si>
    <t>PP1 -- DR2_19 wd-scan-0.01_big</t>
  </si>
  <si>
    <t>PP1 -- DR2_31 wd-scan-0.01_big</t>
  </si>
  <si>
    <t>Step0.0000.0050.0100.0150.0200.0250.0300.035LossLosses (one-batch training)</t>
  </si>
  <si>
    <t>T otal error</t>
  </si>
  <si>
    <t>TS-derived Isat (mA / mm2)0246810Predicted Isat (mA / mm2)</t>
  </si>
  <si>
    <t>TS-derived Isat (mA / mm2)05101520Predicted Isat (mA / mm2)</t>
  </si>
  <si>
    <t>Validation set number0.0000.0020.0040.0060.0080.0100.012MSEModel-averaged (not ensemble) validation set performance</t>
  </si>
  <si>
    <t>Weight decay105</t>
  </si>
  <si>
    <t>discharge voltage effect var only</t>
  </si>
  <si>
    <t>ens DR1 05 wd comparison</t>
  </si>
  <si>
    <t>ens DR2 10 wd comparison</t>
  </si>
  <si>
    <t>ens DR2 10 wd comparison with 0</t>
  </si>
  <si>
    <t>extrapolation profile DR1 24 wd comparison</t>
  </si>
  <si>
    <t>extrapolation profile DR2 10 wd comparison</t>
  </si>
  <si>
    <t>extrapolation profile DR2 10 wd comparison 1</t>
  </si>
  <si>
    <t>extrapolation profile DR2 10 wd comparison select</t>
  </si>
  <si>
    <t>isat vs discharge voltage</t>
  </si>
  <si>
    <t>profile gas puff</t>
  </si>
  <si>
    <t>x (cm)0.0000.0020.0040.0060.008Isat (A / mm2)</t>
  </si>
  <si>
    <t>x (cm)0.0000.0050.0100.0150.020Isat (A/mm2)Predicted profiles, ports 17 and 33, datarun 08</t>
  </si>
  <si>
    <t>x (cm)0.002</t>
  </si>
  <si>
    <t>x (cm)Isat (A / mm2)NLL=0</t>
  </si>
  <si>
    <t>z position (cm)0.00.20.40.60.81.01.2Isat (A/mm2)1e2</t>
  </si>
  <si>
    <t>z position (cm)0.250.500.751.001.251.501.75Isat (A/mm2)1e2</t>
  </si>
  <si>
    <t>z position (cm)0.51.01.52.0Isat (A/mm2)1e2</t>
  </si>
  <si>
    <t>z position (cm)05101520Isat (mA / mm2)</t>
  </si>
  <si>
    <t>z position (cm)3.54.04.55.05.56.06.5Isat (mA / mm2)</t>
  </si>
  <si>
    <t>z position (cm)7.510.012.515.017.520.022.5Isat (mA / mm2)</t>
  </si>
  <si>
    <t>z-axis profiles</t>
  </si>
  <si>
    <t>17-Archive-Unsorted</t>
  </si>
  <si>
    <t>Preliminary measurements of alpha particles produced by proton-boron nuclear fusion reaction on Z-pinch type discharges</t>
  </si>
  <si>
    <t>Aneta Malinowska,Roch Kwiatkowski,Katarzyna Nowakowska-Langier,Svitlana Romaniuk,Martyna Araszkiewicz,Ryszard Miklaszewski,Marian Paduch,Piotr Czarkowski,Tomasz Chodukowski,Agnieszka Korgul,Agnieszka Kulińska</t>
  </si>
  <si>
    <t>10.1088/1361-6587/ae4141</t>
  </si>
  <si>
    <t>The11B(p, α)2αfusion reaction occurring in hydrogen-boron fuel seems to be the most prom-ising, therefore it is currently being investigated in various systems such as magnetic confinementfusion, inertial confinement fusion, high-power lasers and Z-pinches (Ribeyre et al 2022 Sci. Rep.124665), (Picciotto et al 2014 Phys. Rev. X4031030–1). As this reaction does not produce neut-rons and the energy released is carried only by alpha particles, it offers the possibility of direct con-version of</t>
  </si>
  <si>
    <t>Modification and Numerical Modelling of Dense Plasma F ocus</t>
  </si>
  <si>
    <t>machine_learning; experimental; review</t>
  </si>
  <si>
    <t>OpenFOAM Simulation of Microfluidic Molecular Communications: Method and Experimental Validation</t>
  </si>
  <si>
    <t>The convergence of microfluidics and Molecular Communication (MC) has garneredsignificant attention in the context of the emerging Internet of Bio-Nano Things (IoBNT) paradigm.Microfluidic systems offer unique capabilities for manipulating fluids at the microscale, enablingprecise control over molecular interactions. Potential IoBNT applications of microfluidic MC lie inhealthcare, environmental monitoring, and biotechnology. The MultiPhase Particle-In-Cell (MPPIC) solverin OpenFOAM was ori</t>
  </si>
  <si>
    <t>simulation; analytical; experimental; review</t>
  </si>
  <si>
    <t>nuclear_fusion; particle_methods</t>
  </si>
  <si>
    <t>MACH2: A Two-Dimensional Magnetohydrodynamic Simulation Code for Complex Experimental Configurations.</t>
  </si>
  <si>
    <t>Frese, Michael H.</t>
  </si>
  <si>
    <t>AMRC-R-874 0Mission Research CorporationLE MACH2: A TWO-DIMENSIONAL MAGNETOHYDRODYNAMIC SIMULATION00 CODE FOR COMPLEX EXPERIMENTAL CONFIGURATIONSO0)Michael H. FreseSeptember 1987Prepared for: AIR FORCE WEAPONS LABORATORY/AWPPKirtland Air Force BaseNew Mexico 87117DTICELECTEUnder Contract: F29601-86-C-0216 A 8Subtask 03-02/00 SA 0O8 88DHPrepared by: MISSION RESEARCH CORPORATION1720 Randolph Road, SE.Albuquerque, New Mexico 87106CLEARED FOR PUBLIC RELEASE: AFWL/PA 87-62622 Decem</t>
  </si>
  <si>
    <t>A More Realistic Z-pinch Snowplow Model</t>
  </si>
  <si>
    <t>We introduce an extended snowplow model for Z-pinch experimentsthat accounts for partial particle entrainment and current loss duringcontraction. We applied the methods to a speciﬁc case.</t>
  </si>
  <si>
    <t>z_pinch; plasma_physics</t>
  </si>
  <si>
    <t>Dimensional Analysis Approach to Experiments</t>
  </si>
  <si>
    <t>The physical behavior of discharges in Z pinch devices can be com-pletely deciphered in terms of only three dimensionless parameters. Theseparameters can be arranged in a way that draw a surface in 3 Dspace.This surface compiles all the accessible information on the macroscopicphysical behavior of each possible Z pinch discharge. We analyze thepractical problems the drawing of this surface encounters and in view ofthe situation, we devote the remainder of the article to outline a feasible</t>
  </si>
  <si>
    <t>Enhanc ing P rofessional and Perso nal Development</t>
  </si>
  <si>
    <t>Holly Coffin</t>
  </si>
  <si>
    <t>A resume is a document that you—the jobseeker—uses to p romote your skills, abiliti es, and kn owledge to a potential employer. It uses your past experiences and accomplishm ents to position you for future opportuniti es. From an employer’s perspective, resumes are used to identify qualified candidates to invite to an interview. Resumes do not generate job offers, but well written resumes do facilitate interviews. They are a marketing tool. The resume is impo rtant, but just one of se</t>
  </si>
  <si>
    <t>Scaling La w for Disc harges in Z pinc h Devices</t>
  </si>
  <si>
    <t>W e consider the sno wplo w mo del for studying disc harges in Z pinc hdevices. In this con text, to obtain a complete picture on the ph ysics ofthose disc harges, w e replenish the term disregarded in the original form u-lation of the sno wplo w equations. This is, w e no w consider not only themagnetic force in w ard on the curren t sheath but w e tak e in to accoun t alsoa force out w ard on it. Suc h a force results from the kinetic pressure of thegas o ccluded b y the curren t sheath.</t>
  </si>
  <si>
    <t>sfepy-run --save-ebc sfepy/examples/diffusion/poisson_short_syntax.py # -&gt; produces an additional .vtk file with BC visualization</t>
  </si>
  <si>
    <t>nuclear_fusion</t>
  </si>
  <si>
    <t>Paper ID</t>
  </si>
  <si>
    <t>Paper Title</t>
  </si>
  <si>
    <t>Equation Text</t>
  </si>
  <si>
    <t>Context</t>
  </si>
  <si>
    <t>youtube.com/watch?v=6ajqD0hoOMw&amp;t=228s credit:</t>
  </si>
  <si>
    <t>B = 100kG, a reachable value, B c= 10GG, a ﬁeld ten</t>
  </si>
  <si>
    <t>For E i= 300 keV, this implies B [14GG for p,</t>
  </si>
  <si>
    <t>As calculated [ 17], for T = T</t>
  </si>
  <si>
    <t>h/BT= sin hthen any initial axial ﬁeld will be</t>
  </si>
  <si>
    <t>ampliﬁed so that at the end of the run down h=hieVs/R,</t>
  </si>
  <si>
    <t>where z eff=(Pfz2)/C145, f is the number fraction of a given</t>
  </si>
  <si>
    <t>Te¼0:19 z eff=rb ðÞ0:8ðlnKLI=zðc/C01ÞÞ0:4ð8Þ</t>
  </si>
  <si>
    <t>2m=zþ1ðÞðÞ3</t>
  </si>
  <si>
    <t>to the device capacitors, the total energy fed to the device,was 60 kJ, so with the pure D ﬁll gas g= 3.3 910</t>
  </si>
  <si>
    <t>in 2001, with g= 1.2 910-5. The largest reported gby a</t>
  </si>
  <si>
    <t>tokamak with pure D fuel, achieved by JET, was 60 kJoutput for 10GJ into the device, g=6910</t>
  </si>
  <si>
    <t>6.5 MJ, yielding g= 1.0 910-8, a factor of about 300</t>
  </si>
  <si>
    <t>nsT = 3.4 ±0.891014keV-s/cm3or, in more com-</t>
  </si>
  <si>
    <t>The z eff= 3 was obtained with an impurity by number of</t>
  </si>
  <si>
    <t>plasma entering the pinch, z eff= 1.012.</t>
  </si>
  <si>
    <t>For the case of N=0, (16) shows</t>
  </si>
  <si>
    <t>zeolite (molecular formula: C5H4O2 .Na2O. Al2O3 3.3SiO 2.7H2O) (Pdf No.41 ‒ 118) with the lattice parameter of a = 24.96000 (A°) and 1.92</t>
  </si>
  <si>
    <t>associated with the asymmetric stretching of the carboxyl group (C = O). The signicant absorption peak of the samples at 3436 cm− 1 is</t>
  </si>
  <si>
    <t>reection index and dielectric constant of samples are given in Table 5.nd=1+√R</t>
  </si>
  <si>
    <t>(eV), n = 1/2</t>
  </si>
  <si>
    <t>The values of direct allowed transition band gap (eV), n = 2</t>
  </si>
  <si>
    <t>(αhν)n=B(hν−Eg)</t>
  </si>
  <si>
    <t>mQ I t dt−τ=∫; 12</t>
  </si>
  <si>
    <t>m 0 00Q a2−= πµ µ ρ (1)</t>
  </si>
  <si>
    <t>0ItB2 arµ=π; 0</t>
  </si>
  <si>
    <t>µρ;0 00E vB= ;2</t>
  </si>
  <si>
    <t>surface of rotation () t,r,z 0ψ= , called the Gratton -Vargas (GV) surface, whose normal</t>
  </si>
  <si>
    <t>0 10B 1 53pV pV p p V V V V 01 1 2 22 2+γγ − − − + + − +ε = γ− γ− µ(4)</t>
  </si>
  <si>
    <t>where s is the shock speed,1V−≡ρ is the specific volume, () 0 0ρ= ρ , () 0 1BB= and di+ε is the</t>
  </si>
  <si>
    <t>polytropic index ()075γ= for the diatomic neutral gas while it is ()153γ= for the fully</t>
  </si>
  <si>
    <t>di di 0 v++ε= ε :</t>
  </si>
  <si>
    <t>101 53pV p p p V 1 V 01 1 2 22+γγ − − − + + − +ε = γ− γ−       (6)</t>
  </si>
  <si>
    <t>di 7 4s 2+ε=− and ( )242</t>
  </si>
  <si>
    <t>di 36 32s 9s 8s+ε= − +  in the</t>
  </si>
  <si>
    <t>di 7 4s 2+ε=− and ()22</t>
  </si>
  <si>
    <t>di 5 2s 2s+ε=−  in the interval 23 72 s&lt;≤ . The next cont iguous region</t>
  </si>
  <si>
    <t>shaded magenta is bounded on the lower side by the axis di 0+ε= and on the upper side by the curve</t>
  </si>
  <si>
    <t>di 5 2s 2s+ε=−  in the interval 7 2 s 52&lt;&lt; . The blue dashed lines are contours of ()1V. The region to</t>
  </si>
  <si>
    <t>di di 11 10 v++ε= ε ≤ (7)</t>
  </si>
  <si>
    <t>1exp sin = −γ ω ≡</t>
  </si>
  <si>
    <t>2Lγ= ;00</t>
  </si>
  <si>
    <t>LC−λω= ; 2 0</t>
  </si>
  <si>
    <t>01γ=λ≡λ −λω (9)</t>
  </si>
  <si>
    <t>11 11 1exp sin++εε= ≡−λ π µρ π µ= =µµ −λ </t>
  </si>
  <si>
    <t>opt p−ε =ατ ; ()p AI2z z 1τ≡ − + ;()()() ( ) LL Ltt t exp cos sinα ≡ −λ +λ (13)</t>
  </si>
  <si>
    <t>, +α −η τ=η +η −α</t>
  </si>
  <si>
    <t>11z z 12 2 R 2f2 LCπ+−+ µα α=ε=ππ </t>
  </si>
  <si>
    <t>L-shell regionni = 2.5×1019 cm-3Te = 110 eVΔr = 2.6 mm73% total massK-shell regionni = 6.7×1019cm-3Te = 2.45 keVØ2.8mm27% total masshotcore coolblanket</t>
  </si>
  <si>
    <t>∇ ·E= 0 (1)</t>
  </si>
  <si>
    <t>∇ × E=−∂B</t>
  </si>
  <si>
    <t>∇ ·B= 0 (3)</t>
  </si>
  <si>
    <t>∇ ×B=µ0J+µ0ϵ0∂E</t>
  </si>
  <si>
    <t>∇ × B=µ0J+µ0ϵo∂E</t>
  </si>
  <si>
    <t>According to Ohm’s law, the conduction current Jcis expressed in the above equation, Jc=J=σE. Here σis</t>
  </si>
  <si>
    <t>Jd=ϵo∂E</t>
  </si>
  <si>
    <t>∂t=iωϵoE=i2πfϵoE</t>
  </si>
  <si>
    <t>f=5.8×107</t>
  </si>
  <si>
    <t>2×π×8.854×10−12= 1.0425×1018Hz</t>
  </si>
  <si>
    <t>∇ × B=µ0J</t>
  </si>
  <si>
    <t>B=∇ × A (5)</t>
  </si>
  <si>
    <t>E=−∇Φ−∂A</t>
  </si>
  <si>
    <t>By applying these definitions to Maxwell’s equations, along with Ohm’s law ( J=σE), the evolution equations for the</t>
  </si>
  <si>
    <t>∂t− ∇ · ∇ A+µ0σ∇Φ = 0 (8)</t>
  </si>
  <si>
    <t>J=σ(E+U×B) (9)</t>
  </si>
  <si>
    <t>− ∇ · (σU×B) = 0 (10)</t>
  </si>
  <si>
    <t>∂t− ∇ · ∇ A+µ0σ∇Φ−µ0σU×B= 0 (11)</t>
  </si>
  <si>
    <t>∂t+∇ ·(ρUU)−µ∇ ·(∇U) +∇p−J×B= 0</t>
  </si>
  <si>
    <t>∇ ·U= 0</t>
  </si>
  <si>
    <t>asAX=B. The discretization process separates terms into explicit and implicit components, with explicit terms</t>
  </si>
  <si>
    <t>N=1aNϕN=bP (12)</t>
  </si>
  <si>
    <t>∇ ·A=1</t>
  </si>
  <si>
    <t>∂ΩA·dS =1</t>
  </si>
  <si>
    <t>∂ΩϕdS =1</t>
  </si>
  <si>
    <t>∂t=ϕ−ϕo</t>
  </si>
  <si>
    <t>∆taN= 0 bP=ϕo</t>
  </si>
  <si>
    <t>2∆taN= 0 bP=1</t>
  </si>
  <si>
    <t>∇ ·σ∇ϕ=1</t>
  </si>
  <si>
    <t>∂Ω(σ∇ϕ)·dS=1</t>
  </si>
  <si>
    <t>∇ϕf·S=|S|ϕN−ϕP</t>
  </si>
  <si>
    <t>|d|aN=1</t>
  </si>
  <si>
    <t>|d|bP= 0</t>
  </si>
  <si>
    <t>|d|aN= 0 bP=−1</t>
  </si>
  <si>
    <t>ˆn· ∇Φ =S</t>
  </si>
  <si>
    <t>|S|· ∇Φ =gb</t>
  </si>
  <si>
    <t>∇ϕ·S=|S|gb</t>
  </si>
  <si>
    <t>aP= 0 aN= 0 bP=−1</t>
  </si>
  <si>
    <t>∇ ·(ρUϕ) =1</t>
  </si>
  <si>
    <t>∂Ω(ρUϕ)·dS=1</t>
  </si>
  <si>
    <t>fϕf(ρU)f·S=1</t>
  </si>
  <si>
    <t>The quantity F= (ρU)f·Sis called mass flux ( [ 19,20] ). The face value ϕfis calculated using convection</t>
  </si>
  <si>
    <t>The two equations can be combined as [19] ϕf=max(sign(F),0) ϕP+(1-max(sign(F),0)) ϕN</t>
  </si>
  <si>
    <t>was Y sxr=30 mJ at 1.5 mbar efficiently 0.0015% . Akel et al. [6] studied by carrying</t>
  </si>
  <si>
    <t>C0 = 1 μF stray resistance</t>
  </si>
  <si>
    <t>r0 = 10 mΩ</t>
  </si>
  <si>
    <t>b = 1.6 cm anode radius</t>
  </si>
  <si>
    <t>a =0.6 cm anode length</t>
  </si>
  <si>
    <t>parameters fm=0.07 fc=0.7 fmr=0.13 fcr=0.7</t>
  </si>
  <si>
    <t>C0 = 36 μF stray resistance</t>
  </si>
  <si>
    <t>r0 = 8 mΩ</t>
  </si>
  <si>
    <t>b = 2.235 cm anode radius</t>
  </si>
  <si>
    <t>a =1 cm anode length</t>
  </si>
  <si>
    <t>parameters fm=0.02 fc=0.7 fmr=0.15 fcr=0.7</t>
  </si>
  <si>
    <t>then given by, Ji=1 .86×(4</t>
  </si>
  <si>
    <t>The transformation of the magnetic field into an electric field through instability, primarily in the m=0</t>
  </si>
  <si>
    <t>ejected and accelerated deuterium ions can be expressed as Ni=πr2</t>
  </si>
  <si>
    <t>as, Yth=yth=n2</t>
  </si>
  <si>
    <t>in34. the thermal neutron yield is =yth=4 .23×1015 with the thermonuclear energy of DD fusion out</t>
  </si>
  <si>
    <t>Eth=0.245 kJ. Using a crowbar circuit at the same temperature, the confinement time increases to 10µs</t>
  </si>
  <si>
    <t>, under these conditions, the yield becomes yth=9 .2×1016, with an energy output of Eth=5.35kJ. If</t>
  </si>
  <si>
    <t>yth=9 .2×1018 and Eth∼26MJ for DPF device, which represents a well-satisfied break-even condition.</t>
  </si>
  <si>
    <t>∂t+∇·(nv)=0 (4)</t>
  </si>
  <si>
    <t>∂t+∇·(nvv)=−∇p+J×B+ng (5)</t>
  </si>
  <si>
    <t>∂t+∇·(ev)=−p∇·v+J·E+Q (6)</t>
  </si>
  <si>
    <t>∂t=−∇ × E (7)</t>
  </si>
  <si>
    <t>∇× B=µ0J+1</t>
  </si>
  <si>
    <t>Period of circuit trace t0 2π√(L0C0)=1 7 .5µs</t>
  </si>
  <si>
    <t>c=b/a 1.5</t>
  </si>
  <si>
    <t>yield. The magnetic pressure is given by, PB=B2/2µ0, where B (10–15 T) is the magnetic field strength and</t>
  </si>
  <si>
    <t>GHTS = 104[</t>
  </si>
  <si>
    <t>Pfusion,HTS =GHTSηDPin (10)</t>
  </si>
  <si>
    <t>4.5MJ , giving ηC=4 .5/6=0 .75 (75%) . This aligns with the expected range, showing efficient energy</t>
  </si>
  <si>
    <t>Pfusion, HTSP=GHTS ·ηDPin (12)</t>
  </si>
  <si>
    <t>we have GHTS =1.5×104. Assume ηD=0 .3 (driver efficiency) and Pin=3MW , then,</t>
  </si>
  <si>
    <t>Pfusion, HTS =1.5×104·0.3·3=1 3 .5MW . Assume ηth=0 .4 (thermal-to-electric efficiency), for</t>
  </si>
  <si>
    <t>the electric power output we have, Pelectric =0.4·13.5=5 .4MW , and for the magnetic field strength of</t>
  </si>
  <si>
    <t>12T, GHTS=2.0×104, using the same assumptions, Pfusion, HTS =2.0×104·0.3·3=1 8 .0MW</t>
  </si>
  <si>
    <t>. Electric power output will be Pelectric =0.4·18.0=7 .2MW . Finally, for the magnetic field strength of</t>
  </si>
  <si>
    <t>15T, GHTS =2.8×104 and the fusion power is Pfusion, HTS =2.8×104·0.3·3=2 5 .2MW , and</t>
  </si>
  <si>
    <t>the electric power, Pelectric =0.4·25.2=1 0 .08MW . The calculations for the fusion yield and power</t>
  </si>
  <si>
    <t>outputs are consistent and correct with the provided assumptions, driver efficiency ηD=0 .3, thermal-to-</t>
  </si>
  <si>
    <t>electric conversion efficiency ηth=0 .4, input power Pin=3MW .</t>
  </si>
  <si>
    <t>), efficiency at 4K is typically 1W cooling per 300W electrical input. Cooling rate ( Rcool), for Q= 10W</t>
  </si>
  <si>
    <t>Boltzmann law, Qradiation =ϵσ A (T4</t>
  </si>
  <si>
    <t>HTS magnetic fields. Without HTS fields; parameters, Pin= 10MW , ηD=0 .5, G=5, ηth=0 .4</t>
  </si>
  <si>
    <t>. Fusion power output, Pfusion =G·ηD·Pin=5 ·0.5 ·10 = 25 MW . Electric power output,</t>
  </si>
  <si>
    <t>Pelectric =ηth ·Pfusion =0.4·25 = 10 MW . With HTS fields, G= 15 (improved confinement),</t>
  </si>
  <si>
    <t>ηC=0 .85 (not directly used). Fusion power output, Pfusion = 15 ·0.5 ·10 = 75 MW . Electric power</t>
  </si>
  <si>
    <t>output ,P electric =0.4·75 = 30 MW . HTS magnetic fields improve plasma confinement, increasing density</t>
  </si>
  <si>
    <t>done as fallows, for =5min (300s), ftarget =1/Tcharge =1</t>
  </si>
  <si>
    <t>300s=0.0033 Hz (12 shots/hour), and for</t>
  </si>
  <si>
    <t>Tcharge = 10 min (600s), ftarget =0.00167 Hz, (6 shot/hour). A feasible mechanism must ensure, speed and</t>
  </si>
  <si>
    <t>for DT pellets and the replacement Time ( Treplace ), for Treplace = 300 s, Treplace =Tcharge = 300s</t>
  </si>
  <si>
    <t>movement speed is v, and the pellet travels a distance d, for example, d=0.5m therefor, Treplace =5s</t>
  </si>
  <si>
    <t>Treplace=0.1m/s . Thus, the system requires 6–12 pellet replacements per hour, with efficient</t>
  </si>
  <si>
    <t>The key parameters cab be as HTS magnetic field strength, B= 15 T, pinch radius, rp=1.2cm(reduced</t>
  </si>
  <si>
    <t>from 1.8cm due to improved confinement), confinement time, τC= 16 ns (improved by a factor of 2 due</t>
  </si>
  <si>
    <t>to increased magnetic stability), driver efficiency, ηD=0 .5 (unchanged), coupling efficiency, ηC=0 .85</t>
  </si>
  <si>
    <t>(increased from 0.8), thermal-to-electric efficiency, ηth=0 .4 (unchanged). Fusion yield calculation</t>
  </si>
  <si>
    <t>steps will be as fallows; plasma energy and pressure, pinched plasma radius, rp=1.2cm, pinched plasma</t>
  </si>
  <si>
    <t>volume, Vp=πr2</t>
  </si>
  <si>
    <t>ph=4.71×10−6m3, plasma energy density, E/V p≈8.91×1011J/m3, pressure,</t>
  </si>
  <si>
    <t>rC=6.25×10−6m, compressed pellet volume, VC=4/3πr3</t>
  </si>
  <si>
    <t>current. A simple calculation with Ohm’s law,V=IR, pro-</t>
  </si>
  <si>
    <t>I=2πr wBθ</t>
  </si>
  <si>
    <t>ial position andr w=0.1 m is the inner radius of the outer</t>
  </si>
  <si>
    <t>surements atz=10 cm, which is the position closest to the tip</t>
  </si>
  <si>
    <t>The position of the electrode was brought forward toz=8 cm</t>
  </si>
  <si>
    <t>as shown in Fig. 2(a), from the original position atz=0 cm</t>
  </si>
  <si>
    <t>ofz=0, providing optical access for spectroscopy measurements through the fused silica windows. The redesigned electrode</t>
  </si>
  <si>
    <t>atz=10 cm. The current values are averaged over all pulses</t>
  </si>
  <si>
    <t>probes atz=10 cm.</t>
  </si>
  <si>
    <t>measurements atz=10 cm.</t>
  </si>
  <si>
    <t>sured using thez=10 cm probe array. The shaded regions</t>
  </si>
  <si>
    <t>Γsub=(2kT i+|eV sheath|)Γp</t>
  </si>
  <si>
    <t>Γsp=n ecssin(α)Y∗,(4)</t>
  </si>
  <si>
    <t>normal incidence (α=90◦) to the surface and 100% effective</t>
  </si>
  <si>
    <t>λn=vth,n</t>
  </si>
  <si>
    <t>νn=vth,n</t>
  </si>
  <si>
    <t>Tn,sp=E 0γ(1−γ)−E sb,(7)</t>
  </si>
  <si>
    <t>γ=4M1M2</t>
  </si>
  <si>
    <t>ing thermal equilibrium,T i=T e=1 keV from Ref. 29. Cal-</t>
  </si>
  <si>
    <t>which corresponds toT n,sp=1.4 keV from Eq. 7. Note that</t>
  </si>
  <si>
    <t>Esb=7.4 eV is negligible compared to the first term in Eq. 7</t>
  </si>
  <si>
    <t>λs=eVsheath</t>
  </si>
  <si>
    <t>using the electron number densityn e=2×1023m−3from</t>
  </si>
  <si>
    <t>ΓH=nc s≈1</t>
  </si>
  <si>
    <t>outperform the universal scaling rule for neutron production of YD−D=1.8×1010×I3.8</t>
  </si>
  <si>
    <t>the plasma during the radial phase. This current factor is typically observed to be fcr=0 .7 for the radial phase.</t>
  </si>
  <si>
    <t>For this shot, the slope of the dip was fitted with fcr=0 .9, indicating very good plasma current flow when</t>
  </si>
  <si>
    <t>proceeds with the first set fmr and fcr until the time t=ttransition when the second set fmr2 and fcr2 is applied</t>
  </si>
  <si>
    <t>The universal scaling rule compiled for available plasma focus machines is YD−D=1.8×1010×I3.8</t>
  </si>
  <si>
    <t>beam-target fusion cross section σ(Vmax ) versus Vmax and σ(U) vs. Vmax, where U=3Vmax is the effective</t>
  </si>
  <si>
    <t>validates the use in the Lee code of the effective inductive voltage U=3Vmax for general plasma focus devices</t>
  </si>
  <si>
    <t>waveform. The second current factor fcr2 was reduced in steps, from initial value of fcr=0 .8 until at fcr2=0 .58</t>
  </si>
  <si>
    <t>6. LEE, S. Pushing the limits of existing plasma focus towards 1016 fusion neutrons with Q=0.01. Plasma Sci. Technol. 24,</t>
  </si>
  <si>
    <t>for neutron production of YD−D=1.8×1010×I3.8</t>
  </si>
  <si>
    <t>the circuit current that is ﬂowing into the plasma during the radial phase. This current factor is typically observed to be fcr=0.7</t>
  </si>
  <si>
    <t>For this shot, the slope of the dip was ﬁtted with fcr=0.9, indicating very good plasma current ﬂow when compared</t>
  </si>
  <si>
    <t>the ﬁrst set fmrandfcruntil the time t=ttransition when the second set fmr2andfcr2is applied for the rest of the computation. In</t>
  </si>
  <si>
    <t>cross section σ(Vmax)versus Vmaxandσ(U)vs.Vmax, where U=3Vmaxis the effective inductive voltage used in the Lee code.</t>
  </si>
  <si>
    <t>machines is YD−D=1.8×1010×I3.8</t>
  </si>
  <si>
    <t>Lee code of the effective inductive voltage U=3Vmaxfor general plasma focus devices which generally have induced voltage</t>
  </si>
  <si>
    <t>factor fcr2was reduced in steps, from initial value of fcr=0.8until at fcr2=0.58a good ﬁt of the ﬂattening of the current dip</t>
  </si>
  <si>
    <t>6.LEE, S. Pushing the limits of existing plasma focus towards 1016fusion neutrons with Q=0.01.Plasma Sci. Technol. 24,</t>
  </si>
  <si>
    <t>dt= 1300 ×Zeff×Zmax</t>
  </si>
  <si>
    <t>in axial phase, fm= 0.13, effective current factor in</t>
  </si>
  <si>
    <t>axial phase, fc= 0.7, mass swept-up factor in radial</t>
  </si>
  <si>
    <t>phase,fmr= 0.35, and effective current factor in</t>
  </si>
  <si>
    <t>radial phase, fcr= 0.65have been obtained by fitting</t>
  </si>
  <si>
    <t>@t+∇ (u) = 0 ; (1)</t>
  </si>
  <si>
    <t>Ptot=P+B2/(20)</t>
  </si>
  <si>
    <t>@t+∇ (u) = 0 : (5)</t>
  </si>
  <si>
    <t>@t+∇(E) =0: (8)</t>
  </si>
  <si>
    <t>Ptot=Pi+Pe+B2/(20)</t>
  </si>
  <si>
    <t>e=c1ek2neTe</t>
  </si>
  <si>
    <t>me; i= 3:9ik2niTi</t>
  </si>
  <si>
    <t>e=12π3/2"2</t>
  </si>
  <si>
    <t>i=12π3/2"2</t>
  </si>
  <si>
    <t>i= 0:96nikTii: (13)</t>
  </si>
  <si>
    <t>Zi= 2;</t>
  </si>
  <si>
    <t>dt[L0I] =V0r0I∫Idt</t>
  </si>
  <si>
    <t>C0= 30 μF</t>
  </si>
  <si>
    <t>UPF=d()</t>
  </si>
  <si>
    <t>0.95 cm , 阴极半径为 b = 3.2 cm , 阴阳极间隙</t>
  </si>
  <si>
    <t>@n= 0;@Ti</t>
  </si>
  <si>
    <t>@n= 0;@Te</t>
  </si>
  <si>
    <t>@n= 0; un= 0: (18)</t>
  </si>
  <si>
    <t>(对应的背景气压约为3.5 Torr (1 Torr =1.33×</t>
  </si>
  <si>
    <t>径a、阴阳极半径比c = b/a).</t>
  </si>
  <si>
    <t>Imax=V0√</t>
  </si>
  <si>
    <t>Lf= 2lln(R/r) [nH]: (22)</t>
  </si>
  <si>
    <t>Imax=V0109</t>
  </si>
  <si>
    <t>阴阳极半径之比c = b/a. 对于阳极半径a, 大量已</t>
  </si>
  <si>
    <t>In the ideal limit, Rm=µσuL → ∞ , and from a mag-</t>
  </si>
  <si>
    <t>no magnetic diffusivity λ= (µσ)−1, then the magnetic</t>
  </si>
  <si>
    <t>∂t+∇ ·(ρ⃗ u) = 0 (8)</t>
  </si>
  <si>
    <t>∂t+∇ ·(⃗ u⃗B−⃗B⃗ u) = 0 (10)</t>
  </si>
  <si>
    <t>⃗J=ne⃗ u (14)</t>
  </si>
  <si>
    <t>p= 2nkBT (16)</t>
  </si>
  <si>
    <t>i.e.,⃗ u= 0, in order to simplify the LHS of the momentum</t>
  </si>
  <si>
    <t>∇ ·⃗B= 0 (17)</t>
  </si>
  <si>
    <t>∇ × ⃗B=µ0⃗J (18)</t>
  </si>
  <si>
    <t>ρ⃗ u· ∇⃗ u=⃗J×⃗B− ∇p (19)</t>
  </si>
  <si>
    <t>⃗J=Jz(r)ˆz (20)</t>
  </si>
  <si>
    <t>⃗B=Bθ(r)ˆθ (21)</t>
  </si>
  <si>
    <t>(⃗ u· ∇⃗ u)r=ur∂ur</t>
  </si>
  <si>
    <t>pinch suffers from m= 0, and m= 1 MHD instabilities,</t>
  </si>
  <si>
    <t>where k=2π</t>
  </si>
  <si>
    <t>stable mode, and VA=B√ρµis the velocity of Alfven</t>
  </si>
  <si>
    <t>a Bennett pinch, Equation (26). ˜Jz=Jz</t>
  </si>
  <si>
    <t>⃗ ω=∇ ×⃗ u (29)</t>
  </si>
  <si>
    <t>nett pinch, MT=B2</t>
  </si>
  <si>
    <t>is given by ˜MT=MTµξ</t>
  </si>
  <si>
    <t>a function of the dimensionless coordinate r∗=rξ. ˜p=p</t>
  </si>
  <si>
    <t>as lim r→∞ωθ= 0. This implies that −˜Sf, as given in Eqn.</t>
  </si>
  <si>
    <t>⃗ ω=ωθ(r)ˆθ=−duz</t>
  </si>
  <si>
    <t>pane): - Position the camera so it can see the origin where our simulation data will be (e.g., position = (0, 0,</t>
  </si>
  <si>
    <t>component, set Min Value = 0 and Max Value to the number of frames minus 1 (we’ll set this dynamically</t>
  </si>
  <si>
    <t>when data is loaded). Set Whole Numbers = true (so it snaps to frame indices). - The slider includes a</t>
  </si>
  <si>
    <t>Attribute = position , Sample Mode = Sequential (so each particle gets a unique pixel from the texture</t>
  </si>
  <si>
    <t>o.localPos =v.vertex.xyz;</t>
  </si>
  <si>
    <t>float3worldPos =mul(unity_ObjectToWorld ,v.vertex).xyz;</t>
  </si>
  <si>
    <t>o.camToVertex =mul(unity_WorldToObject ,</t>
  </si>
  <si>
    <t>o.pos=UnityObjectToClipPos (v.vertex);</t>
  </si>
  <si>
    <t>float3rayOrigin =i.localPos ;</t>
  </si>
  <si>
    <t>float3rayDir=normalize (i.camToVertex );</t>
  </si>
  <si>
    <t>fixed4accumulatedColor =0;</t>
  </si>
  <si>
    <t>float3samplePos =rayOrigin ;</t>
  </si>
  <si>
    <t>[loop]for(intstep=0;step&lt;MAX_STEP_COUNT ;step++){</t>
  </si>
  <si>
    <t>floatdensity =tex3D(_MainTex ,samplePos +0.5f).a;</t>
  </si>
  <si>
    <t>voxelColor .a=density *_Alpha;</t>
  </si>
  <si>
    <t>how opaque the density appears) and _StepSize at 0.01 (smaller step = higher quality but slower). - Now</t>
  </si>
  <si>
    <t>densityNormalized and perhaps set RGB=1 for tinted color (or leave RGB white since we multiply by</t>
  </si>
  <si>
    <t>_ColorTint in shader). - We will do this in code: create Texture3D densTex = new Texture3D(nx, ny,</t>
  </si>
  <si>
    <t>surface is parallel to the ground). Position it at Y=0 (mid of volume if volume spans roughly -0.5 to 0.5 in Y). -</t>
  </si>
  <si>
    <t>example, position Y = 0.001 or so if slicing at Y=0, or if a vertical slice, offset a tiny bit along that axis.</t>
  </si>
  <si>
    <t>index k = nz/2 . We’ll create an nx x ny Texture2D and fill it with density values from</t>
  </si>
  <si>
    <t>grayscale or a single-color gradient. Let’s do a blue color map: low density = black transparent, high density</t>
  </si>
  <si>
    <t>min/max or use global max to normalize. Then color = (0, norm, norm, 1) perhaps to get black-&gt;cyan (since</t>
  </si>
  <si>
    <t>R=0, G=B=norm). - We set the texture and assign it to SliceMat’s MainTexture.</t>
  </si>
  <si>
    <t>private List&lt;FrameData &gt;frames=newList&lt;FrameData &gt;();</t>
  </si>
  <si>
    <t>private intcurrentFrame =0;</t>
  </si>
  <si>
    <t>private Queue&lt;string&gt;wsJsonQueue =newQueue&lt;string&gt;();// queue for</t>
  </si>
  <si>
    <t>private Queue&lt;byte[]&gt;wsBinaryQueue =newQueue&lt;byte[]&gt;();// queue for</t>
  </si>
  <si>
    <t>currentFrame =0;</t>
  </si>
  <si>
    <t>timelineSlider .minValue =0;</t>
  </si>
  <si>
    <t>timelineSlider .maxValue =frames.Count-1;</t>
  </si>
  <si>
    <t>timelineSlider .value=0;</t>
  </si>
  <si>
    <t>stringjson=wsJsonQueue .Dequeue();</t>
  </si>
  <si>
    <t>byte[]data=wsBinaryQueue .Dequeue();</t>
  </si>
  <si>
    <t>varjsonText =jsonTextAsset .text;</t>
  </si>
  <si>
    <t>SimulationMeta meta=JsonUtility .FromJson &lt;SimulationMeta &gt;(jsonText );</t>
  </si>
  <si>
    <t>nx=meta.nx;</t>
  </si>
  <si>
    <t>ny=meta.ny;</t>
  </si>
  <si>
    <t>nz=meta.nz;</t>
  </si>
  <si>
    <t>intnFrames =meta.frameCount ;</t>
  </si>
  <si>
    <t>intparticleCount =meta.particleCount ;</t>
  </si>
  <si>
    <t>using(BinaryReader br=newBinaryReader (File.Open(binaryPath ,</t>
  </si>
  <si>
    <t>for(intf=0;f&lt;nFrames;f++){</t>
  </si>
  <si>
    <t>FrameData frame=newFrameData ();</t>
  </si>
  <si>
    <t>frame.frameIndex =f;</t>
  </si>
  <si>
    <t>frame.time=meta.times!=null&amp;&amp;meta.times.Length&gt;f?</t>
  </si>
  <si>
    <t>frame.particles =newVector3[particleCount ];</t>
  </si>
  <si>
    <t>for(intp=0;p&lt;particleCount ;p++){</t>
  </si>
  <si>
    <t>floatpx=br.ReadSingle ();</t>
  </si>
  <si>
    <t>floatpy=br.ReadSingle ();</t>
  </si>
  <si>
    <t>density J = J_(r) z and a resulting azimuthal induction B = Bn(r) Θ, as depicted</t>
  </si>
  <si>
    <t>effect. The isobaric surfaces , for which p = constant, are, in this case,</t>
  </si>
  <si>
    <t>J (r). If the conducting fluid lies almost entirely inside r = R, then the</t>
  </si>
  <si>
    <t>I0 = j Jz(r) 2πΓ dr = I2(R) (2.6)</t>
  </si>
  <si>
    <t>47r*r2 Étirl = - ± [ (μ /2) i»(r) ] (2.8)</t>
  </si>
  <si>
    <t>If we now integrate this equation from r = 0 to r = R, and simplify the</t>
  </si>
  <si>
    <t>(4iT2r2 p(r) I ) - 4π ί 2irr p(r) dr = - yQI2/2 (2.9)</t>
  </si>
  <si>
    <t>where I = I (R) is the total current flowing through the entire cross section</t>
  </si>
  <si>
    <t>ll = &lt;8πΜ&gt;) J 2™ P(r) dr (2.10)</t>
  </si>
  <si>
    <t>ll = (8π/μο&gt; k &lt;Te + Ti) 1 27Tr n(r) dr (2J4)</t>
  </si>
  <si>
    <t>i; = (8π/μ0) k (Te +T.) N£ (2.15)</t>
  </si>
  <si>
    <t>Te + T. = 108K. Since \xQ = 4π x 10"7 H/m and k = 1.38 x 10"23J/K, it follows that</t>
  </si>
  <si>
    <t>that from Maxwell equation V x B = μ J we have, in cylindrical coordinates,</t>
  </si>
  <si>
    <t>from which we get [ r Β Θ(Γ) ] = μ 0 J2(r) (2.17)</t>
  </si>
  <si>
    <t>Jz(r) = (Vu 0) &lt;lB e(r)/dr + (1/ μ&lt;)) B Q(r)/r (2.18)</t>
  </si>
  <si>
    <t>We now integrate this equation from r = 0 to a general radius r,</t>
  </si>
  <si>
    <t>In particular, since for r = R we have p(R) = 0,</t>
  </si>
  <si>
    <t>P = πR2 Z-nr p(r) dr (2.23)</t>
  </si>
  <si>
    <t>p = B2(R)/2 % = y^/^R2) (2.25)</t>
  </si>
  <si>
    <t>is constant for r &lt; R. Taking Jz = I0/TR2 in (2.4), we obtain for r &lt; R,</t>
  </si>
  <si>
    <t>Dirac delta function at r = R. In this case there is no magnetic field</t>
  </si>
  <si>
    <t>B0(r) = Ρ0Ι0/2πΓ (r &gt; R) (2.28)</t>
  </si>
  <si>
    <t>symmetric about the z axis, where r = 0, and is a smoothly varying function</t>
  </si>
  <si>
    <t>dr = 0</t>
  </si>
  <si>
    <t>r=0 (3.7)</t>
  </si>
  <si>
    <t>where n = n(r = 0), which is the number density on the axis, and</t>
  </si>
  <si>
    <t>n(r) 2-iïr dr = 2πη η</t>
  </si>
  <si>
    <t>a = iyR)/iy°°) = biyiO/π (3.13)</t>
  </si>
  <si>
    <t>(nob)1/2R = [α/(1-α)]1/2 (3.14)</t>
  </si>
  <si>
    <t>plasma column of radius R, that is a = 0.9, we have</t>
  </si>
  <si>
    <t>(nQb)1/2 R = 3 (3.15)</t>
  </si>
  <si>
    <t>t = 0 we have R = R , and this equation gives the inital value B 0(R0) of</t>
  </si>
  <si>
    <t>Pm(R) = B¿(R)/2y Q = yQI2(t)/(8^R2) (4.2)</t>
  </si>
  <si>
    <t>x = R/R 0 (4.11)</t>
  </si>
  <si>
    <t>https://www.tandfonline.com/action/journalInformation?journalCode=ufst20</t>
  </si>
  <si>
    <t>Confinement of Hot Ion Plasma with β = 0.6 in the</t>
  </si>
  <si>
    <t>(2011) Confinement of Hot Ion Plasma with β = 0.6 in the Gas Dynamic Trap, Fusion Science</t>
  </si>
  <si>
    <t>m=1, preferential selection of which occurs in plasma</t>
  </si>
  <si>
    <t>'B/B v=0.32, maximal value obtained in one of the</t>
  </si>
  <si>
    <t>shots reached 'B/B v=0.37. Bagryansky et al. CONFINEMENT OF HOT ION PLASMA IN GDT</t>
  </si>
  <si>
    <t>where Bv – value of the vacuum magnetic field, 'B = B v –</t>
  </si>
  <si>
    <t>Parameter E=0.54 corresponds to the 'B/B v=0.32, E=0.6</t>
  </si>
  <si>
    <t>corresponds to the maximum value 'B/B v=0.37. Using</t>
  </si>
  <si>
    <t>SH  !. For the regime with E=0.6, &lt;H&gt;| 9 keV</t>
  </si>
  <si>
    <t>where Sm=Sa2/R – the area of middle cross-section of the</t>
  </si>
  <si>
    <t>∂y)=Bθ</t>
  </si>
  <si>
    <t>∂y)=ue∂pe</t>
  </si>
  <si>
    <t>no(z)=noexp(1−∫10.045</t>
  </si>
  <si>
    <t>no(z)=noexp(1−∫10.705</t>
  </si>
  <si>
    <t>where,λ=uao/(ne&lt;σv&gt; ionization +ne&lt;σv&gt; CX)andδz=z(i,j)−z(10.055,j).</t>
  </si>
  <si>
    <t>o = 1.6 or 2.4 mbar. Some discharges</t>
  </si>
  <si>
    <t>o = 23 kV , which</t>
  </si>
  <si>
    <t>Fig. 2. T emporal changes of the optical spectra recorded for the DPF-1000U shots at po = 1.6 mbar and Uo = 23 kV</t>
  </si>
  <si>
    <t>line was observed at tdip = 0, i.e. when the plasma column had the most dense structure. Apart from</t>
  </si>
  <si>
    <t>especially near tdip = 0.</t>
  </si>
  <si>
    <t>Fig. 4. T emporal changes of the optical spectra for DPF-1000U shots performed at po = 2.4 mbar and Uo = 23 kV , with</t>
  </si>
  <si>
    <t>Fig. 5. Proﬁ les of the D  line measured at po = 1.6 mbar, Uo = 23 kV and different instants after the current dip, as recorded</t>
  </si>
  <si>
    <t>Fig. 3. T emporal changes of the optical spectra for DPF-1000U shots performed at po = 1.6 mbar and Uo = 23 kV , with</t>
  </si>
  <si>
    <t>o = 2.4 mbar were noticeably higher</t>
  </si>
  <si>
    <t>than those recorded at po = 1.6 mbar. One should</t>
  </si>
  <si>
    <t>Fig. 6. Proﬁ les of the D  line measured at po = 2.4 mbar, Uo = 23 kV and different instants after the current dip, as</t>
  </si>
  <si>
    <t>o = 1.6 mbar, Uo = 23 kV , without gas-</t>
  </si>
  <si>
    <t>is represented as Xfreesuch that Xfree=X\Xobs. The goal of</t>
  </si>
  <si>
    <t>σ(0)=xstart, σ(1)=xgoal, σ(t)∈Xfree,∀t∈[0,1](1)</t>
  </si>
  <si>
    <t>σ∗=argmin</t>
  </si>
  <si>
    <t>2 fori=1 to Iter maxdo</t>
  </si>
  <si>
    <t>12: Return G=(V,E)</t>
  </si>
  <si>
    <t>10: Return G=(V, E)</t>
  </si>
  <si>
    <t>ρ=Vobs</t>
  </si>
  <si>
    <t>Pbias=exp(−β1ρ)</t>
  </si>
  <si>
    <t>Pnew=P+1s·g−P</t>
  </si>
  <si>
    <t>Pnew=P+1s·rrand−P</t>
  </si>
  <si>
    <t>Ntotal=xbins·ybins·zbins (9)</t>
  </si>
  <si>
    <t>j=1Sj.</t>
  </si>
  <si>
    <t>Si=exp(</t>
  </si>
  <si>
    <t>σ=0.5×∥g−s∥ (12)</t>
  </si>
  <si>
    <t>Pi=Si∑Ntotal</t>
  </si>
  <si>
    <t>j=1Sj(13)</t>
  </si>
  <si>
    <t>rrand=crand+δ·l (14)</t>
  </si>
  <si>
    <t>where δ=[</t>
  </si>
  <si>
    <t>Frep=Frep1+Frep2 (18)</t>
  </si>
  <si>
    <t>Ftotal=Fatt+Frep (19)</t>
  </si>
  <si>
    <t>dapf=Ftotal</t>
  </si>
  <si>
    <t>[p1,p2, . . . ,p n], where each node pi=(xi,yi,zi)represents</t>
  </si>
  <si>
    <t>are sho rt lived interrupting the equilibration process . They are described by relation T e&gt;&gt;T i=Tg, where</t>
  </si>
  <si>
    <t>columns it break s up due to m = 0 and m = l instabilities. The m = 0 mode instabilities accelerate the</t>
  </si>
  <si>
    <t>ﬁeld lines (dotted, mirror ﬁeld 85 mT, mirror ratio 12.5) and ( b) magnetic ﬁeld strength in the mirror region (z =0.4 m) during operation at</t>
  </si>
  <si>
    <t>∥=qeµ0ω(n e/B0)) predicts</t>
  </si>
  <si>
    <t>currents, R=IuplIdn,wasmeasured when Hanbit was</t>
  </si>
  <si>
    <t>whereT=T;/T,.,M=Vdrift/~T,./m; .</t>
  </si>
  <si>
    <t>Ti=6Te(assumption)(b)</t>
  </si>
  <si>
    <t>Ti=(a)3Te,(b)6Te.</t>
  </si>
  <si>
    <t>(ms-ix 10 +4 ) B = 0.66 T</t>
  </si>
  <si>
    <t>the discharge current, 100 A, filling pressure, 0.1 torr (n = 3.3 x 1021 m -a) and the</t>
  </si>
  <si>
    <t>e=(50–150) eV to be performed [22]. The measurements</t>
  </si>
  <si>
    <t>the current-derivative dip was assigned as the instant t=0. An</t>
  </si>
  <si>
    <t>ofm=0 instability in an X-pinch experiment [31]. A decay</t>
  </si>
  <si>
    <t>tered at r=0 ,z=1 2 0m ma n d r=0 ,z= 180 mm, respectively.</t>
  </si>
  <si>
    <t>profiles of the azimuthal magnetic field were constructed over theregion r=1 0–34 mm and z=−15–37.5 mm. All probes were cali-</t>
  </si>
  <si>
    <t>r=−64 mm to r=6 4m ma t z= 70 and 120 mm.</t>
  </si>
  <si>
    <t>absorbed energy density from r=−64 mm to r= 48 mm and</t>
  </si>
  <si>
    <t>z=7 0m m t o z= 220 mm was obtained by axial scan of this array.</t>
  </si>
  <si>
    <t>trometer (ANDOR SR-750-A) coupled with a fiber and collimator.The optical collection area was located at r=0 , z= 120 mm, coin-</t>
  </si>
  <si>
    <t>magnetic field and (b) its shot-to-shotstandard deviation at t=1 8μs when</t>
  </si>
  <si>
    <t>within r≤10 mm to that within r≤13 mm at z=2 7m m . I n c r e a s i n g</t>
  </si>
  <si>
    <t>zwas measured at z= 16.5 mm</t>
  </si>
  <si>
    <t>toz= 27 mm, rather than immediately downstream of the inner</t>
  </si>
  <si>
    <t>plasma entered region (I) with a velocity v=vzzˆ, a 40 mm axial</t>
  </si>
  <si>
    <t>r= 10 mm, z=2 7m ma n d r=1 3m m , z= 27 mm, yielding radial pro-</t>
  </si>
  <si>
    <t>ad i f f e r e n c ei n Fzbetween r=3 4m ma n d r=1 0m mw a s ∼1M N / m3.</t>
  </si>
  <si>
    <t>atz= 120 mm measured by the spec-</t>
  </si>
  <si>
    <t>ity over z= 120 –180 mm measured by</t>
  </si>
  <si>
    <t>at z= 120 mm vs (a) capacitor voltage and (b) gas injection time. Conditions</t>
  </si>
  <si>
    <t>tions (iii) at z = 70 mm, the velocities of powder particles with dif-</t>
  </si>
  <si>
    <t>anode had a zeff=13mm. Return rods were removed in</t>
  </si>
  <si>
    <t>i=1(fi−f)2, (1)</t>
  </si>
  <si>
    <t>i=1fi. (2)</t>
  </si>
  <si>
    <t>The base level Sref=2.0185×10−4, corresponding to</t>
  </si>
  <si>
    <t>order to report a normalized quantity R=S/Sref, such that</t>
  </si>
  <si>
    <t>distribution (3) with p=1/4,</t>
  </si>
  <si>
    <t>P(k=92|n=200, p=0.25)=(200</t>
  </si>
  <si>
    <t>http://stacks.iop.org/0741-3335/53/i=9/a=093001[2] C. Deeney et al., ‘‘Power enhancement by increasing the initial array radius</t>
  </si>
  <si>
    <t>Available: http://stacks.iop.org/0741-3335/47/i=5A/a=027</t>
  </si>
  <si>
    <t>0252/19/i=5/a=055017</t>
  </si>
  <si>
    <t>http://stacks.iop.org/0741-3335/51/i=12/a=125003</t>
  </si>
  <si>
    <t>[Online]. Available: http://stacks.iop.org/1742-6596/1043/i=1/a=012048</t>
  </si>
  <si>
    <t>i=1(fi−f)2 (1)</t>
  </si>
  <si>
    <t>the unblocked SC-PMT a limit of R=1.2 could be used</t>
  </si>
  <si>
    <t>class=F(Vb,Vp,tbp,Ip,˙Ip,Eb,Ep) (3)</t>
  </si>
  <si>
    <t>class=F(Vb,Vp,tbp,Ip,˙Ip,FFT) (4)In all the machine learning algorithms implemented,</t>
  </si>
  <si>
    <t>k, the total of the validation set ( n=192 discharges) and a</t>
  </si>
  <si>
    <t>G=P(k|n,p=0.25)=(n</t>
  </si>
  <si>
    <t>http://www.osapublishing.org/optica/abstract.cfm?URI=optica-4-11-1344</t>
  </si>
  <si>
    <t>http://stacks.iop.org/0741-3335/51/i=12/a=125003[13] C. Pavez, J. Pedreros, M. Zambra, F. Veloso, J. Moreno, T.-S. Ariel, and</t>
  </si>
  <si>
    <t>− ∇ · ε0εr∇V=ρ (1)</t>
  </si>
  <si>
    <t>ρ=q(N∑</t>
  </si>
  <si>
    <t>k=1zknk−ne)</t>
  </si>
  <si>
    <t>∂t+ ∇ · Γe=Re−(u· ∇)ne (3)</t>
  </si>
  <si>
    <t>∂t+ ∇ · Γε+E·Γe=Rε−(u· ∇)nε (4)</t>
  </si>
  <si>
    <t>j=1xjαjNn|Γe| (5)</t>
  </si>
  <si>
    <t>Γe= −(µ e·E)ne− ∇(Dene) (6)</t>
  </si>
  <si>
    <t>Γε= −(µ ε·E)nε− ∇(Dεnε) (7)</t>
  </si>
  <si>
    <t>Dε=µεTe (10)</t>
  </si>
  <si>
    <t>∂t(wk)+ρ(u· ∇)wk= ∇ · jk+Rk (13)</t>
  </si>
  <si>
    <t>jk=ρwkVk (14)</t>
  </si>
  <si>
    <t>kwk=1 (15)</t>
  </si>
  <si>
    <t>Vk=Dk,m∇wk</t>
  </si>
  <si>
    <t>ρ=MmpA</t>
  </si>
  <si>
    <t>Dk,m=2.66·10−2·√</t>
  </si>
  <si>
    <t>n=ccvnn (19)</t>
  </si>
  <si>
    <t>λ(Te)=∫∞</t>
  </si>
  <si>
    <t>v(ε)=√</t>
  </si>
  <si>
    <t>−n·Γe=0 (22)</t>
  </si>
  <si>
    <t>−n·Γε=0 (23)</t>
  </si>
  <si>
    <t>V=V0−IpRb−RbCbdV</t>
  </si>
  <si>
    <t>V=0 (26)</t>
  </si>
  <si>
    <t>n·Γe=1−r</t>
  </si>
  <si>
    <t>n·Γε=1−r</t>
  </si>
  <si>
    <t>2ιekBTe=3</t>
  </si>
  <si>
    <t>n=1cvnn (31)</t>
  </si>
  <si>
    <t>k=surf(σk</t>
  </si>
  <si>
    <t>v= 0) and N+(B26g+,v=0),’’ J. Phys. D, Appl. Phys., vol. 43, no. 38,</t>
  </si>
  <si>
    <t>B e = B 0 ((2 cos θ</t>
  </si>
  <si>
    <t>global corona to be T e = 10 7 K, with the corona being assumed to be</t>
  </si>
  <si>
    <t>p = ρK B T</t>
  </si>
  <si>
    <t>i = B 2</t>
  </si>
  <si>
    <t>plasma beta ( β= B 2</t>
  </si>
  <si>
    <t>B 0e = B 2</t>
  </si>
  <si>
    <t>0 = −∇p + ( j ×B ) + ρg , (6)</t>
  </si>
  <si>
    <t>0 = −∇p + ( B ·∇) B</t>
  </si>
  <si>
    <t>g e = (</t>
  </si>
  <si>
    <t>ˆ s = 1 √</t>
  </si>
  <si>
    <t>ˆ n = 1 √</t>
  </si>
  <si>
    <t>0 = −∇p ·ˆ s + ρg e ·ˆ s , (11)</t>
  </si>
  <si>
    <t>p = p 0 exp [m</t>
  </si>
  <si>
    <t>0 = −∇ p ·ˆ n + (</t>
  </si>
  <si>
    <t>−∇p ·ˆ n = 1 √</t>
  </si>
  <si>
    <t>( j ×B i ) ·ˆ n = B 2</t>
  </si>
  <si>
    <t>ρg e ·ˆ n = ρ√</t>
  </si>
  <si>
    <t>p = p 0 exp [ m</t>
  </si>
  <si>
    <t>p 0 i / p 0e = 1, T e = 8.57 ×10 6 K, T i = T e /10, β= 10 −4 , and AB Dor stellar</t>
  </si>
  <si>
    <t>11, T e = 8.57 ×10 6 K, T i = T e /10, and β= 10 −3 , and for AB Dor stellar</t>
  </si>
  <si>
    <t>the black points show the mass abo v e r = 0.8 r siummit . The mass is</t>
  </si>
  <si>
    <t>heights. The parameters used to generate this example are p 0 i / p 0e = 11,</t>
  </si>
  <si>
    <t>T e = 8.57 ×10 6 K, T i = T e /10, β= 10 −3 , and r s = 3.8 R ⋆ , and for AB Dor</t>
  </si>
  <si>
    <t>assigned to either φ= 0 or π.</t>
  </si>
  <si>
    <t>0 . 87 M ⊙, P = 0.5148 d (Strassmeier 2009 ), and an inclination of</t>
  </si>
  <si>
    <t>v = /Omega1⋆ r FT sin θFT sin ( φFT −φ0 ) , (20)</t>
  </si>
  <si>
    <t>v los = v sin i. (21)</t>
  </si>
  <si>
    <t>integral I a = I 0 e ∫ s</t>
  </si>
  <si>
    <t>about φ= π/2 (the loop group on the right-hand side of the ﬁeld line</t>
  </si>
  <si>
    <t>plots) and one centred about φ= 3 π/2 (the loops on the left-hand</t>
  </si>
  <si>
    <t>spectrum, for an aligned dipole with: r ss = 3.8 R ⋆ , r k = 2.8 R ⋆ , and stellar</t>
  </si>
  <si>
    <t>centred around φ= πradians, is footpoint heavy. This can be seen in</t>
  </si>
  <si>
    <t>at r ss = 3.8 R ⋆ . Fig. 12 shows the same for a source surface below</t>
  </si>
  <si>
    <t>the co-rotation radius, at r ss = 1.8 R ⋆ . Again, the stellar inclination</t>
  </si>
  <si>
    <t>dynamic spectrum, for an aligned dipole with: r ss = 1.8 R ⋆ , r k = 2.8 R ⋆ , and</t>
  </si>
  <si>
    <t>example can be seen centred on φ= 1 or 5 rad. Their footpoints</t>
  </si>
  <si>
    <t>centred at φ= 2.5 rad has a dark footpoint and a fainter summit,</t>
  </si>
  <si>
    <t>The very dark feature centred around φ= 4.5 rad is a very low-</t>
  </si>
  <si>
    <t>lying loop, as is the feature centred around φ= 5.5 rad. All parts of</t>
  </si>
  <si>
    <t>example the absorption feature centred on φ= 3.5 rad. This feature</t>
  </si>
  <si>
    <t>spectrum around φ= 1.5 and 5.5 rad. These are the slowest crossing</t>
  </si>
  <si>
    <t>the tall, wide loops can be seen at φ= 0.1, 0.5, 1, and 1.2 rad. Few</t>
  </si>
  <si>
    <t>to the absorption features at φ= 1, 2.5, and 6 rad. Only the footpoint</t>
  </si>
  <si>
    <t>that are centred φ= πradians apart, due to the constraints of the</t>
  </si>
  <si>
    <t>0 = −∇p ·ˆ s + ρg e ·ˆ s , (A1)</t>
  </si>
  <si>
    <t>d s = mp</t>
  </si>
  <si>
    <t>p d p = m</t>
  </si>
  <si>
    <t>by the condition QHS=1, whereQHS=E fusion/Efuelis the</t>
  </si>
  <si>
    <t>P[Bar]=7.7e8ρ[g</t>
  </si>
  <si>
    <t>PR∼2.3e9[Bar−cm] = 23[TBar−μm]. (3)</t>
  </si>
  <si>
    <t>3cs=1.2R[μm]</t>
  </si>
  <si>
    <t>forR=3 0μm andT=5 keV, and for an equimolar mixture</t>
  </si>
  <si>
    <t>E=E fusion/Estore&gt;1.</t>
  </si>
  <si>
    <t>about 80 eV , and part (c) near peak drive. The bright-white regions at r=0 are</t>
  </si>
  <si>
    <t>mag=B2</t>
  </si>
  <si>
    <t>2μo= 105(IMA/26</t>
  </si>
  <si>
    <t>Prad=(2/5)(1−α)σT4</t>
  </si>
  <si>
    <t>Cs=3T3.5</t>
  </si>
  <si>
    <t>dI/dt=1.72(4π2</t>
  </si>
  <si>
    <t>thickness [30]. The liner convergence ratio, Cr=ro/rfinal</t>
  </si>
  <si>
    <t>Cr≤30, and0.1&lt;ro&lt;1.0cm. At a radius of ro=0.3cm,</t>
  </si>
  <si>
    <t>ρL=1.85g/cm3for Be,ro=0.34cm,dI/dt=0.25MA/ns,</t>
  </si>
  <si>
    <t>andAR=6, where (9) gives τdI/dt= 135 ns. Equation (9)</t>
  </si>
  <si>
    <t>agrees well with experiments [35] which used ro=0.345cm,</t>
  </si>
  <si>
    <t>⟨dI/dt⟩25−75%=0.29MA/ns, predicting τdI/dt= 127 ns</t>
  </si>
  <si>
    <t>compared to the measured τimp= 130 ns.</t>
  </si>
  <si>
    <t>vimp=0.9(</t>
  </si>
  <si>
    <t>vimp[cm/μs]=1 6.4(dI/dt[MA/ns])1/2(</t>
  </si>
  <si>
    <t>L=1.85g/cm3),</t>
  </si>
  <si>
    <t>we use lithium (ρL=0.535 g/cm3), the implosion velocity</t>
  </si>
  <si>
    <t>By contrast, moving to Al (ρL=2.7g/cm3)would decrease</t>
  </si>
  <si>
    <t>to NIF capsules, could be obtained for AR=6beryllium liners</t>
  </si>
  <si>
    <t>the designs use high aspect ratio targets (AR=2 0−120) to</t>
  </si>
  <si>
    <t>R=6 ) to achieve signiﬁcant fusion yields using existing</t>
  </si>
  <si>
    <t>condition QHS=1, whereQHS=E fusion/Efuelis the gain of</t>
  </si>
  <si>
    <t>R=6 does not show a measureable signature of alpha</t>
  </si>
  <si>
    <t>d=E load/Estore, is the conversion</t>
  </si>
  <si>
    <t>x=E xray/Eload,i st h e</t>
  </si>
  <si>
    <t>• The target coupling efﬁciency, ηc=E target/Eload,(or=</t>
  </si>
  <si>
    <t>• The fuel coupling efﬁciency, ηf=E fuel/Etarget ,i st h e</t>
  </si>
  <si>
    <t>gain of the hot spot (QHS=E fusion/Efuel)and the engineering</t>
  </si>
  <si>
    <t>gain of the facility (QE=E fusion/Estore). The ﬁrst is relevant</t>
  </si>
  <si>
    <t>overall gain of the facility (QE=E fusion/Estore).</t>
  </si>
  <si>
    <t>1, deﬁned as fusion energy out =energy absorbed in the fuel)</t>
  </si>
  <si>
    <t>Thepinhasastandarddiameterd=1.27mm.Thevalueofthedisplacement Datthelocationofthepinofthe</t>
  </si>
  <si>
    <t>vimp/C25950 km =s½/C138IimpMA½/C138</t>
  </si>
  <si>
    <t>st¼hTeþTii=2, can also be</t>
  </si>
  <si>
    <t>implosion radius by the convergence ratio CR¼Rimp=rst.I ft h etemperature and density in the column are sufficient, thermonuclear</t>
  </si>
  <si>
    <t>exp/C24vimp=3 until it decelerates and</t>
  </si>
  <si>
    <t>m¼Ls=Ldis the magnification and weffis the effective slit width</t>
  </si>
  <si>
    <t>(e) t= 0 (f) t= 40ns</t>
  </si>
  <si>
    <t>(g) t= 200 ns (h) t= 280 ns</t>
  </si>
  <si>
    <t>time reference t = 0 was set at the pinch spike in the</t>
  </si>
  <si>
    <t>compression towards the axis of anode, t = 0 to the</t>
  </si>
  <si>
    <t>Fig. 2(e) taken at t = 0, the PS has compressed into</t>
  </si>
  <si>
    <t>T shape. In the Fig. 2(f) taken at t = 40 ns we can</t>
  </si>
  <si>
    <t>(a) t= 220ns (b) t= 300ns</t>
  </si>
  <si>
    <t>∂t+ ∇ · ⃗0e=se (1)</t>
  </si>
  <si>
    <t>+⃗E·⃗0e=sε (2)</t>
  </si>
  <si>
    <t>De=µeTe,Dε=µεTe. (4)</t>
  </si>
  <si>
    <t>sε= −s∑</t>
  </si>
  <si>
    <t>ve=2.6×104nnr2T2</t>
  </si>
  <si>
    <t>i=1qini−ene (9)</t>
  </si>
  <si>
    <t>⃗0e· ⃗n=1</t>
  </si>
  <si>
    <t>⃗0i· ⃗n=1</t>
  </si>
  <si>
    <t>⃗0m· ⃗n=1</t>
  </si>
  <si>
    <t>⃗0ε· ⃗n=1</t>
  </si>
  <si>
    <t>· ⃗n=σsdσs</t>
  </si>
  <si>
    <t>dt=(⃗0e+⃗0i)</t>
  </si>
  <si>
    <t>εr,m=1−(</t>
  </si>
  <si>
    <t>km=k0(</t>
  </si>
  <si>
    <t>m=1Sm=(Sg1Sg2)</t>
  </si>
  <si>
    <t>Sm=(1 1</t>
  </si>
  <si>
    <t>n=√εr=nr+jχ (25)</t>
  </si>
  <si>
    <t>Fig. 8(b) further analyzes the electron density distributionalong the THz-wave transmission path ( r=6 mm), the trans-</t>
  </si>
  <si>
    <t>equation of state, which expresses the relation between themass density and pressure ﬁeld. This is usually obtainedby combining Dalton’s law p=∑</t>
  </si>
  <si>
    <t>the (total) pressure pwith the ideal gas law pi=nkTi</t>
  </si>
  <si>
    <t>f(⃗x,⃗v)=∑</t>
  </si>
  <si>
    <t>l,m,sflms(⃗x,v)Y lms(θ, φ) =f0(⃗x,v)</t>
  </si>
  <si>
    <t>s=1asXs⇔N∑</t>
  </si>
  <si>
    <t>s=1bsXs (3)</t>
  </si>
  <si>
    <t>s=1n(as−bs)</t>
  </si>
  <si>
    <t>s =f( T) , (4)</t>
  </si>
  <si>
    <t>snsqs=0.</t>
  </si>
  <si>
    <t>δpdh=kT/24πλ3</t>
  </si>
  <si>
    <t>the Debije length. This may alternatively be written as δpdh=</t>
  </si>
  <si>
    <t>i=1hiρ⃗Vi, (6)</t>
  </si>
  <si>
    <t>⃗q=hρ⃗V−λf⃗∇T+µ∑</t>
  </si>
  <si>
    <t>i=1hiρ⃗Wi. (7)</t>
  </si>
  <si>
    <t>The ﬁrst term represents the convective heat ﬂux, where h=∑hiis the speciﬁc enthalpy of the mixture; the last expressesthe heat ﬂux associated with the diffusive motion of species.</t>
  </si>
  <si>
    <t>⃗q=hρ⃗V−(λ</t>
  </si>
  <si>
    <t>⃗∇·⃗/Gamma1s=Ss, (9)</t>
  </si>
  <si>
    <t>⃗/Gamma1α=∑</t>
  </si>
  <si>
    <t>⃗∇·⃗/Gamma1α=0. (11)</t>
  </si>
  <si>
    <t>that of minimum dI=dt. Note that the minimum and maximum den-</t>
  </si>
  <si>
    <t>plasma radius ( r¼Prijmij=M,w h e r e i,jrefer to zone indices and M</t>
  </si>
  <si>
    <t>b=I2,w h e r e Ebrepresents the magnetic</t>
  </si>
  <si>
    <t>@t+∇ (v)=0 （1）</t>
  </si>
  <si>
    <t>@t+∇ (vv)=∇p+JB （2）</t>
  </si>
  <si>
    <t>@t+∇ (ev)=p∇ v+J2（3）</t>
  </si>
  <si>
    <t>@t=∇ E （4）</t>
  </si>
  <si>
    <t>@t=c2(∇ BJ) （5）</t>
  </si>
  <si>
    <t>p=(1)e （7）</t>
  </si>
  <si>
    <t>I=Imaxsin(2πf t) （9）</t>
  </si>
  <si>
    <t>0t=0时刻，DPF装置内的等离子体密度 采用理想气体</t>
  </si>
  <si>
    <t>(a) run down, t=3.9 μs</t>
  </si>
  <si>
    <t>(b) run in, t=6.2 μs50 100 150 200 250 300 350240</t>
  </si>
  <si>
    <t>(c) pinch, t=7.4 μs50 100 150 200 250 300 350240</t>
  </si>
  <si>
    <t>(d) break up, t=7.4 μs50 100 150 200 250 300 350240</t>
  </si>
  <si>
    <t>vs=Lanode=t1</t>
  </si>
  <si>
    <t>(b) simulation results of FOI programt=0 ns t=10.0 ns t=20.0 ns t=30.0 ns</t>
  </si>
  <si>
    <t>t=0 ns t=17.3 ns t=37.9 ns t=53.1 ns</t>
  </si>
  <si>
    <t>m=p=(RT)2πrdrdl</t>
  </si>
  <si>
    <t>axial=2</t>
  </si>
  <si>
    <t>phi=(2)2πrdrl</t>
  </si>
  <si>
    <t>vaxial=I</t>
  </si>
  <si>
    <t>equilibrium velocity distribution function ϕe0(grid) at ( t=2.5, 5, and 10) for a fixed yvalue (y =1) with the Mach number of the plate M=0.01.</t>
  </si>
  <si>
    <t>considered here is a plane to be located at (y =0), and the</t>
  </si>
  <si>
    <t>an illimitable plane plate rested at the level y =0, paral-</t>
  </si>
  <si>
    <t>inﬁnite oscillating plate can be represented by the relationVw=Re(U0exp(−it))=U0Cos(t), with the velocity</t>
  </si>
  <si>
    <t>∂⃗ξ=νee(ϕ0e−ϕe)</t>
  </si>
  <si>
    <t>ϕ0α=nα(2πRTα)−3</t>
  </si>
  <si>
    <t>where Vx=Vx2that is ﬁnite at ξy&gt;0, y→∞ , and t&gt;0.</t>
  </si>
  <si>
    <t>⃗B=Bz⃗k=(BzE+BzI)⃗k,with BzE=B0eφ(κy−ωt),(4)</t>
  </si>
  <si>
    <t>∂ξx=νee(ϕ0e−ϕe)+νei(ϕ0i−ϕe)</t>
  </si>
  <si>
    <t>νei=4√</t>
  </si>
  <si>
    <t>2, ν ee=4√πnee43ee</t>
  </si>
  <si>
    <t>νen=4√πmnnee43en</t>
  </si>
  <si>
    <t>(7)Here Log[3]=Log[4πnλ3</t>
  </si>
  <si>
    <t>λDe=λDi=λD.</t>
  </si>
  <si>
    <t>ϕ1=n(2πRT)−3</t>
  </si>
  <si>
    <t>ϕ2=n(2πRT)−3</t>
  </si>
  <si>
    <t>∂ξx)dξ=νee∫</t>
  </si>
  <si>
    <t>ψj(− →C)ϕdξ=∞∫</t>
  </si>
  <si>
    <t>whereψj=ψj(⃗ξ),j=1,2.(10)</t>
  </si>
  <si>
    <t>∂t=0, (11)</t>
  </si>
  <si>
    <t>c0Vxe=0, (12)</t>
  </si>
  <si>
    <t>gas are n=∫</t>
  </si>
  <si>
    <t>ϕdξ,nVx=∫</t>
  </si>
  <si>
    <t>y=y∗(τeec),t=t∗τee,Vx=V∗</t>
  </si>
  <si>
    <t>,Bz=B∗</t>
  </si>
  <si>
    <t>2,ρ=nm,Ma=V0</t>
  </si>
  <si>
    <t>mi,anddU=dU∗(KBTe).</t>
  </si>
  <si>
    <t>nα=1+O(M2</t>
  </si>
  <si>
    <t>a) and Tα=1+O(M2</t>
  </si>
  <si>
    <t>τxy=Pxy</t>
  </si>
  <si>
    <t>ρV0√RTe/2π=(Vx2−Vx1),</t>
  </si>
  <si>
    <t>trons’ transport equations for ψ1=ξxandψ2=ξxξyin the</t>
  </si>
  <si>
    <t>ex=0, (16)</t>
  </si>
  <si>
    <t>exy=0, (17)</t>
  </si>
  <si>
    <t>∂y−Eex=0, (19)</t>
  </si>
  <si>
    <t>τexy=0, (20)</t>
  </si>
  <si>
    <t>∂t=0, (21)</t>
  </si>
  <si>
    <t>∂t−we0Vex=0,</t>
  </si>
  <si>
    <t>ζ=ky−ωt. (24)</t>
  </si>
  <si>
    <t>∂t=−ω∂</t>
  </si>
  <si>
    <t>∂tn=(−1)nωn∂n</t>
  </si>
  <si>
    <t>∂yn=kn∂n</t>
  </si>
  <si>
    <t>where wc=(1+νei</t>
  </si>
  <si>
    <t>2Vex(ζ=−ω)+τexy(ζ=−ω)=2MaCos ()</t>
  </si>
  <si>
    <t>aty=0 ,e.g., t=1,</t>
  </si>
  <si>
    <t>ϕelnϕedξ=−∫</t>
  </si>
  <si>
    <t>ϕe2lnϕe2dξ=−π3</t>
  </si>
  <si>
    <t>dtorσ=∂S</t>
  </si>
  <si>
    <t>groups those: dU=dUS+dUpol+dUdia. The variation in</t>
  </si>
  <si>
    <t>bydUs=TdS.. In contrast, the variation in the internal</t>
  </si>
  <si>
    <t>div i = 0,dq</t>
  </si>
  <si>
    <t>where d\dt = djdt + v-V. Conservation of momentum</t>
  </si>
  <si>
    <t>dx= i X B — (3)</t>
  </si>
  <si>
    <t>and substitute E from Eq. (4) into Eq. (6). Observingthat div B=0 and using Eqs. (1) and (2) togetherwith well-known vector operations for curl (v* x B),</t>
  </si>
  <si>
    <t>B/Q=B O/QO. (12)</t>
  </si>
  <si>
    <t>ishes for a velocity field v = 0, const./r, 0.</t>
  </si>
  <si>
    <t>B = BQ(b"-a2lr2) (16)</t>
  </si>
  <si>
    <t>infinite. Then, R = r 2 and</t>
  </si>
  <si>
    <t>R2Bo = r1*B' + (r 22-r12)Bob"</t>
  </si>
  <si>
    <t>magnetic flux inside the boundary r = r1oi the rotating</t>
  </si>
  <si>
    <t>x = r1/r2; xo = a/r 2; xx = £xjr2. (22)</t>
  </si>
  <si>
    <t>V&gt;ia = xo[l + V + (r 2/R)2x02\og(x-*)]\og(x-2)</t>
  </si>
  <si>
    <t>G = (30)</t>
  </si>
  <si>
    <t>magnetic flux &amp; 02 inside r = r 2 will be changed by the</t>
  </si>
  <si>
    <t>the wall at r = r 2. A series expansion of Eqs. (26)</t>
  </si>
  <si>
    <t>for an infinitely-conducting wall (R = r 2) and to</t>
  </si>
  <si>
    <t>xx = 0.375. The magnetic field at the surface of the</t>
  </si>
  <si>
    <t>s = 140 fxF, a voltage F s = 7.5kV, a drop to cp 12*« -f- F s</t>
  </si>
  <si>
    <t>axial contraction. Then Q O~ 5 x 10~5 kg/m3 if L = 0.2 m</t>
  </si>
  <si>
    <t>we put g o = 5x 10~5 kg/m3 in the median plane and</t>
  </si>
  <si>
    <t>a second bank of capacity O s = 149 /nF was imme-</t>
  </si>
  <si>
    <t>effective axial length L = 0.2 m. An infinitely conducting</t>
  </si>
  <si>
    <t>flux across the wall at r = r2 can be simulated by a proper</t>
  </si>
  <si>
    <t>the case R = 1.12 r 2. Dot-and-dash lines give the charac-</t>
  </si>
  <si>
    <t>Vs. Same as Fig. 2, but with B o = 0.94 Vs/m2.</t>
  </si>
  <si>
    <t>conducting chamber wall (R = r 2), non-conducting</t>
  </si>
  <si>
    <t>which allows part of the magnetic flux to leak throughthe wall at r = r</t>
  </si>
  <si>
    <t>For the bank voltage F s = 20 kV and the conditions</t>
  </si>
  <si>
    <t>ments the capacitor bank (C0 =1332 μF) was operated at 16 kV at 170.5</t>
  </si>
  <si>
    <t>of the dip in the current derivative was assigned as the instant t =0. This</t>
  </si>
  <si>
    <t>Yn =Yb-t =CnniIpinch2zp2(ln(b/rp))σ/U1/2 (1)</t>
  </si>
  <si>
    <t>Data fitting gave U =3 Vmax, where Vmax is the maximum voltage</t>
  </si>
  <si>
    <t>induced by the radially collapsing current sheet; and Cn =8.54 ×108 (all</t>
  </si>
  <si>
    <t>Bank: L0 =25 nH, C0 =1332 μF, r0 =6.1 mΏ;</t>
  </si>
  <si>
    <t>Tube: b =16 cm, a =11.55 cm, z0 =48 cm;</t>
  </si>
  <si>
    <t>fitting are the axial phase mass swept-up factor fm =0.17, and corre -</t>
  </si>
  <si>
    <t>sponding plasma current factor fc =0.7 and the radial phase mass swept-</t>
  </si>
  <si>
    <t>up factor fmr =0.25 and corresponding current factor fcr =0.75. Fig. 1</t>
  </si>
  <si>
    <t>results: the peak axial speed is Va =10.5 cm/μs, the shock speed (on-</t>
  </si>
  <si>
    <t>axis) is Vs =22 cm/μs; the peak radial piston speed is Vp =18 cm/μs; the</t>
  </si>
  <si>
    <t>current Ipinch is 523 kA, the speed factor (SF =(Ipeak/a)/p 01/2) is 92 kA/</t>
  </si>
  <si>
    <t>0/2μ0=constant). A local slab model theory for</t>
  </si>
  <si>
    <t>is consistent with the dynamic pressure balance in the turbulence: P+B02/(2μ0)=</t>
  </si>
  <si>
    <t>D= 11ms, 14ms pulse,</t>
  </si>
  <si>
    <t>VD = 140V, ID = 1.15 kABaO , TD= 0ms, 10ms pulse,</t>
  </si>
  <si>
    <t>VD = 78V, ID = 5.07 kA</t>
  </si>
  <si>
    <t>∗=ρs/a,w h e r e ρsis the ion sound gyroradius and ais the scale length in the plasma,</t>
  </si>
  <si>
    <t>the proﬁles can be attributed to the perturbing nature of probe effects with a small targetplasma. Diagnostics enter from the r=30 cm side and must traverse the entire plasma</t>
  </si>
  <si>
    <t>time traces from t=12 to t=15 ms, radial proﬁles of the background magnetic ﬁelds,</t>
  </si>
  <si>
    <t>2μ0=constant (3.1)</t>
  </si>
  <si>
    <t>TheδB∥ﬂuctuation spectra for β=1.1% , s h o w n i n ﬁgure 6 , reveals that most of</t>
  </si>
  <si>
    <t>Cspec(x,y,ω)=2∫ω+δ</t>
  </si>
  <si>
    <t>β = 0.17%</t>
  </si>
  <si>
    <t>β = 1.11%</t>
  </si>
  <si>
    <t>β = 3.14%</t>
  </si>
  <si>
    <t>β = 8.36%</t>
  </si>
  <si>
    <t>signals. Frequency bandwidths are small ( δ=0.0012ωci)a n d ωis chosen to isolate</t>
  </si>
  <si>
    <t>Using this technique, for β=1.1 % it is observed in ﬁgure 7 (a) that the δB∥structure is</t>
  </si>
  <si>
    <t>localized to the gradient edge region of the plasma, consistent with an m=1 eigenmode</t>
  </si>
  <si>
    <t>and is coherent for higher frequency modes such as m=3 seen in ﬁgure 7 (b). A slight</t>
  </si>
  <si>
    <t>which correspond to the higher m-number mode structures such as the m=3 seen in</t>
  </si>
  <si>
    <t>0/μ0=−δB∥</t>
  </si>
  <si>
    <t>in the axial direction at β=1.1 %. One probe is stationary on the density gradient at</t>
  </si>
  <si>
    <t>r=10 cm while the other traverses the plasma column in the XYplane and the signals are</t>
  </si>
  <si>
    <t>˜BL(ω)=1</t>
  </si>
  <si>
    <t>˜BR(ω)=1</t>
  </si>
  <si>
    <t>δB||, ω=0.0024 ωci</t>
  </si>
  <si>
    <t>δB||, ω=0.056 ωci</t>
  </si>
  <si>
    <t>FIGURE 7. (a) Cross-spectral power between a moving B∥and stationary neprobe at β=1.1%</t>
  </si>
  <si>
    <t>for (a)ω≈0.0024ωcishowing a coherent m=1 structure and ( b)ω≈0.056ωcishowing an</t>
  </si>
  <si>
    <t>m=3 structure. The contour lines map out the density proﬁle.</t>
  </si>
  <si>
    <t>%L e f t =∥δBL∥2</t>
  </si>
  <si>
    <t>J||, ω=0.0024 ωci</t>
  </si>
  <si>
    <t>X (cm)−15−10−5051015Y (cm)δB⊥, ω=0.0024 ωci</t>
  </si>
  <si>
    <t>FIGURE 8. (a) Cross-spectral power between a moving B⊥and stationary neprobe at β=1.1%</t>
  </si>
  <si>
    <t>FIGURE 11. Strong anti-correlation at β=1.1% o f δneandδB∥ﬂuctuations by showing</t>
  </si>
  <si>
    <t>(c) cross-phase ( θ) between δneandδB∥atβ=1.1% . F o r a l l ω&lt; 0.1ωcithe mode has</t>
  </si>
  <si>
    <t>δne/ne=β</t>
  </si>
  <si>
    <t>𝑧𝑖𝑗𝑘∇𝑗𝐸𝑘=−1</t>
  </si>
  <si>
    <t>𝜕𝑡, 𝑧𝑖𝑗𝑘∇𝑗𝐻𝑘=4𝜋</t>
  </si>
  <si>
    <t>differential relation 𝐻𝑖= 𝑧𝑖𝑗𝑘∇𝑗𝐴𝑘. With a known spatial</t>
  </si>
  <si>
    <t>Θ(𝑧)=∫ 𝑑𝜔∗𝑑ln|𝑧−𝑧∗|</t>
  </si>
  <si>
    <t>simulations assume geometric parameters a = 1.8 cm and</t>
  </si>
  <si>
    <t>b = 0.56 cm, which imply an ellipse with an eccentricity</t>
  </si>
  <si>
    <t>Using the shortest ellipse dimension ( b = 0.56 cm),</t>
  </si>
  <si>
    <t>in this study to dt = 2 s, so that 5000 timesteps are</t>
  </si>
  <si>
    <t>with N = 1280 elements around the ellipse perimeter.</t>
  </si>
  <si>
    <t> = 30 w = 30 cm h = 15 cm</t>
  </si>
  <si>
    <t>0.0 2.0 0.5 1.0 1.5 t = 3.0 ms t = 1.4 ms t = 0.6 ms t = 0.2 ms</t>
  </si>
  <si>
    <t>The interior solution at t = 10 ms is computed using</t>
  </si>
  <si>
    <t>Online ordering: http://www .ntis.gov/help/ordermethods.asp?loc=7-4-0#online</t>
  </si>
  <si>
    <t>thermal conductivity model: gold ( Z=7 9 )a n da i r(MATERIAL = ’air’ ). New keywords</t>
  </si>
  <si>
    <t>the anoden= 5.25turns. This path is denoted by ξ, and</t>
  </si>
  <si>
    <t>sliding window Ta¼a=F,w i t h a¼5f o u n dt ob eag o o dc o m p r o m i s e</t>
  </si>
  <si>
    <t>Gaussian filter with a standard deviation equal to Nx=25 (where Nxis</t>
  </si>
  <si>
    <t>sm=kip</t>
  </si>
  <si>
    <t>and/C22ve¼ð8eTe=pmÞ1=2. Next, we have,</t>
  </si>
  <si>
    <t>Kel¼/C23m=ng, and finally, D/¼3=8V0(although D/¼1=2V0is a</t>
  </si>
  <si>
    <t>displayedtimestampsarerelativetothebeginningofHXRemission( t=0).Unlikeinthemainexperimentaldataset,where</t>
  </si>
  <si>
    <t>GaussianprofilewithFWHM =5mm.</t>
  </si>
  <si>
    <t>37mm=0.73.Byanalyzingthesignalinfigure 13weobservedthatprotonswereemittedintheentire</t>
  </si>
  <si>
    <t>google.com/drive/folders/1vzcIwpiTt6-lZUKPJtZDvqdVezorqcJo?usp =sharing[38].</t>
  </si>
  <si>
    <t>[38]NovotnyJ et al2025Googledrive https://drive.google.com/drive/folders/1vzcIwpiTt6-lZUKPJtZDvqdVezorqcJo?usp =sharing</t>
  </si>
  <si>
    <t>e=ni) plasma in a constant mag-</t>
  </si>
  <si>
    <t>ω1ω=−n</t>
  </si>
  <si>
    <t>ofP(2)(P=∑</t>
  </si>
  <si>
    <t>⟨Bi(−k,−ω)Bj(k1,ω 1)Bk(k2,ω 2)⟩0=</t>
  </si>
  <si>
    <t>−ωReˆχ(2)(12)−ω1Reˆχ(2)(20)−ω2Reˆχ(2)(01) =</t>
  </si>
  <si>
    <t>the corresponding indices, β=1</t>
  </si>
  <si>
    <t>ijis a single symmetric tensor, bi=bzis a single vector in</t>
  </si>
  <si>
    <t>ˆχ(2)(12) =∑(−i)</t>
  </si>
  <si>
    <t>pΓij(ω1)Γlk(ω2)={1</t>
  </si>
  <si>
    <t>Table 1: PGR parameters for laboratory plasma (see (11), (12)). k≡kz,k z=2.3ωp/c,k1x=−k2x=1 0−1ωp/c,k1z=</t>
  </si>
  <si>
    <t>1.15ωp/c=k2z;f=a(0)Re σ1/Δk,ω1=ω2=ω/2,rs=(a(0)Re σ1)−1,s=a(0)Re σ1−δ1.</t>
  </si>
  <si>
    <t>f=∞ f=2</t>
  </si>
  <si>
    <t>{k=kz;k1=kx</t>
  </si>
  <si>
    <t>+ω2Reˆχ(2)(01)] =(−i)</t>
  </si>
  <si>
    <t>2Sρ(012), calculated in [2] ( q=</t>
  </si>
  <si>
    <t>ν/ωp,ωB=eH/cm e;e,m e,H,c are the charge and mass</t>
  </si>
  <si>
    <t>p=4πnee2/me). Equating (6) (with the opposite sign)</t>
  </si>
  <si>
    <t>ρ=0. (7)</t>
  </si>
  <si>
    <t>plasma when the parameter α=k2</t>
  </si>
  <si>
    <t>ijk(1,2) =∑(−i)</t>
  </si>
  <si>
    <t>reﬁnement is necessarily related to the substitution of thewell-known ratio D=ˆεE(ˆεis the dielectric constant of</t>
  </si>
  <si>
    <t>count the correction D=ˆεE. In this case, the condition</t>
  </si>
  <si>
    <t>addition, the condition holds: a1,2(z)≪a(z=0 )( s e e</t>
  </si>
  <si>
    <t>notation (12)). Let δn=δ,ω1=ω2,ω=2ω1,σ1=σ2,</t>
  </si>
  <si>
    <t>a1=a2,a n dΨ ( z)≈π/2+Δ k·zbe the equation for the</t>
  </si>
  <si>
    <t>is introduced, Δ k=k−k1−k2,Δ kis the projection Δ k</t>
  </si>
  <si>
    <t>δn=ωnenImε(ωn)en</t>
  </si>
  <si>
    <t>2n(ωn)c;k=ωn(ω)/c;</t>
  </si>
  <si>
    <t>σ1=2πω 1e1χ(2)(ω1):e2e</t>
  </si>
  <si>
    <t>σ2=2πω 2e2χ(2)(ω1):ee 1</t>
  </si>
  <si>
    <t>σ=2πωeχ(2)(ω):e1e2</t>
  </si>
  <si>
    <t>εij=δij+i4π</t>
  </si>
  <si>
    <t>σij(k,ω)=⎧</t>
  </si>
  <si>
    <t>σxx=σyy=ω2</t>
  </si>
  <si>
    <t>σxy=−σyx=ω2</t>
  </si>
  <si>
    <t>B,σzz=ω2</t>
  </si>
  <si>
    <t>Δk·z= 0). An increase in the SW amplitude in zis also</t>
  </si>
  <si>
    <t>1a(0)&gt;Δk(f=2 ,s e et a b l e1 )i su s e d</t>
  </si>
  <si>
    <t>Δk=0a n dΔ k̸= 0, respectively). The dependence of</t>
  </si>
  <si>
    <t>qrðÞ¼q0r=R0Þ/C0s/C0</t>
  </si>
  <si>
    <t>number m= 1 were unstable for these interchange-stabilized</t>
  </si>
  <si>
    <t>Analytic properties are studied for the adiabatic indices γ= 2,</t>
  </si>
  <si>
    <t>γ= 5/3, and γ→1. The analysis is applied to the unity</t>
  </si>
  <si>
    <t>ishing gradient of the specific entropy ssuch that ∇s·∇p= 0,</t>
  </si>
  <si>
    <t>is strictly unstable to the m= 1 kink mode, under certain</t>
  </si>
  <si>
    <t>was implicitly a function of the local value of β=p/pBwith</t>
  </si>
  <si>
    <t>−∇p−ρ∇Φg= 0. (2)</t>
  </si>
  <si>
    <t>bys=cvln(p/ργ)with cvthe specific heat at constant</t>
  </si>
  <si>
    <t>volume and γthe adiabatic index. Now noting that (p/p 0) =</t>
  </si>
  <si>
    <t>s=γp/ρ the local speed of sound squared. Substituting</t>
  </si>
  <si>
    <t>s∇ρ=−ρ∇Φg−(γ−1)ρT∇s. (4)</t>
  </si>
  <si>
    <t>Using the Schwarzschild condition ∇s= 0 means that the</t>
  </si>
  <si>
    <t>dz=−ρdΦg</t>
  </si>
  <si>
    <t>s0=γRT 0. We note that specifying ρ0andT0is</t>
  </si>
  <si>
    <t>the stability constraint. Defining eρ=ρ/ρ 0, we obtain the</t>
  </si>
  <si>
    <t>which with the initial condition ρ(0) = ρ0integrates into</t>
  </si>
  <si>
    <t>with the corresponding pressure solution p=p0(ρ/ρ 0)γ. It is</t>
  </si>
  <si>
    <t>ρ=ρ0exp</t>
  </si>
  <si>
    <t>less familiar limiting form of ex= lim n→∞(1 + x/n)n.</t>
  </si>
  <si>
    <t>cpT+ Φg=cpT0, (10)</t>
  </si>
  <si>
    <t>compressible isentropic ( ∇s= 0) flow</t>
  </si>
  <si>
    <t>virtual displacement of mode m= 0 was bounded in time</t>
  </si>
  <si>
    <t>Next consider the thermodynamic identity dh=vdp+Tds,</t>
  </si>
  <si>
    <t>where h=γ</t>
  </si>
  <si>
    <t>ρis the specific enthalpy and s=cvln(p/ργ)</t>
  </si>
  <si>
    <t>cv=R/(γ−1). Note that in all of what follows, Tsignifies</t>
  </si>
  <si>
    <t>the total plasma temperature T=Ti+Te, since the distinction</t>
  </si>
  <si>
    <t>as if “ γm= 2”, a useful mnemonic. It seems appropriate to</t>
  </si>
  <si>
    <t>p=ργes/cv(19)</t>
  </si>
  <si>
    <t>pB=ρ2r2esm/R(20)</t>
  </si>
  <si>
    <t>static equilibrium as (with cp=γcv),</t>
  </si>
  <si>
    <t>2 +γβ=2</t>
  </si>
  <si>
    <t>2R= lnp</t>
  </si>
  <si>
    <t>so we write the marginal condition K= 0 as</t>
  </si>
  <si>
    <t>dr= 0. (24)</t>
  </si>
  <si>
    <t>axisymmetric-stable Bennett pinch of γ= 2, the invariant sz</t>
  </si>
  <si>
    <t>defines the Z-pinch adiabat through βr2=esz0, and in the</t>
  </si>
  <si>
    <t>incompressible, isothermal limit γ= 1, one has βIenc=esz0</t>
  </si>
  <si>
    <t>which is evocative of the usual adiabatic condition p=ργ,</t>
  </si>
  <si>
    <t>plasma column up to that radius for p=p(r). In analogy</t>
  </si>
  <si>
    <t>fluxsmis tied to the specific entropy ssuch that ∇sz= 0.</t>
  </si>
  <si>
    <t>variables sandsmand thus any entropy profile s=s(r)such</t>
  </si>
  <si>
    <t>that∇sm= 2(γ−1)/γ∇srepresents a Kadomtsev pinch. This</t>
  </si>
  <si>
    <t>∇s= 0, and the isothermal pinch where p/ρ=const. In the</t>
  </si>
  <si>
    <t>former situation, the adiabatic pinch has both ∇s= 0 and</t>
  </si>
  <si>
    <t>thus∇sm= 0, so that density varies radially as ρ∼ ⟨jz⟩.</t>
  </si>
  <si>
    <t>4γK(r) =⇒1</t>
  </si>
  <si>
    <t>is identically zero from Eq. 22, giving ∇s= 0for the specific</t>
  </si>
  <si>
    <t>estimates for the fully relaxed profile as ∇s=∇sm= 0.</t>
  </si>
  <si>
    <t>ω2=2c2</t>
  </si>
  <si>
    <t>suggests the possible growth of m=0 instabilities at the end of the main radiation event</t>
  </si>
  <si>
    <t>beam-target origin, arising from an m=0 instability in the plasma [1]. This “sausage”</t>
  </si>
  <si>
    <t>measured. Additionally, m=1 “kink modes” led to a rapid deterioration of the pinch,</t>
  </si>
  <si>
    <t>Decades later, numerical simulations demonstrated that m=1 instabilities could be</t>
  </si>
  <si>
    <t>j=1,2X</t>
  </si>
  <si>
    <t>DataSimulated Beam Energy = 50 keV</t>
  </si>
  <si>
    <t>01020304050607080CountsWindow: 10, Frac=0.01Window: 50, Frac=0.23</t>
  </si>
  <si>
    <t>Window: 90, Frac=0.44</t>
  </si>
  <si>
    <t>[3] U. Shumlak and C. W. Hartman. Sheared Flow Stabilization of the m= 1 Kink Mode in Z</t>
  </si>
  <si>
    <t>∂t+∇ ·(ρu) = 0 , (1)</t>
  </si>
  <si>
    <t>∂t+∇ ×E= 0, (4)arXiv:2401.10366v1 [physics.plasm-ph] 18 Jan 2024</t>
  </si>
  <si>
    <t>et=e+B·B</t>
  </si>
  <si>
    <t>J=∇ ×B</t>
  </si>
  <si>
    <t>h=−k∇T. (9)</t>
  </si>
  <si>
    <t>∂θ= 0.</t>
  </si>
  <si>
    <t>∂t+∇ ·F=S. (10)</t>
  </si>
  <si>
    <t>circuit values C= 222 µF,L= 286 nH , and R= 1.5 mΩ . At t= 0, the capacitor charged to 25 kV is</t>
  </si>
  <si>
    <t>insulator, where the axial velocity is allowed to float if into the domain and set to zero otherwise. At r= 0,</t>
  </si>
  <si>
    <t>gas is fully ionized as an initial plasma slug at t= 0. Note that the radial dimension is stretched roughly by</t>
  </si>
  <si>
    <t>orange line in Fig. 2 corresponds to m= 0.5mg for the particular plasma pulse.</t>
  </si>
  <si>
    <t>dt=Vdρ</t>
  </si>
  <si>
    <t>dt=−ρcsA=−Aρrγp</t>
  </si>
  <si>
    <t>Normalizing by non-dimensional parameters, ˜ρ=ρ/ρ0and˜t=t/τvwhere τv=V/cs0Ais the timescale of</t>
  </si>
  <si>
    <t>the venting valve and assuming adiabatic expansion such that ˜p=p/p0= (ρ/ρ0)γ= ˜ργleads tod˜ρ</t>
  </si>
  <si>
    <t>d˜t=−˜ργ+1</t>
  </si>
  <si>
    <t>The solution for ˜ρ(0) = 1 is˜ρ=γ−1</t>
  </si>
  <si>
    <t>normalized density entering the device is thus ˜ρ= 1−γ−1</t>
  </si>
  <si>
    <t>gas law for deuterium (assuming V= 1 cm3andT= 300 K ). A reference mass calculated for a pressure of 100</t>
  </si>
  <si>
    <t>PSIA is M0,ref=ρ0,refV= 1.11 mg . For different pressures, this reference mass is scaled linearly, leading to</t>
  </si>
  <si>
    <t>m=NvM0,refp</t>
  </si>
  <si>
    <t>measured in PSIA. For the experimental plasma pulse in Fig. 2, Nv= 4,p= 149 .1PSIA, and t= 0.26</t>
  </si>
  <si>
    <t>ms. For deuterium ( γ= 7/5,T= 300 K ), the sound speed is 934 m/s leading to τv= 1.070ms (assuming</t>
  </si>
  <si>
    <t>A= 1 mm3). Equation (14) is solved for ∆using m= 0.5mg, yielding 0.175ms. Equation (14) is then</t>
  </si>
  <si>
    <t>differentiated with respect to time, yielding ˙m= 3 mg / ms. Such an injection rate may be considered a low</t>
  </si>
  <si>
    <t>acceleration region. At t= 8µs, deviation from the 1D slug model is apparent, as axial components of the radial</t>
  </si>
  <si>
    <t>current does not fully couple to the plasma [13]. The viscous ( ν=µ/ρ) and heat ( κ=kAi/ρ) diffusivities in this</t>
  </si>
  <si>
    <t>axis with noticeable m= 0activity associated with reduced sheared flow.</t>
  </si>
  <si>
    <t>below 10% of the Alfv ´en speed at a. The correction removes yield for low sheared flows assumed to be m= 1</t>
  </si>
  <si>
    <t>constant used in simulations is Cbb= 4.559×1052J−3s−1.</t>
  </si>
  <si>
    <t>FIG. 9. Enclosed current in simulation at r= 7cm. At</t>
  </si>
  <si>
    <t>of the MHD model to 3D can capture non-axisymmetric effects leading to m= 1 instability. The inclusion of</t>
  </si>
  <si>
    <t>[15] SHUMLAK, U. and HARTMAN, C. W., Sheared flow stabilization of the m = 1 kink mode in Z pinches,</t>
  </si>
  <si>
    <t>Bs=Nsrs=v2</t>
  </si>
  <si>
    <t>v2s=Is</t>
  </si>
  <si>
    <t>IA,s=r2</t>
  </si>
  <si>
    <t>L,s=r2</t>
  </si>
  <si>
    <t>4λ2s=(ωcsτs)2</t>
  </si>
  <si>
    <t>4=σsHa2. (1)</t>
  </si>
  <si>
    <t>cyclotron frequency, τs=rp/vtsspecies thermal crossing time, Ha the Hartmann number of the</t>
  </si>
  <si>
    <t>flow pinch, and the factors σsareσe=p</t>
  </si>
  <si>
    <t>mi/meandσi=σ−1</t>
  </si>
  <si>
    <t>neutralized (for fn=1). The relations of Eq. 1 are derived with commentary in the prequel10.</t>
  </si>
  <si>
    <t>tumPzpasses from an unbound state Pz&gt;0 to a bound state Pz&lt;0 through Bs=1, analogous to</t>
  </si>
  <si>
    <t>sity is decomposable into betatron and cyclotron orbital densities, ns=nβ,s+nc,s. The net density</t>
  </si>
  <si>
    <t>νii=ωpi</t>
  </si>
  <si>
    <t>withωpithe plasma frequency, ln Λthe Coulomb logarithm, and Λi=4</t>
  </si>
  <si>
    <t>where s=cvln(p/nγ)is specific entropy, the specific heat ratio γ=5/3 for monatomic ions, and</t>
  </si>
  <si>
    <t>cv=R/(γ−1)is the specific heat at constant volume given the ion gas constant R=kB/miforkB</t>
  </si>
  <si>
    <t>τd=L/vzwith Lplasma length and vzaxial fluid velocity), the flux compression timescale, or the</t>
  </si>
  <si>
    <t>Alfvén transit rate νA=vA/rpfor MHD modes or plasma frequencies for microinstabilities).</t>
  </si>
  <si>
    <t>ofBi=20 suggests that ≈30% of the total radial ion inventory follow betatron trajectories in</t>
  </si>
  <si>
    <t>lines show fusion gain near and close to break-even level, Q=0.1 and Q=1 respectively.</t>
  </si>
  <si>
    <t>Gain=1</t>
  </si>
  <si>
    <t>Gain=0.1</t>
  </si>
  <si>
    <t>Ion Relaxation = 10 ns</t>
  </si>
  <si>
    <t>Ion Relaxation = 100 ns</t>
  </si>
  <si>
    <t>Ion Relaxation = 1 s</t>
  </si>
  <si>
    <t>Ion Relaxation = 5 s</t>
  </si>
  <si>
    <t>axial velocity vz=100 km/s, length L=50 cm, and plasma flow-through time τ=5µs. Black/green</t>
  </si>
  <si>
    <t>contours mark Q=1 and 0 .1, respectively. Dashed lines show adiabatic trajectories ( p/ργ=const.). Solid</t>
  </si>
  <si>
    <t>dt=0 =⇒d</t>
  </si>
  <si>
    <t>U=(Pz−qsAz)2</t>
  </si>
  <si>
    <t>r(t) = r0sin(ωβt), (9a)</t>
  </si>
  <si>
    <t>mvz(t) = Pz−κsin2(ωβt). (9b)</t>
  </si>
  <si>
    <t>Jr=πmsr2</t>
  </si>
  <si>
    <t>⟨msvz⟩T=Pz−κ</t>
  </si>
  <si>
    <t>δ(msvz)≡msvz−⟨msvz⟩T=−κcos(2ωβt), (11b)</t>
  </si>
  <si>
    <t>Jz=πκ2/2ms</t>
  </si>
  <si>
    <t>ωβ=vth,i</t>
  </si>
  <si>
    <t>λi=ωciB−1/2</t>
  </si>
  <si>
    <t>where vth,iis ion thermal velocity, rpis pinch radius, λi=c/ωpiis ion inertial length, ωciis</t>
  </si>
  <si>
    <t>Applying Eq. 13 to Eq. 12 and supposing Bi=const., we infer three Lagrangian invariants</t>
  </si>
  <si>
    <t>and betatrons) to approach the same elliptic modulus (trapping parameter) α=2−1/4≈0.84 (at</t>
  </si>
  <si>
    <t>although all trajectories passing directly through r=0 may undergo these chaotic non-adiabatic</t>
  </si>
  <si>
    <t>αrz(r) =nβ(r)</t>
  </si>
  <si>
    <t>αrθ(r) =nc(r)</t>
  </si>
  <si>
    <t>the opposite limit. In the intermediate regime, Bi=O(10), ion agyrotropy terminates in the vicin-</t>
  </si>
  <si>
    <t>In this connection, note that species inertial length δs=c/ωpsis directly proportional to pinch</t>
  </si>
  <si>
    <t>radius through the species Budker parameter57;Bs=r2p</t>
  </si>
  <si>
    <t>0.00.20.40.60.81.0Ion Budker = 100</t>
  </si>
  <si>
    <t>tionally symmetric such that∂/∂θ=∂/∂z= 0, reducing</t>
  </si>
  <si>
    <t>Att= 0, the current waveformI(t) rises from zero as</t>
  </si>
  <si>
    <t>the piston and shock simultaneously form atr=r 0, initi-</t>
  </si>
  <si>
    <t>model which is well-defined forr s=rpbut maintains a</t>
  </si>
  <si>
    <t>At the separation timet=t s, the piston and shock be-</t>
  </si>
  <si>
    <t>At the incidence timet=t c, the shock reaches the cen-</t>
  </si>
  <si>
    <t>the motion of the piston, as illustrated in Appendix G.At the stagnation timet=t p, the material pressure fi-</t>
  </si>
  <si>
    <t>∂t+⃗∇ ·(ρ⃗ v) = 0,(1)</t>
  </si>
  <si>
    <t>⃗ v=⃗B×( ⃗∇ × ⃗B)</t>
  </si>
  <si>
    <t>P=−γP ⃗∇ ·⃗ v,(3)</t>
  </si>
  <si>
    <t>∂t=⃗∇ ×(⃗ v× ⃗B).(4)</t>
  </si>
  <si>
    <t>ρ(r, t) =</t>
  </si>
  <si>
    <t>the case,⃗ v(r,0) = 0, P(r,0) =P 0(r), ρ(r,0) =ρ 0(r), and</t>
  </si>
  <si>
    <t>ρ0(rs),˙rp=2</t>
  </si>
  <si>
    <t>2πrp¨rp=−µ0I2</t>
  </si>
  <si>
    <t>¨rs=−γ˙r s</t>
  </si>
  <si>
    <t>rsρl(r, t)rdrdθ= 2πr0Z</t>
  </si>
  <si>
    <t>Aftert=t p, this conservation of energy relation breaks</t>
  </si>
  <si>
    <t>L(⃗X,⃗Y , r 0, γ)=X</t>
  </si>
  <si>
    <t>α=p,snαX</t>
  </si>
  <si>
    <t>k=1(Rα,k−r(t α,k|r0,γ) )2</t>
  </si>
  <si>
    <t>(r0, γ) = (3.50cm,1.37). These values appear quite rea-</t>
  </si>
  <si>
    <t>insensitive to its value, and we arbitrarily usedt s= 1ns</t>
  </si>
  <si>
    <t>optimal parameters (r 0, γ) = (3.50cm,1.37).</t>
  </si>
  <si>
    <t>agnostic measurements, using calibrated parameters (r 0,γ) =</t>
  </si>
  <si>
    <t>profileρ 0(r) and current waveformI(t) forB z0= 0 shots</t>
  </si>
  <si>
    <t>ments, using calibrated parameters (r 0,γ) = (3.50cm,1.37)</t>
  </si>
  <si>
    <t>(r0,γ) = (3.50cm,1.37) based on MSE fitting to shot 5532.</t>
  </si>
  <si>
    <t>ρi(t)=ρ 0(ri(0) ),(20)</t>
  </si>
  <si>
    <t>ρi(t) =γ+ 1</t>
  </si>
  <si>
    <t>Bzi(t) =B z0ρi(t)</t>
  </si>
  <si>
    <t>dri(t) =ri(0)ρ i(0)</t>
  </si>
  <si>
    <t>ρl(ri(t), t) =ρ i(t) andB zl(ri(t), t) =B zi(t).</t>
  </si>
  <si>
    <t>ρi(t) =ρ i(tc)rp(tc)2</t>
  </si>
  <si>
    <t>˜ρ=γ+1</t>
  </si>
  <si>
    <t>rp(tp)2,˜P=2</t>
  </si>
  <si>
    <t>betweent= 275ns andt= 305ns.</t>
  </si>
  <si>
    <t>Fig. 12. Density Profilesρ(r, t) for theB z0= 0.2T Ensemble.</t>
  </si>
  <si>
    <t>rp˙rp=2</t>
  </si>
  <si>
    <t>[ρ⃗ u·ˆ n] = 0,(A1)"</t>
  </si>
  <si>
    <t>⃗ u=u rˆ r,⃗B=B zˆ z.(A6)</t>
  </si>
  <si>
    <t>[ρ⃗ u·ˆ r] = [ρu r] = 0→u r2/ur1≡1/X.(A8)</t>
  </si>
  <si>
    <t>2µ0=ρ1u2</t>
  </si>
  <si>
    <t>z1=ρ1u2</t>
  </si>
  <si>
    <t>P1=1 +γM2</t>
  </si>
  <si>
    <t>P1=X+γ−1</t>
  </si>
  <si>
    <t>where we can identify the trivial solutionX= 1, which</t>
  </si>
  <si>
    <t>ρ1=ur1</t>
  </si>
  <si>
    <t>dt2=−2πRP m(t), (1)</t>
  </si>
  <si>
    <t>where R=R(t) is the outer radius of the liner, bmis the</t>
  </si>
  <si>
    <t>bm.=πρ0</t>
  </si>
  <si>
    <t>Dimensionless time ¯t=t/∆T0.00.20.40.60.81.0Normalized radius ¯R=R/R0</t>
  </si>
  <si>
    <t>Prior to t= 0, we consider that the current has an initial</t>
  </si>
  <si>
    <t>the current rises to its peak value Imaxatt= 0 and</t>
  </si>
  <si>
    <t>that the velocity of the liner is negligible at t= 0, we</t>
  </si>
  <si>
    <t>Dimensionless time ¯t=t/∆T0.00.51.01.52.02.53.0Normalized velocity ¯U=U/Vi</t>
  </si>
  <si>
    <t>∆T=−1√πZ¯R</t>
  </si>
  <si>
    <t>erf(x) =2√πZx</t>
  </si>
  <si>
    <t>∆T= erfp</t>
  </si>
  <si>
    <t>dt=√πR0</t>
  </si>
  <si>
    <t>of the liner are related by p=Pref(ρ/ρref)γ. Here Pref</t>
  </si>
  <si>
    <t>αref.=Pref/ργ</t>
  </si>
  <si>
    <t>dt2=−∂p</t>
  </si>
  <si>
    <t>When substituting p=Pref(ρ/ρref)γand integrating, we</t>
  </si>
  <si>
    <t>∆(t) = ∆ 0γ</t>
  </si>
  <si>
    <t>Pm(t). When using the EOS p=Pref(ρ/ρref)γ, we obtain</t>
  </si>
  <si>
    <t>ρ(t, r) =ρrefPm</t>
  </si>
  <si>
    <t>the outer surface, the liner density D(t).=ρ(t, R) at</t>
  </si>
  <si>
    <t>this example, we consider Asb= 102andγ= 5/3. The</t>
  </si>
  <si>
    <t>shock breakout point is plotted at Msb= 1. We emphasize</t>
  </si>
  <si>
    <t>Dsb=ρrefPsb</t>
  </si>
  <si>
    <t>∆sb= ∆ 0γ</t>
  </si>
  <si>
    <t>∆sb=A0γ−1</t>
  </si>
  <si>
    <t>We use the ratio Tex/Timp=M/A to differentiate be-</t>
  </si>
  <si>
    <t>Since M≃0 att= 0, Tex/Timp≃0 so the isentropic</t>
  </si>
  <si>
    <t>tain the shell adiabat. For γ= 5/3, the liner thickness</t>
  </si>
  <si>
    <t>(reduces ∆). For γ= 5/3, the IFAR follows A∝R4/5;</t>
  </si>
  <si>
    <t>A=Amax.=Asb/e, which is independent of the implo-</t>
  </si>
  <si>
    <t>Mmax=√γAsb</t>
  </si>
  <si>
    <t>Forγ= 5/3, we find Rmax/R1≃0.29; i.e., the liner</t>
  </si>
  <si>
    <t>Timp=1</t>
  </si>
  <si>
    <t>ϕ⋆.=(γ−1)2</t>
  </si>
  <si>
    <t>for the γ= 5/3 case using Eqs. (23d) and (28). The solid blue</t>
  </si>
  <si>
    <t>ering γ= 5/3 and varying Asbbetween 10 and 1000 in</t>
  </si>
  <si>
    <t>transition Tex=Timpoccurs relatively late in a Z-pinch</t>
  </si>
  <si>
    <t>R⋆/R0≪1. For example, for Asb= 100 and γ= 5/3,</t>
  </si>
  <si>
    <t>the transition Tex=Timpat a relatively late stage during</t>
  </si>
  <si>
    <t>entAsbvalues. We consider γ= 5/3.</t>
  </si>
  <si>
    <t>Tex/Timp= 1 using Eqs. (23). Due to mass conserva-</t>
  </si>
  <si>
    <t>P∝Dγleading to Eq. (31a). Because ∆ = const ., the</t>
  </si>
  <si>
    <t>(P/P ⋆)1−1/γ=ln (R0/R)</t>
  </si>
  <si>
    <t>shell IFAR evaluated at the transition when Tex=Timp!When using Eqs. (31), we obtain</t>
  </si>
  <si>
    <t>Pvc=P⋆Aγ</t>
  </si>
  <si>
    <t>Dvc=D⋆A⋆, (33b)</t>
  </si>
  <si>
    <t>Avc= 1, (33d)</t>
  </si>
  <si>
    <t>plosion trajectories. Finally, M(A= 1) only varies by a</t>
  </si>
  <si>
    <t>ing calculations, we shall focus on the γ= 5/3 case.</t>
  </si>
  <si>
    <t>for the caseT=Tp</t>
  </si>
  <si>
    <t>In the ideal limit,R m=µσuL→ ∞, and from a</t>
  </si>
  <si>
    <t>16kBT=CB</t>
  </si>
  <si>
    <t>T= (1.45697∗10−22)u2</t>
  </si>
  <si>
    <t>⃗ w=∇ ×⃗ u=w θˆθ=−duz</t>
  </si>
  <si>
    <t>them= 0, andm= 1 instabilities naturally plaguing</t>
  </si>
  <si>
    <t>no magnetic diffusivityλ= (µσ)−1, or more thoroughly,</t>
  </si>
  <si>
    <t>Rm=σµuL(8)</t>
  </si>
  <si>
    <t>∂t+∇ ·(ρ⃗ u) = 0 (9)</t>
  </si>
  <si>
    <t>∂t+∇ ·(⃗ u ⃗B− ⃗B⃗ u) = 0 (11)</t>
  </si>
  <si>
    <t>p= 2nk BT(17)</t>
  </si>
  <si>
    <t>i.e.,⃗ u= 0, or uniform,⃗ u=u 0ˆu, in order to simplify the</t>
  </si>
  <si>
    <t>∇ ·⃗B= 0 (18)</t>
  </si>
  <si>
    <t>∇ × ⃗B=µ 0⃗J(19)</t>
  </si>
  <si>
    <t>ρ⃗ u· ∇⃗ u= ⃗J×⃗B− ∇p(20)</t>
  </si>
  <si>
    <t>⃗J=J z(r)ˆz(22)</t>
  </si>
  <si>
    <t>⃗B=B θ(r)ˆθ(23)</t>
  </si>
  <si>
    <t>(⃗ u· ∇⃗ u) r=ur∂ur</t>
  </si>
  <si>
    <t>pinch suffers fromm= 0, andm= 1 MHD instabilities,</t>
  </si>
  <si>
    <t>wherek=2π</t>
  </si>
  <si>
    <t>destabilizing mode, andV A=B√ρµis the velocity of</t>
  </si>
  <si>
    <t>situation via an infinite conductivity, lim σ→∞ Rm=∞.</t>
  </si>
  <si>
    <t>⃗ ω=∇ ×⃗ u(32)</t>
  </si>
  <si>
    <t>for a Bennett Pinch, Equation (29). ˜Jz=Jz</t>
  </si>
  <si>
    <t>Bennett Pinch,M T=B2</t>
  </si>
  <si>
    <t>here is given by ˜MT=M Tµξ</t>
  </si>
  <si>
    <t>as a function of the dimensionless coordinater∗=rξ. ˜p=p</t>
  </si>
  <si>
    <t>I=2ξ2ruz,0</t>
  </si>
  <si>
    <t>CT=T(rp)</t>
  </si>
  <si>
    <t>dr=I= 2CB</t>
  </si>
  <si>
    <t>CB,T=CB</t>
  </si>
  <si>
    <t>dr|(r=0) =2uz,0</t>
  </si>
  <si>
    <t>⃗B=B θ(r)ˆθ=−µ0en0uz,0</t>
  </si>
  <si>
    <t>µ0(en0uz,0)2r3pr(r+C B,T)3+f= 0 (73)</t>
  </si>
  <si>
    <t>2(r+C B,T)3f= 0</t>
  </si>
  <si>
    <t>µ0(en0uz,0)2r3pr(r+C B,T)3+f= 0</t>
  </si>
  <si>
    <t>CB,T=CBn0</t>
  </si>
  <si>
    <t>Iencl=Z2π</t>
  </si>
  <si>
    <t>∴Iencl=2πen 0uz,0</t>
  </si>
  <si>
    <t>˜Iencl=Iencl</t>
  </si>
  <si>
    <t>km s−1is the edge plasma flow state,T p= 1 [keV] is the</t>
  </si>
  <si>
    <t>flow state,T p= 1 [keV] is the edge plasma temperature, and</t>
  </si>
  <si>
    <t>the predicted peak flow shear atr p= 10mmofduz</t>
  </si>
  <si>
    <t>uedge=uz(rp) =u z,0r2</t>
  </si>
  <si>
    <t>vortex with an edge plasma temperature ofT= 1 [keV].</t>
  </si>
  <si>
    <t>vortex with an edge plasma temperature ofT= 2 [keV].</t>
  </si>
  <si>
    <t>vortex with an edge plasma temperature ofT= 5 [keV].</t>
  </si>
  <si>
    <t>vortex with an edge plasma temperature ofT= 10 [keV].</t>
  </si>
  <si>
    <t>fieldBand corresponding force vector F=j×B which acts to compress the plasma in on itself.</t>
  </si>
  <si>
    <t>The relation between Tandnis given by the specific entropy s= ln(T/nγ−1), where γ= 5/3 is</t>
  </si>
  <si>
    <t>8π(1 +Z)N, n=T</t>
  </si>
  <si>
    <t>msE· ∇ vfs=X</t>
  </si>
  <si>
    <t>s′νss′Css′+ Γs,∇ x·E=1</t>
  </si>
  <si>
    <t>I=N</t>
  </si>
  <si>
    <t>s=fs(t→ ∞), ∂ tf∞</t>
  </si>
  <si>
    <t>fs|t=0=msn</t>
  </si>
  <si>
    <t>E=∇ϕ, ϕ| x=L z−ϕ| x=0=V.(4)</t>
  </si>
  <si>
    <t>solver = optimistix . Newton ( rtol =1e -4, atol =1e -4)</t>
  </si>
  <si>
    <t>of fusion energy to capacitor energy, with respect to initial temperatureT| t=0and capacitanceC.</t>
  </si>
  <si>
    <t>T|t=0 Initial temperature20 eV</t>
  </si>
  <si>
    <t>n|t=0 Initial density6×1022m−3</t>
  </si>
  <si>
    <t>T|t=0 Initial temperature10 eV≤T≤1 keV</t>
  </si>
  <si>
    <t>n|t=0 Initial densityn= 1 MPa/T</t>
  </si>
  <si>
    <t>the wire. Surface elevation of the liquid, z=z0, is ref-</t>
  </si>
  <si>
    <t>erenced relative to the bottom of the pool, z= 0 so the</t>
  </si>
  <si>
    <t>depth below the surface can be considered d=z0−z.</t>
  </si>
  <si>
    <t>Irms=vuut1</t>
  </si>
  <si>
    <t>i=1(I2</t>
  </si>
  <si>
    <t>where θ=π/3±π/9, and the regions on either side of</t>
  </si>
  <si>
    <t>the wire (Region 2) are where θ=π/6±π/6.</t>
  </si>
  <si>
    <t>iwi= 1, produces a probability density</t>
  </si>
  <si>
    <t>i=1wipi(x). (4)</t>
  </si>
  <si>
    <t>σij=σiσjexp</t>
  </si>
  <si>
    <t>Q= 1, where</t>
  </si>
  <si>
    <t>Q=Pfusion</t>
  </si>
  <si>
    <t>pinch region, r= 0 mm. The range of possible time of</t>
  </si>
  <si>
    <t>the minimum is also z=0 mm. Using the same time</t>
  </si>
  <si>
    <t>Dt=⃗f=µˆ∇2⃗ v. (7)</t>
  </si>
  <si>
    <t>m⃗ a=γπd. (9)</t>
  </si>
  <si>
    <t>ρ(T) =C−D·(T−Tref), (12)</t>
  </si>
  <si>
    <t>γ(T) =E−F·(T−Tref). (13)</t>
  </si>
  <si>
    <t>the LM pool in LEX, TLEX= 423 K, from data reported</t>
  </si>
  <si>
    <t>mtot=mejecta +mvap. (14)</t>
  </si>
  <si>
    <t>from a tin-bismuth pool ( Nejecta = 40), the single droplet</t>
  </si>
  <si>
    <t>mejecta =mdropPdropNejecta. (15)</t>
  </si>
  <si>
    <t>Q= 1, as mentioned in previously.</t>
  </si>
  <si>
    <t>PBr= 1.69×10−32neT1/2</t>
  </si>
  <si>
    <t>Pr,con=nenZLZ[ergs/cm3/s]. (20)</t>
  </si>
  <si>
    <t>log10LZ=5X</t>
  </si>
  <si>
    <t>i=0A(i){log10(Te[keV])}i. (21)</t>
  </si>
  <si>
    <t>ηSp=4√</t>
  </si>
  <si>
    <t>gas where Te=Ti=Tpinch/2. Also, ⟨Zeff⟩is the effec-</t>
  </si>
  <si>
    <t>where ni,H+is the hydrogen ion density, ntot=ni,H++nZ</t>
  </si>
  <si>
    <t>i=0B(i) (log10Te[keV])i. (26)</t>
  </si>
  <si>
    <t>τr= 3NkBT/P r. (28)</t>
  </si>
  <si>
    <t>core beyond Pr/Pj= 1 may not completely dissipate the</t>
  </si>
  <si>
    <t>TABLE II. Allowable contamination for candidate LM PFC materials based on the Pease-Braginskii equilibrium ( Pr/Pj= 1).</t>
  </si>
  <si>
    <t>Q=1, z-pinch plasma.</t>
  </si>
  <si>
    <t>Γ=4πS</t>
  </si>
  <si>
    <t>z=0 in Fig. 2. As shown in Fig. 3, this change was done to</t>
  </si>
  <si>
    <t>direction. The central axis of ZaP-HD is alongx=0. The measure-</t>
  </si>
  <si>
    <t>Eexp= (Cexp</t>
  </si>
  <si>
    <t>I=Eexp</t>
  </si>
  <si>
    <t>the axial locationz= 8 cm in the Assembly Region. The num-</t>
  </si>
  <si>
    <t>istic radiusa=3 mm from Ref. 8 is maintained. It is impor-</t>
  </si>
  <si>
    <t>δC=pCexp, which is propagated through Eqs. (11) and (12)</t>
  </si>
  <si>
    <t>Γ=sδSXB</t>
  </si>
  <si>
    <t>the analysis in Ref. 8, the assumption ofT i=T e=Tis ap-</t>
  </si>
  <si>
    <t>plied, whereT=670 eV from Fig. 7(b). The sputtered carbon</t>
  </si>
  <si>
    <t>Γsp=n ecssin(α)Y∗.(14)</t>
  </si>
  <si>
    <t>α=90oandY∗is the effective yield defined as</t>
  </si>
  <si>
    <t>whereY H+→C=1 represents 100% yield for physical sputter-</t>
  </si>
  <si>
    <t>T=T i=670 eV , and normal incidence of impacting ions. The value</t>
  </si>
  <si>
    <t>q= (2kT i+|eV sheath|)Γse,(16)</t>
  </si>
  <si>
    <t>Γse=n secs≈1</t>
  </si>
  <si>
    <t>02πn 1(r)rdr=Z∞</t>
  </si>
  <si>
    <t>taken. The calculated linear density isN=1.26×1019m−1.</t>
  </si>
  <si>
    <t>starts atr nc=7 mm, shown as a dotted gray line. Apply-</t>
  </si>
  <si>
    <t>profile in Fig. 12. The radius ofa=3 mm has been main-</t>
  </si>
  <si>
    <t>sure and the magnetic pressure:∇(p i+pe) =j×B,</t>
  </si>
  <si>
    <t>usen 0= 1.1×1023m−3,Ti=T e=T 0= 2 keV,I=</t>
  </si>
  <si>
    <t>200 kA, anda= 3 mm based on experimental data from</t>
  </si>
  <si>
    <t>related to the axial electron velocity byu=I/en 0πa2.</t>
  </si>
  <si>
    <t>The density has a peak atr= 0 and decays with increas-</t>
  </si>
  <si>
    <t>ing radius. The magnetic field is zero atr= 0 and in-</t>
  </si>
  <si>
    <t>creases to a maximum value at the pinch radius,r/a= 1;</t>
  </si>
  <si>
    <t>ρα=m αvth,α/eB, wherev th,α=p</t>
  </si>
  <si>
    <t>at the pinch radius (r/a= 1) where the ratio of the ion</t>
  </si>
  <si>
    <t>νee=ne4</t>
  </si>
  <si>
    <t>νie=me</t>
  </si>
  <si>
    <t>liding with particleβand Λ = 12πnλ3</t>
  </si>
  <si>
    <t>λMFP,α =vth,α/να. Figure 1(b) shows that both species’</t>
  </si>
  <si>
    <t>credibly small region nearr= 0, the mean free paths are</t>
  </si>
  <si>
    <t>µ⊥,α=µα</t>
  </si>
  <si>
    <t>where Ω cα=eB/m αis the gyrofrequency andµ α=</t>
  </si>
  <si>
    <t>atr/a= 1. To account for this large difference and en-</t>
  </si>
  <si>
    <t>than the ion gyroradius atr/a= 1, as shown in Fig. 1(b).</t>
  </si>
  <si>
    <t>trodes at the pinch radius (r=a) of a Z-pinch plasma.</t>
  </si>
  <si>
    <t>plasma at a radius ofr=a= 3 mm, which is the pinch</t>
  </si>
  <si>
    <t>Sα=c1sech2</t>
  </si>
  <si>
    <t>throughE=−∇ϕ. The electric potential is found using</t>
  </si>
  <si>
    <t>∇2ϕ=−e(ni−ne)</t>
  </si>
  <si>
    <t>Fig. 1(a) atr=a= 3 mm. This corresponds to an</t>
  </si>
  <si>
    <t>based on Eq. 2 or Fig. 1(a) atr=a. We run three</t>
  </si>
  <si>
    <t>by the local Bohm speed which is defined asu B=p</t>
  </si>
  <si>
    <t>γ(Tz,e+Tz,i)/m iwhereγ= 2 based on the two de-</t>
  </si>
  <si>
    <t>tial profile is symmetric aboutz= 0. With the inclusion</t>
  </si>
  <si>
    <t>ρe&lt; λMFP &lt; ρi, as seen in Fig. 1(b) atr/a= 1. The</t>
  </si>
  <si>
    <t>|uz,i|/uB= 1, does not significantly change with bias po-</t>
  </si>
  <si>
    <t>r=achanges toρ e&lt; ρi&lt; λ MFP,e &lt; λ MFP,i . Based</t>
  </si>
  <si>
    <t>(a)b=0 kV</t>
  </si>
  <si>
    <t>(b)b=5 kV</t>
  </si>
  <si>
    <t>(c)b=10 kV</t>
  </si>
  <si>
    <t>∇ ·P α=nαqα</t>
  </si>
  <si>
    <t>Pij,α=m αZ∞</t>
  </si>
  <si>
    <t>ur,α=1</t>
  </si>
  <si>
    <t>ur,α=mα</t>
  </si>
  <si>
    <t>tential, the point at whichu r,e= 0 is in the center of</t>
  </si>
  <si>
    <t>cut at the pinch radius (r=a), which is the location of</t>
  </si>
  <si>
    <t>theu r,e= 0 point moves closer to the cathode. This re-</t>
  </si>
  <si>
    <t>in the axial cut atr=a. Future work should not only</t>
  </si>
  <si>
    <t>transition region from the unmagnetized case atr= 0 to</t>
  </si>
  <si>
    <t>the fully magnetized case atr=a.</t>
  </si>
  <si>
    <t>dt=−∇P+fˆr,(1)</t>
  </si>
  <si>
    <t>where d/dt=∂/∂t+u pol·∇,P=p+B2/2 is the total</t>
  </si>
  <si>
    <t>Eq. (2) is of the formf=f(P, r,Q), whereQis a vector</t>
  </si>
  <si>
    <t>grangian invariants of the plasma:Q= (s, χ, ℓ), where</t>
  </si>
  <si>
    <t>s=p1/γ/ρis a specific entropy proxy,χ=B/ρris the</t>
  </si>
  <si>
    <t>rentI≡Br= const andγthe adiabatic index, Eq. (2)arXiv:2602.06012v1 [physics.plasm-ph] 5 Feb 2026</t>
  </si>
  <si>
    <t>whereX i=X eq(ri), withX eq(r) the equilibrium profile</t>
  </si>
  <si>
    <t>ofX. At linear order inδr=r 2−r1, the condition for</t>
  </si>
  <si>
    <t>The height of a sharp pedestal atr=R pedseparating</t>
  </si>
  <si>
    <t>placed fromr −=R ped−δrtor +=R ped+δr, with</t>
  </si>
  <si>
    <t>erupting from a marginally stable (L= 0) pedestal are</t>
  </si>
  <si>
    <t>dt=a1→2=−Lδr+Nδr2=⇒</t>
  </si>
  <si>
    <t>L=0δr=6</t>
  </si>
  <si>
    <t>librium at marginal linear stability [L= 0 in Eq. (5)] with a</t>
  </si>
  <si>
    <t>End Matter thatN=−2(2−γ)Iγ−1r−2γd(sγ/χγ)/dr</t>
  </si>
  <si>
    <t>ifL= 0 everywhere. Thus, the outwards motion of</t>
  </si>
  <si>
    <t>2a1→2=χ 1ℓ(r+)2[(r2/Rped)4−2γ−1]. Takingχ 2to</t>
  </si>
  <si>
    <t>ρ(r+)uϕ(r+)2= Γ +Rped</t>
  </si>
  <si>
    <t>state for whichQ=Q 0= const (the subscript zero de-</t>
  </si>
  <si>
    <t>γ−1=−γ</t>
  </si>
  <si>
    <t>tions haveγ= 5/3,R ped= 1.25R heat, ∆r heat≃0.1R heat</t>
  </si>
  <si>
    <t>r=R ped. In general, the condition to enter this “H-</t>
  </si>
  <si>
    <t>r[Rheat]0.00.51.01.52.02.53.0z[Rheat]t=4165.0(a)</t>
  </si>
  <si>
    <t>r[Rheat]t=4247.1</t>
  </si>
  <si>
    <t>r[Rheat]t=4313.3</t>
  </si>
  <si>
    <t>r[Rheat]t=4404.6</t>
  </si>
  <si>
    <t>r[Rheat]0.51.01.5β= 2p/B2[%](b)</t>
  </si>
  <si>
    <t>panel (a) shows the state of the plasma before the eruption; itsβ= 2p/B2profile (averaged overz) is shown in red in panel</t>
  </si>
  <si>
    <t>aroundt= 4600R heat/cs,0(Rheat), and triggering a new</t>
  </si>
  <si>
    <t>eruption aroundt= 4700R heat/cs,0(Rheat).</t>
  </si>
  <si>
    <t>a tube:r= 1.0 (which is unstable, because the tube was</t>
  </si>
  <si>
    <t>recently heated),r≃R ped= 1.25R heat(stable) and an-</t>
  </si>
  <si>
    <t>lation but withγ= 2, for which the MHD pedestal is</t>
  </si>
  <si>
    <t>line) with the poloidal kinetic energy (PKE; red line). The dashed red line shows the PKE of a simulation withγ= 2, for</t>
  </si>
  <si>
    <t>forγ= 5/3.</t>
  </si>
  <si>
    <t>in smallδr=r 2−r1, we have</t>
  </si>
  <si>
    <t>dt=a1→2=−L(r 1)δr+N(r 1)δr2+O(δr3) (13)</t>
  </si>
  <si>
    <t>L(r) =2χIγ−1</t>
  </si>
  <si>
    <t>N(r) =2χIγ−1</t>
  </si>
  <si>
    <t>where Σ =sγ/χγ, Λ =ℓ2/χand primes denote deriva-</t>
  </si>
  <si>
    <t>At marginal linear stability,L= 0 for allr. Setting</t>
  </si>
  <si>
    <t>Λ′(r) =−2Iγ−1r4−2γΣ′(r),(16)</t>
  </si>
  <si>
    <t>Λ′′(r) =−2Iγ−1r3−2γ[(4−2γ)Σ′(r) +rΣ′′(r)],(17)</t>
  </si>
  <si>
    <t>N(r) =−2(2−γ)Iγ−1</t>
  </si>
  <si>
    <t>dψ=−fσ</t>
  </si>
  <si>
    <t>choose, without loss of generality,ψ= 0 atr=r min,so integration constants are fixed byr σ(0) =r minand</t>
  </si>
  <si>
    <t>rσ(ψmax) =r max. The energyE σassociated with a given</t>
  </si>
  <si>
    <t>Qσ= (s σ, χσ, ℓσ) = (ϵ1/γSσ, Cσ, ϵ1/2Lσ) (23)</t>
  </si>
  <si>
    <t>formX=X 0+ϵX 1+O(ϵ2), and suppressσsubscripts</t>
  </si>
  <si>
    <t>P0(ψ) =I2</t>
  </si>
  <si>
    <t>tant when both the Hall parameterβ H≡ωceτe=eB</t>
  </si>
  <si>
    <t>x= 0 plane, where clockwise starting top left (a) - is the Hall</t>
  </si>
  <si>
    <t>t= 167ns, the electron density was 1.2×1024m−3</t>
  </si>
  <si>
    <t>ization stateZ= 5, to≈1024m−3electron density. The</t>
  </si>
  <si>
    <t>j×B=∇ p (1)</t>
  </si>
  <si>
    <t>described in this paper are made at the z=0-m plane. A 1-m scale is i ncluded for reference.</t>
  </si>
  <si>
    <t>The location z=0 m is the primary diagnostic location in</t>
  </si>
  <si>
    <t>are located at z=− 0.25 m, z=0m , z=0.35 m, and</t>
  </si>
  <si>
    <t>z=0.70 m. The array at z=− 0.25 m has six probes</t>
  </si>
  <si>
    <t>m.T h e m=0 mode is</t>
  </si>
  <si>
    <t>the average magnetic ﬁeld measured by the probes, m=1</t>
  </si>
  <si>
    <t>axis of the machine, m=2 is a measure of the ellipticity of</t>
  </si>
  <si>
    <t>the current distribution, and m=3 is the triangularity of the</t>
  </si>
  <si>
    <t>current distribution. The m=1 mode is the fastest growing</t>
  </si>
  <si>
    <t>criterion. When the normalized m=1 mode, ( B1/B0), is</t>
  </si>
  <si>
    <t>passes through the z=0 m port of the experiment. Upon</t>
  </si>
  <si>
    <t>light, neis the electron number density, nc=(ω2meϵ0/e2)is</t>
  </si>
  <si>
    <t>proﬁle at a single z-location, z=0m .</t>
  </si>
  <si>
    <t>The four interferometry chords were placed at z=0ma t</t>
  </si>
  <si>
    <t>machine axis at y=0.1 cm (blue), y=− 0.6 cm (green),</t>
  </si>
  <si>
    <t>the magnetic data at z=0 m for a representative pulse.</t>
  </si>
  <si>
    <t>locations remain constant relative to the machine axis at y=0.1 cm (blue),</t>
  </si>
  <si>
    <t>the average azimuthal magnetic ﬁeld (top plot) and the normalized m=1</t>
  </si>
  <si>
    <t>guessed to ﬁt a Bennett equilibrium pressure proﬁle [22],Fig. 6. Example chord-integrated density data at time, t=49.8μs. The</t>
  </si>
  <si>
    <t>p=μ0I2</t>
  </si>
  <si>
    <t>where n0is the density at r=0 m. The assumed proﬁle</t>
  </si>
  <si>
    <t>ne|yidl=2n0a2</t>
  </si>
  <si>
    <t>centroid and l=(r2</t>
  </si>
  <si>
    <t>t=49.8μs. Fig. 7 also shows the resulting electron density</t>
  </si>
  <si>
    <t>proﬁle for three times during the pulse: during the ﬁrstexpansion, t=37.5μs; near the time of largest pinch radius,</t>
  </si>
  <si>
    <t>t=42.7μs; and near the time of greatest compression,</t>
  </si>
  <si>
    <t>t=49.8μs. The chord-integrated data indicate that the</t>
  </si>
  <si>
    <t>Fig. 7. Chord-integrated ﬁt at t=49.8μs and electron density pro-</t>
  </si>
  <si>
    <t>magnitudes of linear density, N=∫</t>
  </si>
  <si>
    <t>total pinch current at z=0 m increasing, from 30 to 70 kA,</t>
  </si>
  <si>
    <t>isL=1 m, and that the pinch is axially uniform as m</t>
  </si>
  <si>
    <t>(NCmC+NHmp)L=2.67NLm p=1.8×10−7kg, where</t>
  </si>
  <si>
    <t>mp=1.67×10−27kg is the mass of a proton, mc=12mp</t>
  </si>
  <si>
    <t>the measured magnetic ﬁeld at z=0m .</t>
  </si>
  <si>
    <t>2∇·pv+p∇·v+∇· q=S (6)</t>
  </si>
  <si>
    <t>A=a/VA, is faster than the</t>
  </si>
  <si>
    <t>T=Te=Ti, due to the short thermal equilibration time,</t>
  </si>
  <si>
    <t>andn=ne=Zeffni, due to the short Debye length, where</t>
  </si>
  <si>
    <t>to be a spatially uniform value of Zeff=1.33 for this paper.</t>
  </si>
  <si>
    <t>dr=−μ0kBd</t>
  </si>
  <si>
    <t>dr=c1r2(</t>
  </si>
  <si>
    <t>where c1=− 2μ0kB(Zeff+1). Equations (7) and (9) must</t>
  </si>
  <si>
    <t>conductivities for the assumed Zeff=1.33 are given by [25] as</t>
  </si>
  <si>
    <t>κ⊥,i=nkBTτi</t>
  </si>
  <si>
    <t>κ⊥,e=nkBTτe</t>
  </si>
  <si>
    <t>xi=ωciτi (13)</t>
  </si>
  <si>
    <t>xe=ωceτe (14)</t>
  </si>
  <si>
    <t>τi=2.09×1013 T3</t>
  </si>
  <si>
    <t>τe=3.44×1011 T3</t>
  </si>
  <si>
    <t>where a1¼ql=q0;a2¼qh=q0;q0¼ðqlþqhÞ=2, and VA¼B=ﬃﬃﬃﬃﬃq0p</t>
  </si>
  <si>
    <t>mode of wavelength k¼2p=kc¼Lx,w h e r e Lxis the horizontal</t>
  </si>
  <si>
    <t>¼cp=cv¼5=3 is adopted throughout this study. Note that the species</t>
  </si>
  <si>
    <t>Pr¼cpl=j¼1.</t>
  </si>
  <si>
    <t>where kl¼2p=Lx¼2p=Ly,a n d mandnare the mode numbers in</t>
  </si>
  <si>
    <t>number is defined as Ma¼vmag=Cs,w h e r e vmagis the velocity magni-</t>
  </si>
  <si>
    <t>. Top row: horizontal magnetic field; bottom row: vertical magnetic field. All energies are normalized by q0AgL z=2, with q0¼ðqhþqlÞ=2. Panels (c) and (f) use</t>
  </si>
  <si>
    <t>suppressed by magnetic tension. This leads to ME =KE/C291i nt h e</t>
  </si>
  <si>
    <t>release, preventing ME =KE from approaching unity even at late times.</t>
  </si>
  <si>
    <t>strongly inhibited. Consequently, ME =KE remains below unity for the</t>
  </si>
  <si>
    <t>0R=4|ﬄﬄﬄﬄﬄﬄ{zﬄﬄﬄﬄﬄﬄ}</t>
  </si>
  <si>
    <t>the ratio of KE z=KE saturates, leading to a corresponding decrease</t>
  </si>
  <si>
    <t>For vertical external magnetic fields, the KE z=KE ratio increases</t>
  </si>
  <si>
    <t>c=LÞatAgt2=L¼10 (top panels) and</t>
  </si>
  <si>
    <t>c=L, where Bcis the</t>
  </si>
  <si>
    <t>M=q.V, where V is the total volume, which equals</t>
  </si>
  <si>
    <t>gas constant, and D is the departure coefﬁcient; D = D N</t>
  </si>
  <si>
    <t>velocity at b= 0 with the gas puff reaches a maximum</t>
  </si>
  <si>
    <t>value in a short time, while at b= 0.9 with the gas puff, the</t>
  </si>
  <si>
    <t>ched in the radial direction, the temperature rises with time.Atb= zero, the temperature is higher, while at b=0 . 9 ,i t</t>
  </si>
  <si>
    <t>pis increased by increasing the bfactor ( b=P kr/PBr),</t>
  </si>
  <si>
    <t>includes V pand T ecurves for t f= 1.48, 1.72, 2.07, 2.61 ls)</t>
  </si>
  <si>
    <t>q1 First gas density (primary gas) Ap Compressed plasma area GroupA Includes V pand T ecurves for t f= 1.48, 1.72,</t>
  </si>
  <si>
    <t>φ=2πN of all the fringes are 2-D-interpolated on the image</t>
  </si>
  <si>
    <t>Bθ(r)=μ0I(t)</t>
  </si>
  <si>
    <t>corresponding radius of plasma column, with r=R0att=0. Then,</t>
  </si>
  <si>
    <t>2μ0=μ0I2(t)</t>
  </si>
  <si>
    <t>F(r)=ˆrF(r)=−2πRpm(r)ˆr=−μ0I2(t)</t>
  </si>
  <si>
    <t>M(r)=π(R2</t>
  </si>
  <si>
    <t>dt]=−μ0I2(t)</t>
  </si>
  <si>
    <t>∂t+∇⋅ρv=0, (7)</t>
  </si>
  <si>
    <t>∂t+∇⋅ J=0, (8)</t>
  </si>
  <si>
    <t>dt=−∇p+J×B, (9)</t>
  </si>
  <si>
    <t>∇×B=μ0J, (10)∂B</t>
  </si>
  <si>
    <t>∂t=∇×(v×B), (11)</t>
  </si>
  <si>
    <t>dt(pρ−γ)=0. (12)</t>
  </si>
  <si>
    <t>density profile can be expressed as n=n(r)⋅[1+a⋅sin(2πz/λ)],</t>
  </si>
  <si>
    <t>Lr×Lz=400μm×2 mm, corresponding to a grid division of</t>
  </si>
  <si>
    <t>Nr×Nz=256×512 along the radial and axial directions, respec-</t>
  </si>
  <si>
    <t>are applied at boundaries along z=0 and z=Lz. Meanwhile, the</t>
  </si>
  <si>
    <t>r=R0, implying fluid removal from the simulation upon reaching</t>
  </si>
  <si>
    <t>r, withσr=400μm. The pulsed current follows a Gaus-</t>
  </si>
  <si>
    <t>sian profile I(t)=I0⋅e−(t−t0)2/σ2</t>
  </si>
  <si>
    <t>temperature T=1 eV. In addition, an induced current pulse I(t)</t>
  </si>
  <si>
    <t>areLr×Lz=400μm×2 mm, corresponding to a cell count of</t>
  </si>
  <si>
    <t>t=0 to 75 ns. In addition, the corresponding current pulse profile</t>
  </si>
  <si>
    <t>t=25 ns. Meanwhile, both plasma density and temperature experi-</t>
  </si>
  <si>
    <t>FIG. 2. Temporal evolution of the plasma column density ranging from t=0 to</t>
  </si>
  <si>
    <t>t=45 ns, 60 ns, and 75 ns in Fig. 2.</t>
  </si>
  <si>
    <t>profile along the z=1 mm axis. It can be observed that the plasma</t>
  </si>
  <si>
    <t>axisz=1 mm in a three-dimensional waterfall configuration, while</t>
  </si>
  <si>
    <t>FIG. 3. Motion of the plasma sheath from t=20 to t=30 ns, which is represented</t>
  </si>
  <si>
    <t>by the temporal variation of the plasma density nalong the axis z=1 mm in the</t>
  </si>
  <si>
    <t>is indicated by the density profile along the axis z=1 mm, with (a) depicting the</t>
  </si>
  <si>
    <t>increasing kinetic pressure (calculated as PT=nkBT) of the plasma</t>
  </si>
  <si>
    <t>(pB=B2/2μ0)and kinetic (thermal) pressure results in a dynamic</t>
  </si>
  <si>
    <t>ω2=−kg(ρ10−ρ20)</t>
  </si>
  <si>
    <t>n=n(r)⋅[1+a⋅sin(2⋅π⋅z/λ)], (16)</t>
  </si>
  <si>
    <t>I(t)=I0⋅e−(t−t0)2/σ2</t>
  </si>
  <si>
    <t>by an axial density modulation defined in Eq. (16) with a=0.1,</t>
  </si>
  <si>
    <t>λ=0.2 mm. In addition, the driving current presented in panel (a)</t>
  </si>
  <si>
    <t>andσt=20 ns. It can be observed that, as an identical current pulse</t>
  </si>
  <si>
    <t>panels labeled “ t=50 ns” and “ t=55 ns.” Furthermore, it can be</t>
  </si>
  <si>
    <t>where an initial axial sinusoidal density perturbation with a wavelength of λ=0.2</t>
  </si>
  <si>
    <t>which is represented by the density along the axis z=1 mm: (a) illustrates the</t>
  </si>
  <si>
    <t>ning from t=0 ns to 80 ns. As we can see, a Fourier decomposition</t>
  </si>
  <si>
    <t>wave number k=5000/m but also a number of adjacent modes with</t>
  </si>
  <si>
    <t>k=5000 /m for the initial perturbation.</t>
  </si>
  <si>
    <t>profiled as I(t)=I0⋅e−(t−t0)2/σ2</t>
  </si>
  <si>
    <t>σt=20 ns are selected for all of a=0, 0.1, 0.3, and 0.5. In addition,</t>
  </si>
  <si>
    <t>a=0 denotes the absence of any initial axial density disturbance. The</t>
  </si>
  <si>
    <t>panels labeled “a =0.1”), the maximum peak value of the pinched</t>
  </si>
  <si>
    <t>data are synchronized so that for each shot, I(t=100 ns) =500 kA], and</t>
  </si>
  <si>
    <t>to dramatically reduce the m=0 and m=1 instabili-</t>
  </si>
  <si>
    <t>scientific equivalent Q=1[15] in an SFS Z-pinch. Many</t>
  </si>
  <si>
    <t>ber required to stabilize the m=1 mode in a sheared-flow</t>
  </si>
  <si>
    <t>m=0 modes than parabolic profiles [19], [20]. The stabilizing</t>
  </si>
  <si>
    <t>requirement Cm=0.1. Scientific Qis highly sensitive to impurities and</t>
  </si>
  <si>
    <t>Q=1 regime at 5 keV and 5 ×1019cm−3, the¯ZandZeff</t>
  </si>
  <si>
    <t>fraction, fc=0, have been used for these calculations.</t>
  </si>
  <si>
    <t>(i.e., n=3→2 at∼10.2 nm) in the 5–40 nm range, but</t>
  </si>
  <si>
    <t>chord pair is aligned with r=0 on axis. The rest of the chords</t>
  </si>
  <si>
    <t>provide measurements over r=0±7.6 mm, for 15.2 mm</t>
  </si>
  <si>
    <t>the region r=0±7.6 mm, likely due to fluctuations in the</t>
  </si>
  <si>
    <t>top). Core 19 corresponds to approximately the radial center ( r=0) of</t>
  </si>
  <si>
    <t>and r=0±7.6 mm. The ion temperature (from Doppler broadening)</t>
  </si>
  <si>
    <t>axis, r=0±7.6 mm, it is much less sensitive to emission</t>
  </si>
  <si>
    <t>nonlinear development of m=0 instability in a diffuse Bennett Z-pinch</t>
  </si>
  <si>
    <t>nonlinear development of the m =0 instability in Z-pinch equilibria with</t>
  </si>
  <si>
    <t>The results discussed in this paper all relate to N=32</t>
  </si>
  <si>
    <t>source to the instrument such thatp=Rsin</t>
  </si>
  <si>
    <t>Two mica crystals /H208492d=19.88 Å /H20850, with curvature radii</t>
  </si>
  <si>
    <t>R=186 and 100 mm, were operated in the</t>
  </si>
  <si>
    <t>producing spectra with sagittal focusing along the axis ofthe load. Mica has very high reﬂectivity in ten orders/H20849m=1–5,7,8,11–13 /H20850which allows spherically bent mica</t>
  </si>
  <si>
    <t>/H20849m=2/H20850reﬂection centered on /H110118 Å and imaging the K-shell</t>
  </si>
  <si>
    <t>The detector for the R=186 mm crystal was a ﬁlm pack</t>
  </si>
  <si>
    <t>The primary detector for the R=100 mm crystal was an</t>
  </si>
  <si>
    <t>/H208495/H20850ﬁlm pack—backing detector array, /H208496/H20850quartz crystal, R=250 mm, /H208497/H20850</t>
  </si>
  <si>
    <t>mica crystal, R=186 mm, /H208498/H20850ﬁlm pack, /H208499/H20850mica crystal, R=100 mm, /H2084910/H20850</t>
  </si>
  <si>
    <t>FIG. 7. The silicon x-ray detector array. An R=100 mm mica crystal images</t>
  </si>
  <si>
    <t>an axial section of an FSSR 1D spectrum onto the array, and markers be-neath cast a shadow onto the ﬁlm pack behind, enabling the array elementsto be aligned with the full spectrum imaged by the R=186 mm crystal.082701-5 Structure of stagnated plasma in aluminum wire... Phys. Plasmas 13, 082701 /H208492006 /H20850 14 February 2025 20:12:38</t>
  </si>
  <si>
    <t>calculate the spectral range covered by each element, andthese data compared with the full spectrum imaged by theR=186 mm crystal. The detector array was positioned to</t>
  </si>
  <si>
    <t>A quartz crystal /H208492d=6.66 Å /H20850with curvature radius</t>
  </si>
  <si>
    <t>R=250 mm was operated in the /H9258/H1101190° regime, producing</t>
  </si>
  <si>
    <t>transition /H20849from n=2 to n=1/H20850requires an excitation energy</t>
  </si>
  <si>
    <t>Consider ﬁrst maintaining constant temperature/H20849Te=300 eV /H20850and the intensity of the continuum radiation</t>
  </si>
  <si>
    <t>in Fig. 12 /H20849c/H20850, in which Te=390 eV. When this factor of /H110115</t>
  </si>
  <si>
    <t>FIG. 12. Calculated spectra with /H20849a/H20850Te=300 eV and Ni=1020cm−3. This</t>
  </si>
  <si>
    <t>density corresponds to Ni=0.5 Nmax, where Nmaxis the maximum possible</t>
  </si>
  <si>
    <t>number density for the arrays used in these experiments, /H20849b/H20850Te=300 eV and</t>
  </si>
  <si>
    <t>Ni=Nmax=2/H110031020cm−3,/H20849c/H20850Te=390 eV and Ni=0.5 Nmax=1020cm−3.082701-9 Structure of stagnated plasma in aluminum wire... Phys. Plasmas 13, 082701 /H208492006 /H20850 14 February 2025 20:12:38</t>
  </si>
  <si>
    <t>from the quartz crystal and a section of the R=186 mm mica</t>
  </si>
  <si>
    <t>integrated spectrum produced by the R=186 mm mica crys-</t>
  </si>
  <si>
    <t>grows in both amplitude and wavelength; the amplitude in-creases until it spans the entire radius of the array, producingtendrils of plasma reaching from the initial wire positions allthe way to the axis, as shown in Fig. 15. The appearance ofthis global instability might be described as an “ m=0-like”</t>
  </si>
  <si>
    <t>rent may be dispersed throughout debris, away from the axis.In this model, the appearance of bright spots is not due to aconcentration of kinetic energy at particular axial positions,but a concentration of current and thus compression to higherdensity. There are several additional mechanisms that mightarise as current is concentrated into a small region near theaxis: There is the possibility of increased ohmic heating, andalso of MHD instabilities /H20849such as the m=0 sausage instabil-</t>
  </si>
  <si>
    <t>ity, the m=1 kink instability, and higher orders /H20850, which may</t>
  </si>
  <si>
    <t>result in localized pinching /H20849m=0/H20850and twisting /H20849m=1/H20850. The</t>
  </si>
  <si>
    <t>onset of m=0 instabilities is particularly interesting since this</t>
  </si>
  <si>
    <t>might result in localized compression to high densities andtherefore increased continuum radiation production. Evi-dence for the presence of m=0 instabilities in wire arrays</t>
  </si>
  <si>
    <t>not least because it is the m=0 instability mechanism that</t>
  </si>
  <si>
    <t>nism by which instabilities give rise to bright spots involvesan azimuthally symmetric, pure m=0 mode. It would now</t>
  </si>
  <si>
    <t>appear that for bright spots in wire arrays this is not the case.If MHD instabilities are responsible for the development ofbright spots in wire arrays, it is not the classic azimuthallysymmetric pure m=0 mode. It may be that current concen-</t>
  </si>
  <si>
    <t>generator have provided evidence that the axial positions atwhich bright spots occur involve the presence of electronbeams. The 186 mm mica crystal was used to produce aspectrum of an N=8 array of 10</t>
  </si>
  <si>
    <t>regions that lie between these bright spots. One possible ex-planation for this anticorrelation is that some mechanism inthe bright spot regions /H20849perhaps the formation of m=0 insta-</t>
  </si>
  <si>
    <t>Imaging of the spectrum produced by the R=100 mm</t>
  </si>
  <si>
    <t>rho linear scalar advection ∂tρ+v·∇ρ=0</t>
  </si>
  <si>
    <t>rd reaction-diffusion systems ∂tu=diag( Di)∇2u+f(u)</t>
  </si>
  <si>
    <t>ard advection-reaction-diffusion systems ∂tu+(v/p)·∇up=diag( Di)∇2u+f(u)</t>
  </si>
  <si>
    <t>nonlinear scalar nonlinear advection ∂tρ+∇·F(ρ,x,t)=g</t>
  </si>
  <si>
    <t>splitting strategies for B=B0+B1 Xia et al. (2018)</t>
  </si>
  <si>
    <t>split-off magneto-hydrostatic −∇p0+ρ0g+J0×B0=0 Yadav et al. (2022)</t>
  </si>
  <si>
    <t>prised between x=−4.5andx=4.5, and since it is 1D only,</t>
  </si>
  <si>
    <t>the final solution at t=1.8. A shock initially situated at x=−4</t>
  </si>
  <si>
    <t>(ρ,v,p)L=(3.86,2.63,10.33),</t>
  </si>
  <si>
    <t>(ρ,v,p)R=(1.0+0.2sin(5x),0,1.0).</t>
  </si>
  <si>
    <t>et al. 1983) in a three-step time integration, had zero gradientboundary conditions, and set the adiabatic index to γ=1.4.</t>
  </si>
  <si>
    <t>pt= 0.00</t>
  </si>
  <si>
    <t>pt= 1.80</t>
  </si>
  <si>
    <t>wenozp5,LR at t = 1.80</t>
  </si>
  <si>
    <t>Fig. 2. 1D Shu-Osher test. Comparison at final time t=1.8between</t>
  </si>
  <si>
    <t>late time ( t=50) in the evolution where multiple mergers and</t>
  </si>
  <si>
    <t>y=0, with</t>
  </si>
  <si>
    <t>y&gt;0 :ρ0=1.5, v x0=1</t>
  </si>
  <si>
    <t>y≤0 :ρ0=1, v x0=−1.5</t>
  </si>
  <si>
    <t>where ∆V=0.2, together with a uniform gas pressure p0=1/γ</t>
  </si>
  <si>
    <t>whereγ=5/3. The vertical velocity is seeded by white noise</t>
  </si>
  <si>
    <t>the exact same initial condition: the t=0data are first generated</t>
  </si>
  <si>
    <t>the setup here uses a discontinuous interface at t=0, which is</t>
  </si>
  <si>
    <t>Fig. 3, we contrast two runs at times t=20,40that only differ</t>
  </si>
  <si>
    <t>t=0data, it is clear how the nonlinear processes at play in</t>
  </si>
  <si>
    <t>different limiters in the center-to-face reconstructions: wenozp5 (left column) and venk (right column). We show density views at times t = 20</t>
  </si>
  <si>
    <t>(top row) and t = 40 (bottom row). The flow streamlines plotted here are computed by MPI-AMRVAC with its internal field line tracing functionality</t>
  </si>
  <si>
    <t>(ρdivdi)n+1=Tdi+ ∆t(αiρρdi(v−vdi))n+1,</t>
  </si>
  <si>
    <t>∀i=1..nd,</t>
  </si>
  <si>
    <t>(ρv)n+1=T+ ∆tndX</t>
  </si>
  <si>
    <t>i=1αiρρdi(vdi−v)n+1</t>
  </si>
  <si>
    <t>linear – that is, when we have the drag force fdi=αiρρdi(vdi−v)</t>
  </si>
  <si>
    <t>(ρdivdi)n+1−Tdi=Ni</t>
  </si>
  <si>
    <t>D,∀i=1..nd</t>
  </si>
  <si>
    <t>(ρv)n+1−T=N</t>
  </si>
  <si>
    <t>D=1+ndX</t>
  </si>
  <si>
    <t>k=1dk(∆t)k,</t>
  </si>
  <si>
    <t>Ni=ndX</t>
  </si>
  <si>
    <t>k=1nik(∆t)k,∀i=1..nd,</t>
  </si>
  <si>
    <t>k=1nk(∆t)k. (5)</t>
  </si>
  <si>
    <t>i=1αi(ρ+ρdi),</t>
  </si>
  <si>
    <t>where∀i=1..ndwe have</t>
  </si>
  <si>
    <t>ni1=αi(ρdiT−ρTdi);</t>
  </si>
  <si>
    <t>i=1αi(ρTdi−ρdiT),</t>
  </si>
  <si>
    <t>Fig. 4. As in Fig. 3, but this time in a coupled gas-dust evolution, at time t = 40, with one species of dust experiencing linear drag. In the top row,</t>
  </si>
  <si>
    <t>αdrag=102, and the bottom row shows a much stronger drag coupling, αdrag=1016. Left column: gas density. Right column: Dust density. The</t>
  </si>
  <si>
    <t>U=ρd1vd1</t>
  </si>
  <si>
    <t>ρv,P(U)=α1ρρd1(v−vd1)</t>
  </si>
  <si>
    <t>i=1αiρρdi(vdi−v). (10)</t>
  </si>
  <si>
    <t>P(Un+1)=∂P</t>
  </si>
  <si>
    <t>that the condition∇·∇× E=0is satisfied also at discrete level. In</t>
  </si>
  <si>
    <t>∇𝜇𝐹𝜇𝜈=−𝐽𝜈,∇𝜇𝐹∗𝜇𝜈=0, (1)</t>
  </si>
  <si>
    <t>∇𝜇(𝜌𝑢𝜇)=0,∇𝜇𝑇𝜇𝜈≡∇𝜇(𝑇𝜇𝜈</t>
  </si>
  <si>
    <t>𝜕𝑡+∇× E=0,𝜕E</t>
  </si>
  <si>
    <t>𝜕𝑡−∇× B=−J, (10)</t>
  </si>
  <si>
    <t>∇·B=0,∇·E=𝑞, (11)</t>
  </si>
  <si>
    <t>𝜕𝑡=−∇·F(𝑈)+𝑆𝑒(𝑈)+𝑆(𝑈), (12)</t>
  </si>
  <si>
    <t>byE=−v×B, so that ˜E=0.</t>
  </si>
  <si>
    <t>Δ𝑥,Δ𝑦andΔ𝑧. We will frequently use the notation 𝒄=(𝑖,𝑗,𝑘)</t>
  </si>
  <si>
    <t>𝑗=1˜𝑎𝑘𝑗ˆ𝑅𝒄+Δ𝑡𝑘∑︁</t>
  </si>
  <si>
    <t>˜𝑐𝑖=𝑖−1∑︁</t>
  </si>
  <si>
    <t>𝑗=1˜𝑎𝑖𝑗, 𝑐𝑖=𝑖∑︁</t>
  </si>
  <si>
    <t>Δ𝑥⟨𝑈⟩𝒄=⟨𝑈⟩𝒄−ˆe𝑥−2⟨𝑈⟩𝒄+⟨𝑈⟩𝒄+ˆe𝑥, (27)</t>
  </si>
  <si>
    <t>E=E∗−1</t>
  </si>
  <si>
    <t>the last explicit stage) and ˜𝜂=𝜂/(𝑎𝑘𝑘Δ𝑡)which is now a non-</t>
  </si>
  <si>
    <t>E=E(u). When𝜅=0, an initial guess for the four-velocity is</t>
  </si>
  <si>
    <t>𝜕𝑡+∇× E=0</t>
  </si>
  <si>
    <t>𝜕𝑡−∇× B=−𝜎E.(57)</t>
  </si>
  <si>
    <t>introduced ˆn=(0,cosΘ,sinΘ)as the oscillation direction of the</t>
  </si>
  <si>
    <t>is embedded in a constant magnetic field B=(1,0,0)which is pro-</t>
  </si>
  <si>
    <t>ideal tearing instability is 𝑘max=1.4𝑆1/6=14. The correspond-</t>
  </si>
  <si>
    <t>where𝑣sh=1/2istheshearvelocity, 𝑎=0.01istheshearthickness,</t>
  </si>
  <si>
    <t>A direct measure of the growth rate, quantified by Δ𝑣𝑦=</t>
  </si>
  <si>
    <t>𝑃(𝑘𝑥)=∫</t>
  </si>
  <si>
    <t>Figure8. Toppanels:growthrate(left)andvolume-integratedelectromagnetic 𝑃em=(B2+E2)/2(middle)andkinetic 𝐸kin=𝜌𝛾(𝛾−1)(right)asafunction</t>
  </si>
  <si>
    <t>Therein, the density is denoted by ρ, the pressure by p, the velocity ﬁeld by v=(u,v,w)</t>
  </si>
  <si>
    <t>and the magnetic ﬁeld by B=(B</t>
  </si>
  <si>
    <t>∇· B=0, (2)</t>
  </si>
  <si>
    <t>ρE=ρe+ρk+m with k=1</t>
  </si>
  <si>
    <t>total energy density ρEand can be computed as p=(γ−1)(ρE−ρk−m). Further, the</t>
  </si>
  <si>
    <t>4πρ,bn=√</t>
  </si>
  <si>
    <t>λ1,8=v·n∓cf,λ 2,7=v·n∓bn,λ 3,6=v·n∓cs,λ 4,5=v·n, (6)</t>
  </si>
  <si>
    <t>write q=˜qqref. The convective scale is given by vref=xref/tref,w h e r e xrefandtrefdenote</t>
  </si>
  <si>
    <t>speed cref, pressure pref=ρrefc2</t>
  </si>
  <si>
    <t>ref, speciﬁc internal energy eref=c2</t>
  </si>
  <si>
    <t>Introducing the plasma-beta parameter β=˜p/˜m, which is given by ratio between (reference)</t>
  </si>
  <si>
    <t>∂x=0, (12)</t>
  </si>
  <si>
    <t>∂x=0. (15)</t>
  </si>
  <si>
    <t>∂x=0, (16a)</t>
  </si>
  <si>
    <t>1,2,3,4=0,λc</t>
  </si>
  <si>
    <t>Thus sub-system ( 16a) is weakly hyperbolic since one eigenvector associated to λc=0</t>
  </si>
  <si>
    <t>∂x=0, (17a)</t>
  </si>
  <si>
    <t>1,2,3,4,5,6=0,λp</t>
  </si>
  <si>
    <t>∂x=0, (18a)</t>
  </si>
  <si>
    <t>1,2,3,4=0,λb</t>
  </si>
  <si>
    <t>Associated with λb=0 there are two eigenvectors missing thus the magnetic sub-system</t>
  </si>
  <si>
    <t>B=∇× A. Thirdly, the extension to second order time accuracy is carried out relying</t>
  </si>
  <si>
    <t>/Delta1x=xmax−xmin</t>
  </si>
  <si>
    <t>Nx,/Delta1 y=ymax−ymin</t>
  </si>
  <si>
    <t>Ny,/Delta1 z=zmax−zmin</t>
  </si>
  <si>
    <t>The time interval T=[0;tf]is discretized by time steps /Delta1t=tn+1−tnwhich are always</t>
  </si>
  <si>
    <t>the magnetic ﬁeld in one dimension reduces to ∂x(Bx)=0, thus the ﬁrst component of the</t>
  </si>
  <si>
    <t>magnetic ﬁeld needs to be constant, that is Bx=const .</t>
  </si>
  <si>
    <t>q⋆=qn−/Delta1t∂fc(qn)</t>
  </si>
  <si>
    <t>(ρu)n+1=ρu⋆−/Delta1t∂</t>
  </si>
  <si>
    <t>(ρv)n+1=ρv⋆−/Delta1t∂</t>
  </si>
  <si>
    <t>(ρw)n+1=ρw⋆−/Delta1t∂</t>
  </si>
  <si>
    <t>(ρu)n+1=(ρu)⋆−/Delta1t∂</t>
  </si>
  <si>
    <t>(ρE)n+1=(ρE)n−/Delta1t∂</t>
  </si>
  <si>
    <t>pn+1=(ρEn+1−ρkn−mn+1)(γ−1), (27)</t>
  </si>
  <si>
    <t>(ρE)n+1=(ρE)⋆+(γ−1)/Delta1t2∂</t>
  </si>
  <si>
    <t>ρE⋆=ρEn−/Delta1t∂</t>
  </si>
  <si>
    <t>(ρu)⋆⋆=(ρu)⋆−/Delta1t∂</t>
  </si>
  <si>
    <t>In multiple space dimension, the preservation of the divergence-free property of the magneticﬁeld at the discrete level is extremely important to ensure physically admissible solutions.According to [ 23], violating the ∇· B=0 constraint leads to non-physical phenomena,</t>
  </si>
  <si>
    <t>the magnetic ﬁeld by its curl. Thus, since ∇· B=∇· (∇× A)=0, the objective of the</t>
  </si>
  <si>
    <t>B−∇× A=0. (32)</t>
  </si>
  <si>
    <t>assuming that Bn=∇× Anis fulﬁlled at the current time step, the magnetic sub-system</t>
  </si>
  <si>
    <t>(ρv)n+1=(ρv)⋆−/Delta1t∇·((</t>
  </si>
  <si>
    <t>An+1=An−/Delta1tBn×(ρv)n+1</t>
  </si>
  <si>
    <t>(∇× An)·(∇× An+1)=Bn·(∇× An+1)and(∇× A)⊗(∇× A)≈(∇× An)⊗(∇× An+1)=</t>
  </si>
  <si>
    <t>the new magnetic ﬁeld as Bn+1=∇× An+1.</t>
  </si>
  <si>
    <t>We remark at this point, that the scheme is asymptotic preserving (AP) for Mb=1a n d</t>
  </si>
  <si>
    <t>b=O(1).</t>
  </si>
  <si>
    <t>∂t=H(qE(t),qI(t)), (37)</t>
  </si>
  <si>
    <t>length andλ s=c/ω psdenotes the skin depth of species s. While extended MHD provides</t>
  </si>
  <si>
    <t>it is unclear if the solver is able to preserve∇ ·B= 0since all variables, including the</t>
  </si>
  <si>
    <t>The quasi-neutral (n e=Zn i=nZ) extended magnetohydrodynamics (XMHD) model is</t>
  </si>
  <si>
    <t>∂t+∇ ·(ρu) = 0(1)</t>
  </si>
  <si>
    <t>∂t(ρu) +∇ ·(ρuu+PI) =J×B(2)</t>
  </si>
  <si>
    <t>∂t+∇ ·[u(E n+P)] =u·(J×B) +ηJ2(3)</t>
  </si>
  <si>
    <t>∂t+∇ ×E= 0(4)</t>
  </si>
  <si>
    <t>∂t−c2∇ ×B=−1</t>
  </si>
  <si>
    <t>∂t+∇ ·(u eSe) = (γ−1)n1−γ</t>
  </si>
  <si>
    <t>whereηis resistivity,ρ=m ini+m ene,J=e(Zn iui−n eue),u e=u−J</t>
  </si>
  <si>
    <t>ion charge,P e=S enγ−1</t>
  </si>
  <si>
    <t>eis electron pressure,E n=ρe+1</t>
  </si>
  <si>
    <t>density and assumed ideal equation of state thus,ρe=P</t>
  </si>
  <si>
    <t>densityS e=Pe</t>
  </si>
  <si>
    <t>∂t+∇ ·(ρu) = 0(8)</t>
  </si>
  <si>
    <t>∂t− ∇ ·(Bu−uB) =−∇ ×(E+u×B)(11)</t>
  </si>
  <si>
    <t>∂t−∇×B=−µ 0J) will simplify toJ=1</t>
  </si>
  <si>
    <t>wherev=L0</t>
  </si>
  <si>
    <t>∂t+∇ ·(ρu) = 0(17)</t>
  </si>
  <si>
    <t>∂t− ∇ ·(Bu−uB) =−∇ ×(E+u×B)(20)</t>
  </si>
  <si>
    <t>∂t+∇ ·(u eSe) =B2</t>
  </si>
  <si>
    <t>∇ ×B=J(22)</t>
  </si>
  <si>
    <t>L0n∇Pe=ηJ.(23)</t>
  </si>
  <si>
    <t>∂t+∇ ·(u eSe) =Q ei (24)</t>
  </si>
  <si>
    <t>∂t+∇ ·(u eSe) =n1−γ</t>
  </si>
  <si>
    <t>τiene+τeiniand takeν ie=neme</t>
  </si>
  <si>
    <t>the total pressure (e.g.,P=P i+P e) which enters the momentum (Eq. 18) and energy (Eq.</t>
  </si>
  <si>
    <t>is assuming that Ampere’s law and GOL relax toJ=∇ ×BandE=−u×Bsuch that</t>
  </si>
  <si>
    <t>wherek=x, y, zcorresponds to values at each edge and</t>
  </si>
  <si>
    <t>k, τ k=λe</t>
  </si>
  <si>
    <t>ψ(n i) =</t>
  </si>
  <si>
    <t>∂x=0,A(U) =∂F</t>
  </si>
  <si>
    <t>∂x=0,(33)</t>
  </si>
  <si>
    <t>C1= (γ−1)P eρu+ (1−γ)P eρ</t>
  </si>
  <si>
    <t>C2= (γ−1)P eρ2+P e.(35)</t>
  </si>
  <si>
    <t>det(λI−A p) =det(λI−A )det(λI−C ).(37)</t>
  </si>
  <si>
    <t>λ1=u−c f, λ 2=u−c a, λ 3=u−c s, λ 4=u,</t>
  </si>
  <si>
    <t>λ5=u+c s, λ 6=u+c a, λ 7=u+c f, λ 11=u−λiJx</t>
  </si>
  <si>
    <t>λ12=u−λiJx</t>
  </si>
  <si>
    <t>L0ρ, λ 13=u+c m, λ 14=u+c p,</t>
  </si>
  <si>
    <t>ρ,b=1√ρ(Bx, By, Bz), a∗2=a2+|b|2,(41)</t>
  </si>
  <si>
    <t>ca=Bx√ρ.(42)</t>
  </si>
  <si>
    <t>There are three new wavespeeds (λ 11=λ 12,λ13,λ14) where</t>
  </si>
  <si>
    <t>λes=u±rmi</t>
  </si>
  <si>
    <t>andJ 0=∇ ×Bderived from ideal MHD. To show relaxation and neglecting Hall term</t>
  </si>
  <si>
    <t>whereE=c2</t>
  </si>
  <si>
    <t>using HINT code for axis β= 4% plasma with a steep pressure gradient, which</t>
  </si>
  <si>
    <t>temperature ( T=Ti+Te). The approach allows us</t>
  </si>
  <si>
    <t>ρv, single-fluid temperature T=Te+Ti, magnetic fieldB, electric field Eand current density J:</t>
  </si>
  <si>
    <t>∂t=− ∇ · (nv) +∇ ·(D⊥∇(n−neq)) +Sn, (1)</t>
  </si>
  <si>
    <t>∂t=− ∇ · (ρvv)− ∇(nT) +J×B</t>
  </si>
  <si>
    <t>∂t=− ∇ · (Tv)−(γ−2)T∇ ·v</t>
  </si>
  <si>
    <t>∂tB=∇ ×E, (5)</t>
  </si>
  <si>
    <t>∇ ×B=µ0J, (6)</t>
  </si>
  <si>
    <t>subscript “eq” is the equilibrium component, γ=</t>
  </si>
  <si>
    <t>for the particle source, i.e. ST= (γ−1)(ˆST+</t>
  </si>
  <si>
    <t>∇∥=b(b·∇),∇∥,eq= (b−beq)(beq·∇) and∇⊥=∇−</t>
  </si>
  <si>
    <t>Figure 1. Kinetic energy evolution of LHD βaxis= 4% plasma</t>
  </si>
  <si>
    <t>the LHD plasma configuration of axis β= 4%,</t>
  </si>
  <si>
    <t>reached. It assumes a static equilibrium, i.e.,v=0.</t>
  </si>
  <si>
    <t>profile is determined by P=nT=n(Ti+Te).</t>
  </si>
  <si>
    <t>Figure 2. Plasma profiles versus major radius at Z= 0 m</t>
  </si>
  <si>
    <t>andϕ= (1/2)(2π/10) of the equilibrium pressure (top), density</t>
  </si>
  <si>
    <t>The central density is naxis= 4.5×1020m−3,</t>
  </si>
  <si>
    <t>and the edge value is nedge= 3.15×1020m−3. The</t>
  </si>
  <si>
    <t>the edge is Tedge = 0.07 keV. The pressure at the</t>
  </si>
  <si>
    <t>axis is Paxis= 137 .3 kPa and at the edge Pedge =</t>
  </si>
  <si>
    <t>spans 2 π/10 radians. The toroidal angle ϕ= 0</t>
  </si>
  <si>
    <t>while ϕ= (1/2)(2π/10) corresponds to the horizontally</t>
  </si>
  <si>
    <t>Figure 3. Poincar´ e plot of four different equispaced poloidal slices in the first periodic region ϕ= [0,2π/10] of the 3D equilibrium</t>
  </si>
  <si>
    <t>an entire periodic region ϕ= [0 ,2π/10]. Clear</t>
  </si>
  <si>
    <t>isRaxis = 3.6 m. The considered magnetic field</t>
  </si>
  <si>
    <t>and density at the axis are Baxis = 3 T and</t>
  </si>
  <si>
    <t>naxis= 4.5×1020m−3, respectively. The spatial</t>
  </si>
  <si>
    <t>where the values at the axis are: νaxis = 1.1×</t>
  </si>
  <si>
    <t>102m2s−1,ηaxis= 1.4×10−4Ωm, χ∥,axis= 1.1×</t>
  </si>
  <si>
    <t>0. Total pressure is P=nT=n(Ti+Te). The</t>
  </si>
  <si>
    <t>Sn= 0, ST= 0. The kinetic energy exponentially</t>
  </si>
  <si>
    <t>event in LHD βaxis= 4% plasma using the 3D non-linear non-</t>
  </si>
  <si>
    <t>time slices: linear stage ( t= 4.434 ms), near the</t>
  </si>
  <si>
    <t>CDC crash ( t= 5.018 ms) and the relaxation stage</t>
  </si>
  <si>
    <t>(t= 5.601 ms). The radial profiles are represented</t>
  </si>
  <si>
    <t>slice, ϕ= (1 /2)(2π/10) and Z= 0 m ( ≃axis).</t>
  </si>
  <si>
    <t>Figure 5. Radial profile versus major radius ( Z= 0 m, ϕ= (1/2)(2π/10)) for density (left), temperature (center) and pressure</t>
  </si>
  <si>
    <t>(right). The results are obtained with Sn= 0, ST= 0. Three time slices which correspond to the linear stage ( t= 4.434 ms) with</t>
  </si>
  <si>
    <t>solid lines, near the CDC crash ( t= 5.018 ms) with dash-dotted lines, and the relaxation stage ( t= 5.601 ms) with dotted lines, are</t>
  </si>
  <si>
    <t>horizontally elongated poloidal slice, ϕ= (1/2)(2π/10)</t>
  </si>
  <si>
    <t>been analyzed. The particle source is Sn= 0. The</t>
  </si>
  <si>
    <t>source is centered at the magnetic axis, i.e. µΦN= 0.0</t>
  </si>
  <si>
    <t>and has a width of σΦN= 0.12. In the toroidally</t>
  </si>
  <si>
    <t>asµϕ= (1 /2)(2π/10), i.e. at the first horizontally</t>
  </si>
  <si>
    <t>direction is σϕ= 0.05.</t>
  </si>
  <si>
    <t>atZ= 0 m for the two cases: 1) toroidally uniform</t>
  </si>
  <si>
    <t>Figure 6. 2D contour plots at ϕ= (1/2)(2π/10) of density (top), temperature (2nd row), radial momentum (3rd row) and Poincar´ e</t>
  </si>
  <si>
    <t>plot (bottom) for the case without external source for three different time slices which correspond to the linear stage ( t= 4.434 ms),</t>
  </si>
  <si>
    <t>near the CDC crash ( t= 5.018 ms) and the relaxation stage ( t= 5.601 ms). Equilibrium pressure contour lines are included in the</t>
  </si>
  <si>
    <t>conditions with Te=2e Va n d neon the order of 1015/m3.</t>
  </si>
  <si>
    <t>i/me=1826).</t>
  </si>
  <si>
    <t>for the shifted electron source conﬁguration. A Dirichlet BC of φ=0 V is implemented in the highlighted orange region in the inlet plane, surrounding the</t>
  </si>
  <si>
    <t>mapped to the leaf nodes to compute the total charge density,ρ=n</t>
  </si>
  <si>
    <t>cross-stream directions with Teo=2 eV and an initial number</t>
  </si>
  <si>
    <t>density of neo=1.0×1013/m3, similar to previous mesother-</t>
  </si>
  <si>
    <t>result in an initial Debye length, λdo=3.32×10−3m, initial</t>
  </si>
  <si>
    <t>electron plasma frequency, ωpeo=1.78×108rad/s, and initial</t>
  </si>
  <si>
    <t>electron thermal velocity, vteo=592,892 m/s. The ratio of</t>
  </si>
  <si>
    <t>initial ion to electron number densities, nio/neo=4, is similar</t>
  </si>
  <si>
    <t>above the ion source by one diameter length in the secondconﬁguration. A Dirichlet BC with φ=0 V is applied</t>
  </si>
  <si>
    <t>peo=600, 1000, 1500, and 2500</t>
  </si>
  <si>
    <t>Fig. 2(a)–(d). Initially, at tωpeo=600 and 1000, the electrons</t>
  </si>
  <si>
    <t>peo=1500, the electrons become trapped</t>
  </si>
  <si>
    <t>BC, normalized by ρo=e·neo.( a ) tωpeo=600. (b) tωpeo=1000.</t>
  </si>
  <si>
    <t>(c)tωpeo=1500. (d) tωpeo=2500.</t>
  </si>
  <si>
    <t>kinetic behavior is analyzed by sampling the electron velocitydistribution functions (EVDFs) at z=0.2 m, which is midway</t>
  </si>
  <si>
    <t>peo=2000 and 2200, the beam-front is located</t>
  </si>
  <si>
    <t>atz=0.34 and 0.4 m, respectively, and at tωpeo=2400,</t>
  </si>
  <si>
    <t>the EVDF is sampled at z=0.4 m. The evolution of the</t>
  </si>
  <si>
    <t>sampled z-EVDF at the beam-front and at z=0.2m ,a st h e</t>
  </si>
  <si>
    <t>z=0.34 m, at tω</t>
  </si>
  <si>
    <t>peo=2000, the sampled z-EVDF agrees well</t>
  </si>
  <si>
    <t>with the analytical Maxwellian distribution for Te=1.5e V</t>
  </si>
  <si>
    <t>peo=2200, as the beam-front approaches the domain</t>
  </si>
  <si>
    <t>boundary at z=0.4 m, we observe that the sampled EVDF</t>
  </si>
  <si>
    <t>z=0.2 m as the beam-front approaches the zmax domain boundary compared</t>
  </si>
  <si>
    <t>with the analytical Maxwell Boltzmann (MB) distribution at Te=1.5e V .</t>
  </si>
  <si>
    <t>(a)z-EVDF at the beam-front. (b) z-EVDF at z=0.2m .</t>
  </si>
  <si>
    <t>the z-EVDF at tωpeo=2400 shifts to the right, indicating</t>
  </si>
  <si>
    <t>peo=2000 and 2200, the z-EVDF of the electrons sampled</t>
  </si>
  <si>
    <t>atz=0.2 m agrees well with the analytical Maxwellian dis-</t>
  </si>
  <si>
    <t>tribution at Te=1.7 eV and at a bulk velocity of 30 000 m/s.</t>
  </si>
  <si>
    <t>It can be inferred that at tωpeo=2000, the z-component</t>
  </si>
  <si>
    <t>of the electron temperature decreases from Tez=1.7e Va t</t>
  </si>
  <si>
    <t>z=0.2mt o Tez=1.5e Va t z=0.34 due to plume expan-</t>
  </si>
  <si>
    <t>sion. At tωpeo=2200, even though the z-EVDF at z=0.4m</t>
  </si>
  <si>
    <t>indicates acceleration, the upstream z-EVDF at z=0.2</t>
  </si>
  <si>
    <t>agrees well with the Maxwellian. However, at tωpeo=2400,</t>
  </si>
  <si>
    <t>the upstream electrons at z=0.2 m also undergo acceleration</t>
  </si>
  <si>
    <t>z-EVDF, with the peak value at we/vteo=0.5, which is</t>
  </si>
  <si>
    <t>inlet plane boundary, i.e., the z=0 plane, the traditional</t>
  </si>
  <si>
    <t>a Dirichlet BC of φ=0 V is implemented in the region</t>
  </si>
  <si>
    <t>timestep in this article. If the buffer BC was invoked everytimestep at the z=z</t>
  </si>
  <si>
    <t>and electron charge densities normalized by ρo=e.neoattωpeo=2200.</t>
  </si>
  <si>
    <t>(b) Instantaneous electric potential variation at tωpeo=2200. (c) Ion and</t>
  </si>
  <si>
    <t>electron charge densities normalized by ρo=e.neoattωpeo=2400.</t>
  </si>
  <si>
    <t>Instantaneous electric potential variation at tωpeo=2400.</t>
  </si>
  <si>
    <t>small compared to the z=zmax boundary. At the cross-</t>
  </si>
  <si>
    <t>b=q(Ni,b−Ne,b)k</t>
  </si>
  <si>
    <t>ofWthand growth of an n=1 locked mode ( nis the toroidal</t>
  </si>
  <si>
    <t>andn=1 locked mode amplitude.</t>
  </si>
  <si>
    <t>∂N/∂t=4.12×1016r1.33</t>
  </si>
  <si>
    <t>Prad=PL+PRB+Pimp=nenNLrad,L+n2</t>
  </si>
  <si>
    <t>i=1nimp,iLimp,i, (2)</t>
  </si>
  <si>
    <t>measurements at 8.925s (blue crosses); middle: T=Ti=Teused in JOREK (red), Teat8.925s from TS (blue crosses) and Tiat8.868s</t>
  </si>
  <si>
    <t>input neandT(assuming Ti=Te) represent reasonably the</t>
  </si>
  <si>
    <t>up to n=10 are included in 3D simulations, while only the</t>
  </si>
  <si>
    <t>n=0 component is included in axisymmetric/2D simulations</t>
  </si>
  <si>
    <t>conciseness. We will thus use a fixed ∆E=50eV in the rest</t>
  </si>
  <si>
    <t>stage. Corresponding simulations with a fixed ∆E=50eV,</t>
  </si>
  <si>
    <t>∆drift=0cm, i.e. no teleportation (red curve in (a)) clearly</t>
  </si>
  <si>
    <t>The simulation with ∆drift=40cm (green trace) captures bet-</t>
  </si>
  <si>
    <t>∆drift=0in the teleportation model here effectively repres-</t>
  </si>
  <si>
    <t>∆drift=0as cases without plasmoid drifts in the rest of the</t>
  </si>
  <si>
    <t>∆drift=40cm. This delayed and much reduced assimilation</t>
  </si>
  <si>
    <t>The∂N/∂tof the case with ∆drift=40cm drops after the</t>
  </si>
  <si>
    <t>atoms of simulations without drifts (red) and with ∆drift=40cm (green), respectively.</t>
  </si>
  <si>
    <t>without drifts (red case in figure 9); dashed green and cyan in ( a)–(c):∆drift=40cm (green case in figure 9) att=0.978ms and 3.015ms,</t>
  </si>
  <si>
    <t>Figure 12. Magnetic energies of the n=1−10perturbations for</t>
  </si>
  <si>
    <t>shown in figures 10(up to t=1.832ms) and 13.</t>
  </si>
  <si>
    <t>and the collapse of the central Testarting from t=1.832ms</t>
  </si>
  <si>
    <t>Magnetic energies of the n=1−10perturbations in the</t>
  </si>
  <si>
    <t>monics up to t=0.496ms, when the vanguard fragments reach</t>
  </si>
  <si>
    <t>theq=3 surface (figure 13(a)). The mode spectrum becomes</t>
  </si>
  <si>
    <t>t=1.832ms. This in turn leads to lower Teand slower abla-</t>
  </si>
  <si>
    <t>antm/n=3/2mode as seen in figures 13(e) and ( f), where m</t>
  </si>
  <si>
    <t>SPI discharge. We also note here that ∆drift=40cm obtained</t>
  </si>
  <si>
    <t>nW=4.5×1015m−3to determine the effective nNEto match</t>
  </si>
  <si>
    <t>ulations except the red case are with ∆drift=40cm, which has</t>
  </si>
  <si>
    <t>the simulation with nNE=1×1018m−3(cyan trace) exhibits</t>
  </si>
  <si>
    <t>Figure 15. Magnetic energies of the n=1−10perturbations for the simulation with ∆drift=40cm,nNE=1×1018m−3and</t>
  </si>
  <si>
    <t>nW=4.5×1015m−3(cyan case in figure 14).</t>
  </si>
  <si>
    <t>∆drift=40cm,nNE=1×1018m−3andnW=4.5×1015m−3,</t>
  </si>
  <si>
    <t>The magnetic energy evolution of the n=1−10perturba-</t>
  </si>
  <si>
    <t>t=0 and t≈3.5ms in the simulation (section 2), respect-</t>
  </si>
  <si>
    <t>ively. With a ∆drift=40cm in the teleportation model, the</t>
  </si>
  <si>
    <t>group of plasmoids, including a fast growth of n=1 activity</t>
  </si>
  <si>
    <t>modes grow consecutively, for example n=2 from 6.5ms,</t>
  </si>
  <si>
    <t>n=3 from 6.8ms and modes with higher nnumbers from</t>
  </si>
  <si>
    <t>7.1ms. The n=1 activity remains the strongest in entire phase.</t>
  </si>
  <si>
    <t>The existence of strong n=1 activity around the onset of</t>
  </si>
  <si>
    <t>the blue trace is identified to be on the q=3 surface, indicat-</t>
  </si>
  <si>
    <t>ing a strong cooling of a flux tube with q=3. Comparing the</t>
  </si>
  <si>
    <t>Figure 16. Visible emission structures at 9.04504 s in JET #96874 (i.e.t=6.04ms in this paper), taken both from the KLDT camera</t>
  </si>
  <si>
    <t>with the equilibrium magnetic field lines and is identified to reside on the q=3 surface.</t>
  </si>
  <si>
    <t>power density peaks around the q=3 surface from t=2ms,</t>
  </si>
  <si>
    <t>contraction in the outer region (around q=3). These indicate</t>
  </si>
  <si>
    <t>that both the helical cooling and n=0 current contraction play</t>
  </si>
  <si>
    <t>a role in the onset of MHD activities here. At t=2ms (green</t>
  </si>
  <si>
    <t>equations based on the resistive MHD model can be expressed usingthe Lagrangian derivative d=dt¼@=@tþv/C1r, shown as follows:</t>
  </si>
  <si>
    <t>P=CVis the adiabatic index, CVis the speciﬁc heat at</t>
  </si>
  <si>
    <t>particles near the center particle i,a n d m=qi st h ep a r t i c l ev o l u m e .</t>
  </si>
  <si>
    <t>smoothing length in units of average particle spacing m=qðÞ1=d,w h i c h</t>
  </si>
  <si>
    <t>By¼0:5/C00:5 exp x=dðÞ</t>
  </si>
  <si>
    <t>1þexpx=dðÞ; (39)</t>
  </si>
  <si>
    <t>¼3:1831/C210/C05r2g=cm3;vr¼/C03:241 01 /C2107cm=s, B /¼6:355 84</t>
  </si>
  <si>
    <t>search/search.aspx?orig_q=RN:40095483</t>
  </si>
  <si>
    <t>response. In section 5simulations of axisymmetric (n=0)</t>
  </si>
  <si>
    <t>B×n=f(A×n,Iw) =MvacA×n+MIIw (1)</t>
  </si>
  <si>
    <t>∂t=−E− ∇Φ (2)</t>
  </si>
  <si>
    <t>∂t=−ρv· ∇v− ∇p+J×B+∇ ·τ+Sv (3)</t>
  </si>
  <si>
    <t>∂t=−∇ · (ρv) +∇ ·(D∇ρ) +Sρ (4)</t>
  </si>
  <si>
    <t>∂t=−v· ∇p−γp∇ ·v+∇ ·(κ∇T)</t>
  </si>
  <si>
    <t>B=F0∇ϕ+∇ψ× ∇ϕ (7)</t>
  </si>
  <si>
    <t>A=ψ∇ϕ (8)</t>
  </si>
  <si>
    <t>v=R2∇ϕ× ∇(Φ/F0) +v∥B (9)</t>
  </si>
  <si>
    <t>∂t=−E=v×B−ηJ. (10)</t>
  </si>
  <si>
    <t>A=ψ∇ϕis carried out leveraging the ϕ-projection of the</t>
  </si>
  <si>
    <t>magnetostatic equation ∇ × ∇ × A=µ0J, which yields the</t>
  </si>
  <si>
    <t>−µ0RJϕ=R2∇ ·1</t>
  </si>
  <si>
    <t>∂Z2= ∆∗ψ (11)</t>
  </si>
  <si>
    <t>which is expressed in a more compact form as ∆∗ψ=j</t>
  </si>
  <si>
    <t>Btan,poldS=0 (12)</t>
  </si>
  <si>
    <t>where the vector identity ∇ ·(X×Y) =Y· ∇ × X−X· ∇ ×</t>
  </si>
  <si>
    <t>∂Vinη(B×F∗)·ndS=−‹</t>
  </si>
  <si>
    <t>∇ × B=µ0J inΩext</t>
  </si>
  <si>
    <t>B=∇ × A inΩext</t>
  </si>
  <si>
    <t>n×A|∂Vin=aton∂Ωext</t>
  </si>
  <si>
    <t>define the difference δB=B1−B2. Due to the linearity of</t>
  </si>
  <si>
    <t>3Note that the relation J=∇× B, not accounting for the magnetic per-</t>
  </si>
  <si>
    <t>Ωext|δB|2dV=˚</t>
  </si>
  <si>
    <t>which, exploiting the vector identity ∇ ·(A×B) =B· ∇ ×</t>
  </si>
  <si>
    <t>∇ × ∇ × A=µ0J (16)</t>
  </si>
  <si>
    <t>∇ ·J=0 (17)</t>
  </si>
  <si>
    <t>uniqueness, the Coulomb gauge ∇ ·A=0is chosen so that</t>
  </si>
  <si>
    <t>∇ × ∇ × A=∇</t>
  </si>
  <si>
    <t>− ∇2A=µ0J. (19)</t>
  </si>
  <si>
    <t>τ, it penetrates into the conductor in the limits dictated by theskin depthδskin=p</t>
  </si>
  <si>
    <t>∂t=−(E+∇Φ) =µ0</t>
  </si>
  <si>
    <t>dw− ∇Φw=µ0</t>
  </si>
  <si>
    <t>j∗=∇I∗×n (26)</t>
  </si>
  <si>
    <t>j∗satisfies the divergence-free condition ∇s·j∗=0by con-</t>
  </si>
  <si>
    <t>metric mode numbers n=0 and m=0 [12,17]. While the tor-</t>
  </si>
  <si>
    <t>∇s·(σwdw∇Φw) =−J|inner,w·n=−J|plasma·n (29)</t>
  </si>
  <si>
    <t>J=−σ∂A</t>
  </si>
  <si>
    <t>in a Coulomb gauge ∇ ·A=0. The con-</t>
  </si>
  <si>
    <t>dition ∇ ·J=0(valid for halo currents [ 18]) implies that in</t>
  </si>
  <si>
    <t>Φw=0, which is the case under study.</t>
  </si>
  <si>
    <t>unknown even in absence of halo currents (J|plasma·n=0).</t>
  </si>
  <si>
    <t>local triangle nodes and rij=ri−rj. With this representation,</t>
  </si>
  <si>
    <t>MppIp+MpwIw=2X</t>
  </si>
  <si>
    <t>l=1Mpe,lAe</t>
  </si>
  <si>
    <t>i=1j∆′</t>
  </si>
  <si>
    <t>boundary Sp; therefore the field points are at r′=r+nδand this surface is</t>
  </si>
  <si>
    <t>l=1M∥e,lAe</t>
  </si>
  <si>
    <t>∂t+ ∇ · (−D e∇ce+uece)=Re (1)</t>
  </si>
  <si>
    <t>∂t+ ∇ · (−D n∇cn+uncn)=Re (3)</t>
  </si>
  <si>
    <t>∇ ·(ε0εr∇V)= −N Aq(</t>
  </si>
  <si>
    <t>E= −∇ V (5)</t>
  </si>
  <si>
    <t>charged particle, mol·m−3, and NA=6.02×1023mol−1</t>
  </si>
  <si>
    <t>•The diffusive flux Ji=Di∇ci, mol·m−2·s−1, emerges</t>
  </si>
  <si>
    <t>Re=αce|ue|−ηce|ue|−NAβepcecp+R0+Rph (6)</t>
  </si>
  <si>
    <t>Rp=αce|ue|−NAβepcecp−NAβpncpcn+R0+Rph(7)</t>
  </si>
  <si>
    <t>Rn=ηce|ue|−NAβpncpcn (8)The following descriptions outline the mechanisms involved</t>
  </si>
  <si>
    <t>electric field. In (4)and(5),ε0=8.85×10−12F·m−1</t>
  </si>
  <si>
    <t>fluxes through the electrode surface, Fi|norm=qciui|norm,</t>
  </si>
  <si>
    <t>the number density of gas molecules, m−3,kB=1.38×</t>
  </si>
  <si>
    <t>at the beginning of the simulation, i.e., at t=0 s, or the</t>
  </si>
  <si>
    <t>set at t=0 are used to calculate the solution at the first</t>
  </si>
  <si>
    <t>condition is equivalent to setting −n·(−D i∇ci+uci)=</t>
  </si>
  <si>
    <t>convective flux and diffusive flux is zero, n·D i∇ci=0);</t>
  </si>
  <si>
    <t>defined mathematically as n·D=0, where D=ε0εrEis</t>
  </si>
  <si>
    <t>setting the potential to zero (V =0) using the Ground</t>
  </si>
  <si>
    <t>h=1 (13)</t>
  </si>
  <si>
    <t>electrode is consistently situated at z=0, this configuration</t>
  </si>
  <si>
    <t>to the gap distance between the electrodes, i.e., bh=G.</t>
  </si>
  <si>
    <t>hz)−z′2/z), yields R=a2</t>
  </si>
  <si>
    <t>ofR=0.25 mm and G=3.3 mm across all cases. However,</t>
  </si>
  <si>
    <t>Here, c0,max =1016mol·m−3is the peak initial molar</t>
  </si>
  <si>
    <t>0e=γcp⏐⏐up⏐⏐, mol·m−2·s−1, where γis a dimensionless</t>
  </si>
  <si>
    <t>of curvature of R=0.25 mm and gap distance of G=</t>
  </si>
  <si>
    <t>z=bh(√</t>
  </si>
  <si>
    <t>z=ap(r−hp)2+kp (18)</t>
  </si>
  <si>
    <t>r=0 and the vertex is located at a distance Gfromthe grounded plane (z =0), the vertex coordinate(</t>
  </si>
  <si>
    <t>radius of curvature at the parabola’s vertex: R=1/2a p.</t>
  </si>
  <si>
    <t>z=r2/2R+G (19)</t>
  </si>
  <si>
    <t>e=1 (20)</t>
  </si>
  <si>
    <t>(0,G), as determined by Eq. (14), is given by R=a2</t>
  </si>
  <si>
    <t>e+r2/beR=1 (21)</t>
  </si>
  <si>
    <t>has a consistent radius of R=0.25 mm. These needles are</t>
  </si>
  <si>
    <t>and meet along the axis of symmetry at r=0. By modifying</t>
  </si>
  <si>
    <t>M(t) =ρ0l0π(r2</t>
  </si>
  <si>
    <t>U(t) =−πr2</t>
  </si>
  <si>
    <t>α=vuutµ0C2</t>
  </si>
  <si>
    <t>β= µ0l0</t>
  </si>
  <si>
    <t>t=0= 0, (17)</t>
  </si>
  <si>
    <t>t=0=− α√</t>
  </si>
  <si>
    <t>t=0= 1. (19)</t>
  </si>
  <si>
    <t>pressure - i.e.when we put Fk= 0 on the right hand side of Eqn.(8)-</t>
  </si>
  <si>
    <t>Ei(t) =−E0βZt</t>
  </si>
  <si>
    <t>U(t) =−E0 β</t>
  </si>
  <si>
    <t>be specific to each case and we will choose it in a way that t=tp.</t>
  </si>
  <si>
    <t>and Eqn.(31) is carried out by setting t=tpas the upper limit of</t>
  </si>
  <si>
    <t>7000 timesteps (δ t=0.32µs. The measurement volume was</t>
  </si>
  <si>
    <t>30 cm on a side in (δ x=δy=0.5 cm) on 15 planes</t>
  </si>
  <si>
    <t>transverse to the background magnetic field ( B0z=330 G).</t>
  </si>
  <si>
    <t>transverse ( Bx–By) magnetic field on a plane z=512 cm</t>
  </si>
  <si>
    <t>Fig. 1. Vector plot of the transverse magnetic field at z=512 cm and</t>
  </si>
  <si>
    <t>t=5.673 ms. The axial component, Bz, is suppressed. The background colors</t>
  </si>
  <si>
    <t>z=5 m, and it is the largest near the axis of the machine.</t>
  </si>
  <si>
    <t>the current channels are shown on the right-hand side. The data plane is at z=0. The maximum current density J(5.3 A/cm2) is colored red. A colormap</t>
  </si>
  <si>
    <t>is provided at the top. The data plane at z=0, on the right-hand side, is 30 cm on a side; however, the axial distance ( z) spans 9 m. The current permeates</t>
  </si>
  <si>
    <t>z=0, and the first transverse plane upon which data are acquired is at z=64 cm.</t>
  </si>
  <si>
    <t>PLASMA PHYSICS . M=MANUAL ; CA=COMPUTER -AIDED</t>
  </si>
  <si>
    <t>defined by ξM¼ðM=M ⊙Þ=ðRðMÞ=1000 kmÞ, where RðMÞis</t>
  </si>
  <si>
    <t>grates the velocity-dependent (order v=c of the fluid</t>
  </si>
  <si>
    <t>LPDE=||∂tu(n)</t>
  </si>
  <si>
    <t>the regularization term LΞ=λ||Ξk||1to promote sparsity, yielding L = L data+ LPDE+ LΞ. The</t>
  </si>
  <si>
    <t>which also uses a combined loss function of the form L = L data+ LPDE+ LΞ. The novelty in</t>
  </si>
  <si>
    <t>n=1where x(n)is the spatial location, t(n)is the time, and u(n)is the state</t>
  </si>
  <si>
    <t>ˆu(x, t) :=σL(Wkσk−1(Wk−1···σ1(W1xt−r:t))), (1)</t>
  </si>
  <si>
    <t>where θ= (W1, . . . ,WL)withW1∈Rd×p,Wi∈Rp×p,WL∈Rp×1, and σi(x)represents the</t>
  </si>
  <si>
    <t>n=1, dictionary map Θ, sparsity threshold λ</t>
  </si>
  <si>
    <t>n=1u(n)−fθ(x(n), t(n))2</t>
  </si>
  <si>
    <t>5:forn= 1, . . . , N do</t>
  </si>
  <si>
    <t>n=1▷build dictionary</t>
  </si>
  <si>
    <t>ˆ ut=∂tˆuθ(x(n), t(n)). Then, the algorithm runs SINDy on the bootstrapped dataset ˜Dto perform</t>
  </si>
  <si>
    <t>m=1, which enables</t>
  </si>
  <si>
    <t>ut+uux= 0.5uxx100 1% 66.7% 18 ut+ 1.03uux= 0.59uxx</t>
  </si>
  <si>
    <t>1000 1% 100.0% 20 ut+ 0.98uux= 0.47uxx</t>
  </si>
  <si>
    <t>2500 1% 100.0% 20 ut+ 1.00uux= 0.49uxx</t>
  </si>
  <si>
    <t>5000 1% 100.0% 21 ut+ 1.00uux= 0.49uxx</t>
  </si>
  <si>
    <t>100 10% 50.0% 25 ut+ 0.98uux= 0.41uxx</t>
  </si>
  <si>
    <t>1000 10% 100.0% 25 ut+ 0.94uux= 0.39uxx</t>
  </si>
  <si>
    <t>2500 50% 80.0% 25 ut+ 0.79uux= 0.37uxx</t>
  </si>
  <si>
    <t>5000 75% 80.0% 25 ut+ 0.73uux= 0.37uxx</t>
  </si>
  <si>
    <t>ut=uxx500 1% 8.3% 29 ut= 0.35uxx</t>
  </si>
  <si>
    <t>1000 1% 91.7% 29 ut= 0.59uxx</t>
  </si>
  <si>
    <t>2500 1% 91.7% 30 ut= 0.75uxx</t>
  </si>
  <si>
    <t>4000 1% 100.0% 30 ut= 0.85uxx</t>
  </si>
  <si>
    <t>500 5% 8.3% 29 ut= 0.27uxx</t>
  </si>
  <si>
    <t>1000 10% 91.7% 29 ut= 0.48uxx</t>
  </si>
  <si>
    <t>2500 25% 8.3% 30 ut= 0.43uxx</t>
  </si>
  <si>
    <t>4000 25% 50.0% 30 ut= 0.33uxx</t>
  </si>
  <si>
    <t>ut+ 6uux+uxxx= 0100 5% 8.3% 48 ut+ 1.2uux+ 0.18uxxx= 0</t>
  </si>
  <si>
    <t>500 5% 25.0% 52 ut+ 5.75uux+ 0.98uxxx= 0</t>
  </si>
  <si>
    <t>1000 5% 75.0% 56 ut+ 5.38uux+ 0.84uxxx= 0</t>
  </si>
  <si>
    <t>2000 5% 83.3% 69 ut+ 5.89uux+ 1.00uxxx= 0</t>
  </si>
  <si>
    <t>100 10% 0.0% 48 ut+ 2.34uux+ 1.06ux= 0</t>
  </si>
  <si>
    <t>500 10% 50.0% 52 ut+ 5.31uux+ 0.79uxxx= 0</t>
  </si>
  <si>
    <t>1000 25% 41.6% 56 ut+ 5.03uux+ 0.73uxxx= 0</t>
  </si>
  <si>
    <t>2000 50% 66.7% 40 ut+ 5.02uux+ 0.84uxxx= 0</t>
  </si>
  <si>
    <t>∂tu=−∇ · (⃗ cu) + 0.5∇2u500 10% 100.0% 31 ut+ 0.24ux+ 0.49uy= 0.49uxx+ 0.49uyy</t>
  </si>
  <si>
    <t>2000 10% 100.0% 33 ut+ 0.25ux+ 0.50uy= 0.49uxx+ 0.49uyy</t>
  </si>
  <si>
    <t>4000 10% 100.0% 36 ut+ 0.25ux+ 0.51uy= 0.48uxx+ 0.49uyy</t>
  </si>
  <si>
    <t>6000 10% 100.0% 38 ut+ 0.25ux+ 0.50uy= 0.50uxx+ 0.48uyy</t>
  </si>
  <si>
    <t>500 25% 8.3% 31 ut+ 0.27ux+ 0.50uy= 0.45uxx+ 0.48uyy</t>
  </si>
  <si>
    <t>2000 25% 100.0% 33 ut+ 0.24ux+ 0.49uy= 0.47uxx+ 0.47uyy</t>
  </si>
  <si>
    <t>4000 50% 91.6% 36 ut+ 0.24ux+ 0.51uy= 0.45uxx+ 0.48uyy</t>
  </si>
  <si>
    <t>6000 75% 25.0% 38 ut+ 0.28ux+ 0.48uy= 0.49uxx+ 0.45uyy</t>
  </si>
  <si>
    <t>u(0, t) =u(2π, t). (3)</t>
  </si>
  <si>
    <t>n=1where Nis the sample size.</t>
  </si>
  <si>
    <t>i.e.u(0, t) =u(π, t).</t>
  </si>
  <si>
    <t>ut+uux+uxxx= 0, (6)</t>
  </si>
  <si>
    <t>∂tu=−∇ · (⃗ cu) +K∇2u, (8)</t>
  </si>
  <si>
    <t>where uis the concentration, ⃗ c= (0.25,0.5)is the velocity vector, and Kis the diffusion coefficient.</t>
  </si>
  <si>
    <t>B =magnetic field</t>
  </si>
  <si>
    <t>E =electricfield</t>
  </si>
  <si>
    <t>e =electroncharge</t>
  </si>
  <si>
    <t>M =molecularweightoftheneutralgas</t>
  </si>
  <si>
    <t>nXe =densityo fneutralxenongas</t>
  </si>
  <si>
    <t>c=chargeexchangeratebetweenneutralxenonandoxygenion</t>
  </si>
  <si>
    <t>i=gyrofrequencyofxenonion</t>
  </si>
  <si>
    <t>LH =lowerhybridplasmamodetimescale</t>
  </si>
  <si>
    <t>qi =chargeofion</t>
  </si>
  <si>
    <t>H =electronheatingtime</t>
  </si>
  <si>
    <t>VXe =thecomponentofthexenongasvelocityperpendiculartothemagneticfield</t>
  </si>
  <si>
    <t>VS=satellitevelocity</t>
  </si>
  <si>
    <t>VG=gasvelocityrelativetothesatellite</t>
  </si>
  <si>
    <t>length by c=xpe.EandBare the normalized electric and magnetic</t>
  </si>
  <si>
    <t>g,ue¼0:0;0:0;0:0 fg ,mi=me¼1836 :0,ai¼ﬃﬃﬃﬃﬃﬃﬃﬃﬃﬃﬃﬃﬃ</t>
  </si>
  <si>
    <t>me=mip</t>
  </si>
  <si>
    <t>¼0:0;0:0;0:0 fg ,a n d xpe=xce¼1:0.14</t>
  </si>
  <si>
    <t>damping rate ( c=xpe¼/C0 0:851). In the legend, “Double ”denotes double precision,</t>
  </si>
  <si>
    <t>xisx=xpe¼2:05/C00:851i, and the simulation using</t>
  </si>
  <si>
    <t>ing rate ( c=xpe¼/C00:851). The deviation from linear damping near</t>
  </si>
  <si>
    <t>0:02;0:02g, ue¼0:0;0:0;0:0 fg , mi=me¼1836 :0, ai</t>
  </si>
  <si>
    <t>,ui¼0:0;0:0;0:0 fg ,a n d xpe=xce¼4:0. The back-</t>
  </si>
  <si>
    <t>16xce=x: (4)</t>
  </si>
  <si>
    <t>,ue¼0:0;0:0;0:0 fg ,mi=me¼1836 :0, ai</t>
  </si>
  <si>
    <t>,ui¼0:0;0:0;0:0 fg ,a n d xpe=xce¼1:0. Thebackground plasma was uniform at t¼0, and Ce;0;0;0</t>
  </si>
  <si>
    <t>e¼1:0;0:0;0:0 fg ,mi=me¼1836 :0, ai</t>
  </si>
  <si>
    <t>,ui¼0:0;0:0;0:0 fg ,xpe=xce¼1:0,</t>
  </si>
  <si>
    <t>and 0 :813k0(k0¼xpe=c) from the hardware solver compared to the</t>
  </si>
  <si>
    <t>e¼1:0;0:0;0:0 fg ,mi=me¼1836 :0,ai¼0:5ﬃﬃﬃﬃﬃﬃﬃﬃﬃﬃﬃﬃﬃ</t>
  </si>
  <si>
    <t>1:0;1:0g,ui¼0:0;0:0;0:0 fg ,xpe=xce¼1:0,Cþ</t>
  </si>
  <si>
    <t>a=c2/C281, i.e.,</t>
  </si>
  <si>
    <t>2eUi=mgp</t>
  </si>
  <si>
    <t>these units ( k¼Dt=Dx), governs the dynamical evolution on</t>
  </si>
  <si>
    <t>a=c2/C281. This relationship is al-</t>
  </si>
  <si>
    <t>tion. Nearly all ions to the left of s= 15 km are the result</t>
  </si>
  <si>
    <t>ni = nnnT (oionvT) , (3)</t>
  </si>
  <si>
    <t>^ion = nn (oi0QVT) , (5)</t>
  </si>
  <si>
    <t>/\r = (10)</t>
  </si>
  <si>
    <t>the mass loading factor. 2m = 1 corresponds to the</t>
  </si>
  <si>
    <t>B jD = ammnv*j_ni. (12)</t>
  </si>
  <si>
    <t>h'll = h 4 VA Tinj</t>
  </si>
  <si>
    <t>combined with the preceding equations yields /P = (13)</t>
  </si>
  <si>
    <t>JE1^(dE1/dt)rini = kllamE1*. (17)</t>
  </si>
  <si>
    <t>[10] derived rje = 2/3. With decreasing ionization</t>
  </si>
  <si>
    <t>/' = - e n{ VD = Bmn hx v*±. (22)</t>
  </si>
  <si>
    <t>ε(ω)=ε0[ε∞+χ(ω)] (1)where ε∞is the relative dielectric constant at infinity, ε0is the</t>
  </si>
  <si>
    <t>χ(ω)= −ω2</t>
  </si>
  <si>
    <t>υc=nsσes√</t>
  </si>
  <si>
    <t>σes=˜as+˜bsTe+˜csT2</t>
  </si>
  <si>
    <t>∇ ×E= −∂B</t>
  </si>
  <si>
    <t>∇ ×H=∂D</t>
  </si>
  <si>
    <t>D(ω)=ε(ω)E(ω) (4)</t>
  </si>
  <si>
    <t>˜D(ω)=ε(ω)˜E(ω)=ε0(ε∞+σ</t>
  </si>
  <si>
    <t>ε(ω)=ε0(1+ω2</t>
  </si>
  <si>
    <t>ω(jνc−ω))=ε0(1+ω2</t>
  </si>
  <si>
    <t>ε(z)=1</t>
  </si>
  <si>
    <t>I(z)=1tω2</t>
  </si>
  <si>
    <t>S(z)= −−1tω2</t>
  </si>
  <si>
    <t>D(z)=ε0[ε∞E(z)+I(z)+S(z)]π</t>
  </si>
  <si>
    <t>E(z)=D(z)−ε0z−1I(z)−ε0exp(−νc1t)z−1S(z)</t>
  </si>
  <si>
    <t>∂t)=ε(ω)·jωE(ω)</t>
  </si>
  <si>
    <t>J(ω)=ω2</t>
  </si>
  <si>
    <t>z−11t)=ω2</t>
  </si>
  <si>
    <t>J(t)n=(1-ν c1t)J(t)n−1+ω2</t>
  </si>
  <si>
    <t>E(t)n=1t</t>
  </si>
  <si>
    <t>Ei=exEime−jk1z</t>
  </si>
  <si>
    <t>Hi=eyEim</t>
  </si>
  <si>
    <t>Er=exREimejk1z</t>
  </si>
  <si>
    <t>R=Zc2−Zc1</t>
  </si>
  <si>
    <t>RCS(f)=10lg(4π r2⏐⏐⏐⏐Ex(f)</t>
  </si>
  <si>
    <t>frequency are ωp=2π×28.7×109rad/s,υ c=2.0×1010Hz,</t>
  </si>
  <si>
    <t>a plasma ball (ω p=2π×28.7×109rad/s,υ c=2.0×</t>
  </si>
  <si>
    <t>1010Hz,r=3.5mm). The incident wave is a Gaussian pulse,</t>
  </si>
  <si>
    <t>Yee-cell step size δ=0.0875mm, the number of iteration is</t>
  </si>
  <si>
    <t>slab of plasma is d=r2−r1=0.03m, the plane wave has</t>
  </si>
  <si>
    <t>a wavelength of λ=0.08m, Yee-cell step size δ=λ/40. The</t>
  </si>
  <si>
    <t>mirror machine designed to have a plasma axially conﬁned by supersonic rotation and dominantlyinterchange stable by the radial shear in the azimuthal velocity. Nevertheless, residual ﬂuctuationsstill persist. To investigate the presence of such ﬂuctuations, an azimuthal array of 16 magneticpickup coils at the edge region of the plasma has been employed. A comprehensive analysis of themagnetic ﬂuctuations reveals that, under the imposed shear ﬂow, only m=0 and m=2 modes are</t>
  </si>
  <si>
    <t>plasma, a=0.2 m, interpreted from the vacuum conﬁguration</t>
  </si>
  <si>
    <t>of the magnetic ﬁeld, B=2 kG, at a known mirror ratio, Rm</t>
  </si>
  <si>
    <t>azimuthal array is halfway between the midplane and themirror throat at a radius of 0.24 m. Because of their uniformseparation in the azimuthal direction, the resolution of modenumbers up to m=8 is obtained. Each pickup coil is about</t>
  </si>
  <si>
    <t>with frequency around 6 kHz, and an m=2 mode with a</t>
  </si>
  <si>
    <t>power spectrum shows that the various sidebands within thebroadband structure are separated by 6 kHz, indicating apossible nonlinear mode coupling between the m=2 mode</t>
  </si>
  <si>
    <t>and the low frequency m=0 mode.</t>
  </si>
  <si>
    <t>employed instead of the bicoherence. For the experimentalobservations, the summed bicoherence plot shows that thebroadening of the high frequency component is indeed a re-sult of strong nonlinear coupling to a low frequency mode at6 kHz /H20849m=0/H20850/H20851Fig.7/H20849b/H20850/H20852.</t>
  </si>
  <si>
    <t>period. As the magnitude of the plasma voltage drops /H20849m=0/H20850, a sharp decrease in the measured density is observed.</t>
  </si>
  <si>
    <t>pressure gradient destabilizes the m=2 interchange mode.</t>
  </si>
  <si>
    <t>speed. In the simulations T=0.1 and F=−2.0. For conversion</t>
  </si>
  <si>
    <t>to real units, t0=/H20881a/g=0.4/H9262s,n0=4.5/H110031014cm−3,B</t>
  </si>
  <si>
    <t>simulations presented in this paper are Nx=30 and Nz=90.</t>
  </si>
  <si>
    <t>azimuthal ﬂow. Random noise with an amplitude of 0.02 isadded to each grid point using a random number generatoruniformly distributed between 0.02 and −0.02. The ﬂuctua-tions driven by the interchange modes in case of no shearﬂow grow very rapidly within a very short time. Figures10/H20849a/H20850and10/H20849b/H20850are plotted for t=20. As seen in Fig. 10/H20849a/H20850,</t>
  </si>
  <si>
    <t>time. As expected, the azimuthal spectrum is dominated byanm=2 component which has a bursty, intermittent charac-</t>
  </si>
  <si>
    <t>bursting feature of the m=2 ﬂuctuations is clearly a common</t>
  </si>
  <si>
    <t>feature. However, unlike the experimental observations, thesimulations also have an m=1 component. Both plots show</t>
  </si>
  <si>
    <t>the presence of the m=1 mode in the simulations, there are</t>
  </si>
  <si>
    <t>additional features in the bicoherence plot indicating qua-dratic mode coupling between m=0 and m=1 modes. The</t>
  </si>
  <si>
    <t>presence of the m=1 ﬂuctuations makes the cross-</t>
  </si>
  <si>
    <t>bicoherence plot accentuating the broadening of frequencycomponents of m=1 mode, unlike that in the observed cross-</t>
  </si>
  <si>
    <t>bicoherence where the quadratic coupling is only betweenthe low frequency from the m=0 and the broadband high−15−10−50</t>
  </si>
  <si>
    <t>ﬂow, F=0. Again, the density is normalized to 4.5 /H110031014cm−3andVzis in</t>
  </si>
  <si>
    <t>frequency m=2. Similarly in the summed bicoherence results</t>
  </si>
  <si>
    <t>the presence of the m=1 ﬂuctuations, the spectrum is ﬁlled in</t>
  </si>
  <si>
    <t>between the low frequency m=0 and the high frequency m</t>
  </si>
  <si>
    <t>zand then averaging in zto get the m=0 component, andvoltage computed from rate of change of magnetic ﬂux to</t>
  </si>
  <si>
    <t>for a clear separation in time scale for the m=0 activity</t>
  </si>
  <si>
    <t>which epitomizes the transport and the m=2, for which there</t>
  </si>
  <si>
    <t>the data. However, in the simulations with the occurrence ofthem=1 structure, clear separation between these two time</t>
  </si>
  <si>
    <t>netic ﬂuctuations from the rotating mirror plasma MCX withsheared ﬂow. The magnetic ﬂuctuations measured by the six-teen pickup coils show that the ﬂuctuations are broadband infrequency even though they are low dimensional in spacewith only m=0 and m=2 modes. Both data analysis and</t>
  </si>
  <si>
    <t>simulations show that there is a strong nonlinear interactionbetween these modes. 2D MHD simulations indicate that inthe presence of an imposed parabolic shear ﬂow, only lowmode numbers are unstable which intermittently get sup-pressed, thereby improving particle and momentum conﬁne-ment /H20849m=0/H20850. During this well-conﬁned phase, the central</t>
  </si>
  <si>
    <t>number interchange modes. This is followed by periods ofenhanced particle and momentum transport reducing thepressure gradient. The cycle of intermittent ﬂuctuations andenhanced transport followed by periods of quiescence re-peats itself. The strong interplay between the m=0 and m</t>
  </si>
  <si>
    <t>show that there is an additional m=1 mode present. Never-</t>
  </si>
  <si>
    <t>with the coefficient Ae=5-8, depending on the details of</t>
  </si>
  <si>
    <t>*In both cases we assume that fusion power Pis 1 GW, Q=10, Ae=6,</t>
  </si>
  <si>
    <t>Ai=2,uT mii =22 / , with the ion mass being 2.5 proton mass.</t>
  </si>
  <si>
    <t>6 D&lt;0 in the Debye sheath, Fig. 2, the curve for Kmir=10].</t>
  </si>
  <si>
    <t>trapped electrons remains quite high, although lower thanthe electron temperature in the confinement region.Because of a high temperature and low density of thenear-wall plasma, collision times in it are quite long,approaching ~ 2 hours in the case of a canonical mirror.This means that the distribution function near the wallscan be very susceptible to all kinds of perturbations.Fig. 2 Potential distribution for the absorber situated at K=10,</t>
  </si>
  <si>
    <t>andK=300. Note a flattening of the potential in the zone of a</t>
  </si>
  <si>
    <t>field in the confinemnt region; Bwall=B0R/Kwall.</t>
  </si>
  <si>
    <t>absorberKmir=10Kmir=300</t>
  </si>
  <si>
    <t>b=Vb/cis the ion beam velocity normalized to the speed</t>
  </si>
  <si>
    <t>th=(kBTe/me)1/2is the thermal velocity of plasma</t>
  </si>
  <si>
    <t>along the x-axis. The simulation region ranges from x=0t o</t>
  </si>
  <si>
    <t>x=Lxandy=0t o y=Ly. Initially, the plasmas (including</t>
  </si>
  <si>
    <t>,j=1,2,..., Nα.(2)</t>
  </si>
  <si>
    <t>charge, Lorentz factor, mass, and total number of plasmaelectrons ( α=e), ions ( α=i), and injected beam ions</t>
  </si>
  <si>
    <t>(α=b), respectively. The electric and magnetic ﬁelds are</t>
  </si>
  <si>
    <t>∂t=− ∇× E (3)</t>
  </si>
  <si>
    <t>∂t=c2∇× B−J</t>
  </si>
  <si>
    <t>time steps are set to dx=dy=λe=5.25×10−5ma n d</t>
  </si>
  <si>
    <t>plasma with magnetic ﬁeld B=1.0 T, injection velocity Vb0=0.025c,a n d</t>
  </si>
  <si>
    <t>beam density ρb0=1.0×1017m−3. The electric ﬁeld Eind(×104V/m)</t>
  </si>
  <si>
    <t>(a)T=0.69 ns. (b) T=1.4n s .( c ) T=2.1n s .</t>
  </si>
  <si>
    <t>dt=9.1×10−14s, respectively, which satisfy the Courant–</t>
  </si>
  <si>
    <t>Friedrichs–Lewy limit, where λe=(ε0KBTe0/Ne0e2)1/2</t>
  </si>
  <si>
    <t>distribution: Nb(x,y)=ρb0exp(−((x−x0)2/(Lb/2)2))</t>
  </si>
  <si>
    <t>b)), where the length Lb=40×λeand</t>
  </si>
  <si>
    <t>radius Rb=2×λe. All particles are considered to be charged</t>
  </si>
  <si>
    <t>beam velocity is Vb=0.025c(satisfying Lb≫Vb/ωpe).</t>
  </si>
  <si>
    <t>analysis prediction in [16]. When T=1.4 ns [Fig. 2(b)],</t>
  </si>
  <si>
    <t>b0=0.025c, beam density ρb0=1.0×1017m−3, and time</t>
  </si>
  <si>
    <t>t=3.6n sf o r( a ) B=0.0Ta n d( b ) B=1.0 T. (c) Corresponding</t>
  </si>
  <si>
    <t>B=0.0 T, and the red line is B=1.0T .</t>
  </si>
  <si>
    <t>seen behind the trajectory. In Fig. 2(c), when T=2.1n s ,</t>
  </si>
  <si>
    <t>plasmas [Fig. 3(b)]. At B=0.0 T [Fig. 3(a)], the wakes</t>
  </si>
  <si>
    <t>exhibit a ﬂuctuation behind the pulse. However, at B=1.0T</t>
  </si>
  <si>
    <t>For a higher velocity, Vb0=0.15c(Lb≈Vb/ωpe),</t>
  </si>
  <si>
    <t>B=1.0 T. Compared with the structures in Fig. 3(b), the</t>
  </si>
  <si>
    <t>velocity Vb0=0.15c, beam density ρb0=1.0×1017m−3, and time</t>
  </si>
  <si>
    <t>t=0.68 ns for (a) B=0.0Ta n d( b ) B=1.0 T. (c) Corresponding</t>
  </si>
  <si>
    <t>density ρb0=1.0×1017m−3with different magnetic ﬁelds. The black</t>
  </si>
  <si>
    <t>square corresponds to B=0.0Ta n dt h er e dc i r c l et o B=1.0 T. The line</t>
  </si>
  <si>
    <t>B=0.0Ta n d B=1.0 T. Note that for low-velocity beams</t>
  </si>
  <si>
    <t>b0=0.025c, beam density ρb0=2.0×1018m−3, and time</t>
  </si>
  <si>
    <t>plasma and magnetic plasma when ρb0=2.0×1018m−3</t>
  </si>
  <si>
    <t>and Vb0=0.025c.A t B=0.0 T [Fig. 6(a)], the</t>
  </si>
  <si>
    <t>atB=1.0 T [Fig. 6(b)], whistler waves are observed.</t>
  </si>
  <si>
    <t>very apparent V-shaped cone structures when B=0.0T</t>
  </si>
  <si>
    <t>B=1.0 T [Fig. 7(b)]. Moreover, as the velocity increases,</t>
  </si>
  <si>
    <t>velocity Vb0=0.15c, beam density ρb0=2.0×1018m−3, and time</t>
  </si>
  <si>
    <t>density ρb0=2.0×1018m−3with different magnetic ﬁelds. The black</t>
  </si>
  <si>
    <t>ing shock width (SW) in units of the electron inertial length, c=xp.</t>
  </si>
  <si>
    <t>electron inertial length, c=xp.</t>
  </si>
  <si>
    <t>p. The two shock fronts, located near x’40–60c=xp,a r e</t>
  </si>
  <si>
    <t>(cm/C03);RT, the temperature ratio between electrons and ions ( Te=Ti); electron temperature Te(K); drift velocity v0in units of the speed of light c; ion plasma parameter ND;</t>
  </si>
  <si>
    <t>injection Mach number Minj¼v0=vs; shock Mach number Mshmeasured from the simulations; and the resulting shock width (SW) in units of the electron inertial length c=xp.</t>
  </si>
  <si>
    <t>collision rate as /C23coll¼vth=lmfp,w h e r e vthis a characteristic thermal</t>
  </si>
  <si>
    <t>kBTe=mip</t>
  </si>
  <si>
    <t>sional regime ( ND/H113511), we keep Te=Ti/C25400, which leaves csgov-</t>
  </si>
  <si>
    <t>i, we raise Ti(and hence lower the ratio) to Te=Ti/C259.</t>
  </si>
  <si>
    <t>dashed curve ‘=ðMinj/C1lmfpÞ¼AlnND=ND, where the dimensionless</t>
  </si>
  <si>
    <t>and the slanted dashed curve ‘=ðMinj/C1lmfpÞ¼ 0:7l nND=NDare the collisional and</t>
  </si>
  <si>
    <t>e=Ti’400 for collisional runs</t>
  </si>
  <si>
    <t>https://www.tandfonline.com/action/journalInformation?journalCode=grad20</t>
  </si>
  <si>
    <t>electrons can break free from the field line via the adiabatic invariance of the magneticmoment μ=mv</t>
  </si>
  <si>
    <t>about the gyrocenter is Xi¼qB=m(where qis the parti-</t>
  </si>
  <si>
    <t>ma=qE?qv9B, where a,v,B, and Eare accelera-</t>
  </si>
  <si>
    <t>where h=ArcTan (y/x).</t>
  </si>
  <si>
    <t>n&amp;1020m-3and ion temperatures Ti=10–50 eV, a</t>
  </si>
  <si>
    <t>troscopic data at radius R=y, where the spectroscope</t>
  </si>
  <si>
    <t>r=(3000 V)/(0.21 m) =14285.7 V/m,Bz=0.2T,</t>
  </si>
  <si>
    <t>andRc=26 cm. The value of Erwas chosen based on the</t>
  </si>
  <si>
    <t>11.4ls; for He II -C III ,sc=12.3ls; and for OI I -C</t>
  </si>
  <si>
    <t>III,sc=15.5ls. The results of the synthetic spectroscopy</t>
  </si>
  <si>
    <t>Fig. 2 Simulation of He II orbits. Er=14285.7 V/m,Bz=0.2T,vo=Er/Bz,sc=11.4ls,Rc=0.26 m. The circumference represents the</t>
  </si>
  <si>
    <t>At every plasma discharge and for chords 1 through 4,vrel-i=vi-vr, where viis the absolute velocity of ﬁber</t>
  </si>
  <si>
    <t>vr=0 for the data presented here, and the deviation from</t>
  </si>
  <si>
    <t>12TT,g~&amp;c=Vion</t>
  </si>
  <si>
    <t>(eV;,„=ionization energy,m=mass ofanatomofthe</t>
  </si>
  <si>
    <t>definedbythecondition E=O.Evenifinitially only</t>
  </si>
  <si>
    <t>H V=10kVR=2Q50 160</t>
  </si>
  <si>
    <t>Hzp30' R=2Q10</t>
  </si>
  <si>
    <t>v,N=1.4&amp;10'cmsec'</t>
  </si>
  <si>
    <t>jB=MvdN~/dt.</t>
  </si>
  <si>
    <t>$Mvs=H),,</t>
  </si>
  <si>
    <t>/C150kBTe=neq2</t>
  </si>
  <si>
    <t>e=me/C150p</t>
  </si>
  <si>
    <t>e=mi/C150p</t>
  </si>
  <si>
    <t>Xce¼qB=meis the electron cyclotron frequency, and v0is the electron</t>
  </si>
  <si>
    <t>with ~x¼x=xpi;~kj¼kjkD,a n d ~v0¼v0=uB. The reference values</t>
  </si>
  <si>
    <t>where ~c¼c=xpiis the nondimensional growth rate and ~xr¼xr=xpi</t>
  </si>
  <si>
    <t>such that ~ky~v0/C28Xce=xpi. For example, in the squared domain</t>
  </si>
  <si>
    <t>~ky¼0:1548. For the same case, we have Xce=xpi/C24137;~ky~v0/C2429</t>
  </si>
  <si>
    <t>Considering that me=mi/C28x2</t>
  </si>
  <si>
    <t>conditions as ky¼2pm=Lywhere mis a positive integer. Similarly,</t>
  </si>
  <si>
    <t>z¼pp=Lzwhere pis a positive integer.</t>
  </si>
  <si>
    <t>z=p/C20eB2</t>
  </si>
  <si>
    <t>4pmeExðLy=mÞ2: (7)</t>
  </si>
  <si>
    <t>use a FFT in the ky/C0xplane, at the radial position z¼Lz=4. In</t>
  </si>
  <si>
    <t>ulations, we observed an half-wavelength between the upper and lowerboundaries, with a node at z¼Lz=2 and two antinodes at z¼0a n d</t>
  </si>
  <si>
    <t>z¼Lz, corresponding to a radial wavenumber kz¼p=Lz.A f t e rs o m e</t>
  </si>
  <si>
    <t>simulation domain, the radial wavenumber kz¼p=Lzof the MTSI</t>
  </si>
  <si>
    <t>bAxial electric ﬁeld, Ex¼3/C2104V=m.</t>
  </si>
  <si>
    <t>that ky¼2pm=Lywhere mis a positive integer. To illustrate the</t>
  </si>
  <si>
    <t>space and that the leading coefﬁcient is proportional to Ex=B2.Therefore, the resonance peak depends on the electric and magnetic</t>
  </si>
  <si>
    <t>pare a case with the baseline electric ﬁeld E¼10 kV =m( c a s eN o .1 3 )</t>
  </si>
  <si>
    <t>with the MTSI to a case with a higher electric ﬁeld E¼30 kV =m( c a s e</t>
  </si>
  <si>
    <t>FIG. 9. 2D snapshots ( t¼1.20ls) of Eyif (a) Ex¼10 kV =m and Ly¼0.64 cm</t>
  </si>
  <si>
    <t>(case No. 13), (b) Ex¼30 kV =m and Ly¼0.64 cm (case No. 16) and (c)</t>
  </si>
  <si>
    <t>Ex¼30 kV =m and Ly¼1.28 cm (case No. 17). Notice that in (a) Eyis magniﬁed</t>
  </si>
  <si>
    <t>The axial electron mobility l¼/C0vx=Ex, i.e., perpendicular to</t>
  </si>
  <si>
    <t>z¼Lz=2 for the case No. 3. In the spectrum, for t&lt;10ls, we can dis-</t>
  </si>
  <si>
    <t>qTe=Mp</t>
  </si>
  <si>
    <t>atz¼Lz=2 between 20 and 30 ls for case No. 3. The linear dispersion</t>
  </si>
  <si>
    <t>higher axial electric ﬁeld ( Ex¼20 kV =m), their electron drift velocity</t>
  </si>
  <si>
    <t>the azimuthal electric ﬁeld Eyðy;z¼Lz=2;tÞwith y2½0;Ly/C138and t2(20ls,</t>
  </si>
  <si>
    <t>˙ () r=mf E E .3p gi CVI</t>
  </si>
  <si>
    <t>˙( )k=nn n .4 gr e i</t>
  </si>
  <si>
    <t>˙( )k=nn .5 gr e2</t>
  </si>
  <si>
    <t>out in time (as opposed to all occurring at t=0). This results in a</t>
  </si>
  <si>
    <t>is then equal to A= 1.15 at the outer electrode and the electron Hall parameter (wT)~=</t>
  </si>
  <si>
    <t>jiJo=E,, 4 [I +(wT)~~]-~[EI-(oJT)~~ x E] (5)</t>
  </si>
  <si>
    <t>u = nje%i/mi</t>
  </si>
  <si>
    <t>ji, r = (uT)ij,z- (6)</t>
  </si>
  <si>
    <t>ana=qXuc/Rz 1.4~ lO6qX</t>
  </si>
  <si>
    <t>fix A= 1.15, the standard value, the curves B are found with h50.72. For this choice the</t>
  </si>
  <si>
    <t>ne = noxa-2</t>
  </si>
  <si>
    <t>and the inverse square dependence which follows for negligible internal ionisation, h = 0,</t>
  </si>
  <si>
    <t>both curves. For AG0.938 on the upper curve q=l. The pointslabelled A0 to CI</t>
  </si>
  <si>
    <t>electron current and is small for the standard value A= 1-15 (points BO and BI).</t>
  </si>
  <si>
    <t>the radial ion current is zero at a normalised radial distance x= 0.7. The points at which</t>
  </si>
  <si>
    <t>I E I = ucBox-1.</t>
  </si>
  <si>
    <t>ji, r =jox-’ -je, o nex/no</t>
  </si>
  <si>
    <t>From the condition that ni =no at the outer electrode /3 can be determined.</t>
  </si>
  <si>
    <t>may also be found, using the electron drift velocity, and is 2A = TA + (4 + ~2A2)1/2.</t>
  </si>
  <si>
    <t>Ud = (A2 + X2)-1/2 AUc.</t>
  </si>
  <si>
    <t>ne = noxA-2</t>
  </si>
  <si>
    <t>Io’s orbital distance of L = 5.9. A set of potential drops are</t>
  </si>
  <si>
    <t>space elements (N v= 50), each of which is treated like a</t>
  </si>
  <si>
    <t>O++and S+++. Oxygen ions are chosen to represent bothFigure 2. (top) Dipole magnetic flux tube at L = 5.9.</t>
  </si>
  <si>
    <t>mass/charge = 16 ion species (O+and S++). The average</t>
  </si>
  <si>
    <t>(i.e., T k= 35 and T ?= 70). The number of heavy ion</t>
  </si>
  <si>
    <t>temperature of 5 eV and k=3 .</t>
  </si>
  <si>
    <t>F= 100 V, the H+population extends /C243.5 R Jalong the</t>
  </si>
  <si>
    <t>Io O+1750 cm/C03k=3 5e V ; ?=7 0e V right (Io torus)</t>
  </si>
  <si>
    <t>Io e/C02000 cm/C035e V ; k= 3 right (Io torus)A04214 RAY ET AL.: CURRENT-VOLTAGE RELATION</t>
  </si>
  <si>
    <t>jx=enxﬃﬃﬃﬃﬃﬃﬃﬃ</t>
  </si>
  <si>
    <t>and we assume F=0 .</t>
  </si>
  <si>
    <t>the Vlasov solutions ( k= 3), as two Maxwellians distribu-</t>
  </si>
  <si>
    <t>as a Maxwellian where T eH= 300 eV and n eH=2c m/C03,o r</t>
  </si>
  <si>
    <t>[Sittler and Strobel , 1987]. R x= 8 to represent the formation</t>
  </si>
  <si>
    <t>tor and /C15¼r=Ris the inverse aspect-ratio of the tokamak, with rand</t>
  </si>
  <si>
    <t>andb¼B=B.Bis the equilibrium magnetic field. Vd;jis the magnetic</t>
  </si>
  <si>
    <t>th;jnjexpð/C0K=TjÞ,w i t h mjv2</t>
  </si>
  <si>
    <t>th;j=2¼Tj.njand Tjare</t>
  </si>
  <si>
    <t>qL;j¼b/C2mjv=ejB.vand ejare the particle velocity and charge,</t>
  </si>
  <si>
    <t>Here, qM;j=qMdenotes the mass density fraction of ion species j.I n</t>
  </si>
  <si>
    <t>pure plasma, qM;i=qM¼1, and thus the present theory [Eq. (17)]</t>
  </si>
  <si>
    <t>ez=mz/C01</t>
  </si>
  <si>
    <t>ei=mi/C18/C19/C20/C21</t>
  </si>
  <si>
    <t>charge-to-mass ratio of the impurity ion, ez=mz, is smaller than that of</t>
  </si>
  <si>
    <t>the main ion, ei=mi, the presence of impurities increases the value of</t>
  </si>
  <si>
    <t>perturbations. (2) The higher the impurity concentration nz=ne,t h e</t>
  </si>
  <si>
    <t>tiald/ð1Þ is related to the main ion mass density fraction, qM;i=qM.</t>
  </si>
  <si>
    <t>Note that qM;i=qM¼1 in pure plasma, while qM;i=qM&lt;1i na d m i x e d</t>
  </si>
  <si>
    <t>M;i=qM¼mi</t>
  </si>
  <si>
    <t>miþmznz=ni, it can be found that when the impurity ion</t>
  </si>
  <si>
    <t>density nzincreases, the main ion mass density fraction qM;i=qM</t>
  </si>
  <si>
    <t>it can be seen that since mz=ez/C24mi=eiwhile nz/C28niin typical toka-</t>
  </si>
  <si>
    <t>M;i=qM,</t>
  </si>
  <si>
    <t>k=2þlBand H1;j¼ejhdUiGAare the gyrocenter</t>
  </si>
  <si>
    <t>einiþeznz¼/C0 eene. The simulation domain is r=a2½0;1/C138,</t>
  </si>
  <si>
    <t>a2½0;2p/C138,h2½ /C0 p;p/C138,vk=cs;j2½ /C0 4;4/C138,lB0=Tj2½0;42=ﬃﬃﬃ</t>
  </si>
  <si>
    <t>Tj=mjp</t>
  </si>
  <si>
    <t>j=ne,w i t h Zjbeing</t>
  </si>
  <si>
    <t>qM;i=qM, in the admixed plasma. The amplitude of initial perturba-</t>
  </si>
  <si>
    <t>p=B2in the long-time limit in a pure plasma,22with Bp</t>
  </si>
  <si>
    <t>Icalc(t)=e·SRT/Gamma1Ar+(1+γAr+)+e·SRT/Gamma1M+(1+γM+).(1)</t>
  </si>
  <si>
    <t>ArW=0.</t>
  </si>
  <si>
    <t>PWR=Pe(t)/P D(t). The second ﬁtting parameter is the</t>
  </si>
  <si>
    <t>FPWR=Pe</t>
  </si>
  <si>
    <t>PD=Ie,SH·USH+Ie,IR·UIR</t>
  </si>
  <si>
    <t>EFF=(1−r)·γSE.</t>
  </si>
  <si>
    <t>e,SH≈II·γEFF=</t>
  </si>
  <si>
    <t>ID=II·(1+γEFF). To estimate Ie,IRin the ionization region,</t>
  </si>
  <si>
    <t>Figure 4. Overview of model results for different ﬁtting parameters. In the three columns, from left to right, β=0.8, 0.9 and 1.0. For each</t>
  </si>
  <si>
    <t>recombined argon density nArH(in these runs, nArW=0). (f) Metastable argon density nArm.Fifth row : (g) Degree of ionization of the</t>
  </si>
  <si>
    <t>Figure 5. A study of the gas rarefaction and reﬁll processes for the case β=0.9. In both panels, curve (a) shows for reference the argon gas</t>
  </si>
  <si>
    <t>ArH, during a pulse with β=0.9. The dominating loss</t>
  </si>
  <si>
    <t>sputter energies of a few eV we take σc=2×10−19m−2as a</t>
  </si>
  <si>
    <t>free path for the sputtered atom becomes λc=1/(σ cnAr)≈</t>
  </si>
  <si>
    <t>ArW=0)</t>
  </si>
  <si>
    <t>nAr,0VIRe=∫trarefaction</t>
  </si>
  <si>
    <t>In our case, nAr,0·VIR·e=4.5×1020(m−3)×6.35×</t>
  </si>
  <si>
    <t>10−6(m3)×e=4.6×10−4(As). Evaluating equation ( 5)</t>
  </si>
  <si>
    <t>ArH+nArW. In all three cases themodel was run with β=0.9. Excellent current ﬁts (not shown)</t>
  </si>
  <si>
    <t>were obtained with the FPWR=0.099, 0.100 and 0.102 in</t>
  </si>
  <si>
    <t>curves show peak plasma densities of ne=3.5×1019m−3,</t>
  </si>
  <si>
    <t>e=6.5×1018m−3. This is in line with experimental results</t>
  </si>
  <si>
    <t>even lower voltages that are not plotted in the ﬁgure. In all casesthe back-attraction probability has been set to β=0.9. The</t>
  </si>
  <si>
    <t>withUD=450 V and β=0.9. (c) Metal ion fraction of the ion current to the target, IM+/(I Ar++IM+), during the same pulse. ( d) Fraction</t>
  </si>
  <si>
    <t>IM+/(I Ar++IM+)in the plateau phase, 300 µs into the pulse, as a function of the discharge voltage. Also here, β=0.9.</t>
  </si>
  <si>
    <t>This factor is extracted from the standard model run ( β=0.9,</t>
  </si>
  <si>
    <t>nArW=0)and shown in ﬁgure 8. It ﬁrst shows a rising trend</t>
  </si>
  <si>
    <t>PD=UDID, that goes to the electrons. Using a best ﬁt</t>
  </si>
  <si>
    <t>/C150Te=ne2p</t>
  </si>
  <si>
    <t>5m=s, which is equivalent to proton energies of</t>
  </si>
  <si>
    <t>5m=s) at which kinetic IIEE dominates over potential</t>
  </si>
  <si>
    <t>need the emitted electron energy spectrum, dc=dEe,w h e r e Eeis the</t>
  </si>
  <si>
    <t>material number density is defined as nw¼qw=mwu,w h e r e qwis the</t>
  </si>
  <si>
    <t>Table 3.1 from Ref. 37andTs¼Eiu=mp;d;tis the scaled ion energy</t>
  </si>
  <si>
    <t>0ðdc=dEeÞdEe.O n l yt h ew a l lp o r t i o no fE q . (2)is a function of</t>
  </si>
  <si>
    <t>because dc=dE</t>
  </si>
  <si>
    <t>e=2. After using</t>
  </si>
  <si>
    <t>Ta=map</t>
  </si>
  <si>
    <t>butions to the current at x=kD¼29:5. Below this, the current is driven</t>
  </si>
  <si>
    <t>particle flux becomes more negative. Therefore, the electrons contrib-ute more to the current over a larger stretch of the domain, with theequal contribution point now shifted to x=k</t>
  </si>
  <si>
    <t>5m=sa n d5 :211/C2105m=s, respec-</t>
  </si>
  <si>
    <t>Setting this equal to the thermal current, Jth = Ne !kT/'2m,</t>
  </si>
  <si>
    <t>D = 1.26;Lr eV (2)</t>
  </si>
  <si>
    <t>Electron current, J' J = J' = VV _1 V(nr') (7) (J n</t>
  </si>
  <si>
    <t>Heat flux, Q' Q = Q' = -3r'vr' + 5--r'J' (8) {j 2 2</t>
  </si>
  <si>
    <t>drop all primes. Since Vn = 0, the current equation becomes,</t>
  </si>
  <si>
    <t>J = VV-VT (11)</t>
  </si>
  <si>
    <t>3 5 j2 V.Q = -- (VT) 2 + JVT = (12)</t>
  </si>
  <si>
    <t>/ST = 2/5/SV (13)</t>
  </si>
  <si>
    <t>This is Vs = Ei cos20, where Ei is the ram ion energy, and 0 is the</t>
  </si>
  <si>
    <t>We also have 15Vs = Vs since the presheath begins at zero poten-</t>
  </si>
  <si>
    <t>tial. For 0 = 0 the peak enhancement is, rite = 2/5 E i, and the</t>
  </si>
  <si>
    <t>Ivs = 2z R2pM(Vsat) Jo rjo 1/2 I? T}/2 sin0 dO (16)</t>
  </si>
  <si>
    <t>Defining Z = rite/To we find,</t>
  </si>
  <si>
    <t>1[ Z_ m )] Ivs = 2zR2vMJ,, (1 +Z) n + ln(z m +(1 +Z) n</t>
  </si>
  <si>
    <t>1 Z) m = So +</t>
  </si>
  <si>
    <t>N=7x10m 3, T=1500K=O. 13eV, B=O.32Gauss. The</t>
  </si>
  <si>
    <t>satellite radius was Ro = 0.8 m. For Ei = 4.8eV, our model gives a</t>
  </si>
  <si>
    <t>φ=E×B/B2),</t>
  </si>
  <si>
    <t>and is maintained against drag forces by a radial current ( F=j×B). This is de-</t>
  </si>
  <si>
    <t>B. ∇∇∇∇p = - B.[nm u.∇∇∇∇u]</t>
  </si>
  <si>
    <t>Rm~ 9 (B mid = 0.2 - 0.3 T )</t>
  </si>
  <si>
    <t>• m=2 wobble ~ 1 cm</t>
  </si>
  <si>
    <t>PV=0.25σ u2B2(1)</t>
  </si>
  <si>
    <t>u=Ma (2)</t>
  </si>
  <si>
    <t>PV=0.25σ M2a2B2(3)</t>
  </si>
  <si>
    <t>σ=Fσ(XH2O,XN2,XCs,T,p) (6)</t>
  </si>
  <si>
    <t>XH2O=1−XN2−XCs (7)</t>
  </si>
  <si>
    <t>XH2O=1−1.881 XH2O−XCs (10)</t>
  </si>
  <si>
    <t>2.881 XH2O=1−XCs (11)</t>
  </si>
  <si>
    <t>XH2O=1−XCs</t>
  </si>
  <si>
    <t>σ=Fσ(XCS,T,p) (14)</t>
  </si>
  <si>
    <t>γmix=Cp,mix</t>
  </si>
  <si>
    <t>Cv,mix=Cp,mix−Rmix (17)</t>
  </si>
  <si>
    <t>Mmix=XH2OMH2O+XN2MN2+XCsMCs (20)</t>
  </si>
  <si>
    <t>Cp,mix=YH2OCp,H2O+YN2Cp,N2+YCsCp,Cs (21)</t>
  </si>
  <si>
    <t>YH2O=XH2OMH2O</t>
  </si>
  <si>
    <t>Mmix,YCs=XCsMCs</t>
  </si>
  <si>
    <t>Ri=a1,iT−2+a2,iT−1</t>
  </si>
  <si>
    <t>γmix=Cp,mix−Rmix</t>
  </si>
  <si>
    <t>Cp,mix=1−Rmix</t>
  </si>
  <si>
    <t>γmix=1</t>
  </si>
  <si>
    <t>0.196136 at XCS=0.0625). The decline in (C p,mix) as the</t>
  </si>
  <si>
    <t>starting value of 1.243991 at XCS=0.0625% to 1.269668 at</t>
  </si>
  <si>
    <t>22.556% from 983.166 m/s (3539.4 km/h) at XCS=0.0625</t>
  </si>
  <si>
    <t>761.408 m/s (2741.1 km/h) at XCS=16. In the limiting case</t>
  </si>
  <si>
    <t>considered except the smallest one of XCs=0.0625%, the</t>
  </si>
  <si>
    <t>reaching 3.5664 times that value at the optimum XCs=6%.</t>
  </si>
  <si>
    <t>at the optimum XCs=6%. In the high-pressure cases, the</t>
  </si>
  <si>
    <t>fraction (0.9474) of it at the optimum XCs=6%.</t>
  </si>
  <si>
    <t>level of cesium (X CS=3% or 0.03, with a resolution of 1%)</t>
  </si>
  <si>
    <t>conductivity ( XCS=6% or 0.06, with a resolution of 1%).</t>
  </si>
  <si>
    <t>initial atom density of ni=5.8×1017cm−3indicated with</t>
  </si>
  <si>
    <t>ionization of Z=0.5–1.2 at all points in the radiative precur-</t>
  </si>
  <si>
    <t>Ti=2γ−1</t>
  </si>
  <si>
    <t>where γis the adiabatic index (assumed to be γ=5/3f o ra</t>
  </si>
  <si>
    <t>λe(cm)=2×1018[Te(KeV)]2</t>
  </si>
  <si>
    <t>λi(cm)== 2×1018[Ti(KeV)]2</t>
  </si>
  <si>
    <t>assuming Ti=Te∼2e Va n d Z∼0.9. The electron density</t>
  </si>
  <si>
    <t>e=4.6×1017cm−3. This yielded</t>
  </si>
  <si>
    <t>kth=2×1021 [Te(eV)]5/2</t>
  </si>
  <si>
    <t>V=CP/γ) indicates that the Marshak wave has propagated</t>
  </si>
  <si>
    <t>of the shock front, shown in the green curve in Fig. 7(a),estimates an ionization of Z=0.5–1.2, while the laser inter-</t>
  </si>
  <si>
    <t>e=1×10−17</t>
  </si>
  <si>
    <t>τi=4×1012√</t>
  </si>
  <si>
    <t>This yielded collision times of τi(r=9m m )=10 nm,</t>
  </si>
  <si>
    <t>τi(r=10 mm )=680 nm, and τi(r=11 mm )=11μm.</t>
  </si>
  <si>
    <t>100 ns. Therefore, the region at r=9m m( ∼1 mm ahead</t>
  </si>
  <si>
    <t>that of the neutral species ngas, where fe=ni/(ni+ngas)=1</t>
  </si>
  <si>
    <t>giant gas planets (log g=3.0,T</t>
  </si>
  <si>
    <t>eff=1500 K; hereafter referred</t>
  </si>
  <si>
    <t>to as GP), brown dwarfs (log g=5.0,Teff=1500 K; hereafter</t>
  </si>
  <si>
    <t>referred to as BD), and M-dwarfs (log g=4.0,Teff=2700 K;</t>
  </si>
  <si>
    <t>diagrams for examples of gas giant planets (GP: log g=3.0,Teff=1500 K),</t>
  </si>
  <si>
    <t>brown dwarfs (BD: log g=5.0,Teff=1500 K), and M-dwarfs (MD:</t>
  </si>
  <si>
    <t>logg=4.0,Teff=2700 K). These results are obtained from Drift-Phoenix</t>
  </si>
  <si>
    <t>within a brown dwarf (BD: Teff=1500 K, log g=5.0) model atmosphere</t>
  </si>
  <si>
    <t>Li=v⊥i/ωci, where v⊥iis the speed of the ions perpendicular to the magnetic ﬁeld</t>
  </si>
  <si>
    <t>andωci=qiB/m iis the ion cyclotron frequency of an ion of</t>
  </si>
  <si>
    <t>c=eφI(Alfv ´en</t>
  </si>
  <si>
    <t>vc=(2eφI</t>
  </si>
  <si>
    <t>c=4.63 and 5 .01 km s−1, respectively), whereas</t>
  </si>
  <si>
    <t>kinetic energy Ek=mgasv2/2</t>
  </si>
  <si>
    <t>λD=(ϵ0kBTe</t>
  </si>
  <si>
    <t>the atmosphere of a gas giant planet (GP: log g=3.0,Teff=1500 K), brown</t>
  </si>
  <si>
    <t>dwarf (BD: log g=5.0,Teff=1500 K), and M-dwarf (MD: log g=4.0,</t>
  </si>
  <si>
    <t>Teff=2700 K) for a solar abundance ([M /H]=0.0).</t>
  </si>
  <si>
    <t>required, we set v⊥i=v0≈1k ms−1and approximate</t>
  </si>
  <si>
    <t>a critical speed O(10 km s−1), setting v⊥i=1k ms−1gives</t>
  </si>
  <si>
    <t>bardment of a brown dwarf atmosphere (BD: log g=5.0,Teff=1500 K;</t>
  </si>
  <si>
    <t>[M/H]=0.0,nefalls from ≈1012cm−3(atpgas≈1 bar) to</t>
  </si>
  <si>
    <t>low-mass objects: gas giant planets (GP: log g=3.0,Teff=1500 K; solid</t>
  </si>
  <si>
    <t>line), brown dwarfs (BD: log g=5.0,Teff=1500 K; dashed line), and</t>
  </si>
  <si>
    <t>M-dwarfs (MD: log g=4.0,Teff=2700 K; dotted line) for both solar</t>
  </si>
  <si>
    <t>where ωce=eB/m eis the electron cyclotron frequency, meis</t>
  </si>
  <si>
    <t>[M/H]=0.0 and −0.6 can achieve pgas≈10 bar deep in the</t>
  </si>
  <si>
    <t>B=100 G.</t>
  </si>
  <si>
    <t>by a factor ≈3(≈30) relative to the case Te=1000 K</t>
  </si>
  <si>
    <t>φI=neeR2</t>
  </si>
  <si>
    <t>where RLi=miv⊥i/(qiB) is the Larmor radius, qi=Zie,</t>
  </si>
  <si>
    <t>and Ziis the ion charge number. Assuming that Zi=1,</t>
  </si>
  <si>
    <t>v⊥i=vc=(2eφI/mgas)1/2, andmi≈mgas, then</t>
  </si>
  <si>
    <t>1Σg(v=1) 0.52 4 ×1067.06</t>
  </si>
  <si>
    <t>critical velocity ( vc=34.43 km s−1andvc=38.5k ms−1,</t>
  </si>
  <si>
    <t>He requires vc=30.9k ms−1(see Table 3). However, the critical</t>
  </si>
  <si>
    <t>Na (φI=12.13 eV). Should these species collide, the latter</t>
  </si>
  <si>
    <t>pn=gnexp (−En/(kBT))∑</t>
  </si>
  <si>
    <t>(BD: log g=5.0,Teff=1500 K; [M /H]=0.0), calculated using Equation ( 16).</t>
  </si>
  <si>
    <t>nms=ngsgms</t>
  </si>
  <si>
    <t>(1Σg(v=1)) yields a modest nms≈1010cm−3atpgas≈1 bar;</t>
  </si>
  <si>
    <t>where f=2ωsinφis the Coriolis parameter characterizing</t>
  </si>
  <si>
    <t>|∂pgas/∂r|=1×10−6fr . (21)</t>
  </si>
  <si>
    <t>quency ω=3.5×10−4rad s−1(i.e., a rotation period of</t>
  </si>
  <si>
    <t>T=5 hr), Therefore, the Coriolis parameter is f≈4.9×</t>
  </si>
  <si>
    <t>10−4rad s−1forφ=π/4 (mid-latitudes). Exoplanets are ex-</t>
  </si>
  <si>
    <t>our choice of rotation period T=5 hr, which is close to the</t>
  </si>
  <si>
    <t>andr=1000 km are indistinguishable (Figures 10and11).</t>
  </si>
  <si>
    <t>rotation angular frequency ω=3.5×10−4rad s−1(T=5 hr); the Coriolis</t>
  </si>
  <si>
    <t>P/A=2.5T</t>
  </si>
  <si>
    <t>intermediate performance between a NS for materials testingQ=P</t>
  </si>
  <si>
    <t>of a fast atom moving in a transverse magnetic ﬁeld. For ahydrogen atom, the resulting Stark splitting is linear in themagnetic ﬁeld. Therefore, it provides a robust method oflocal magnetic-ﬁeld measurements. By measurements of theabsolute value of the magnetic ﬁeld in plasma shots and invacuum shots, one can calculate the plasma diamagnetism as/Delta1B/B =(B</t>
  </si>
  <si>
    <t>vac/8π=B2</t>
  </si>
  <si>
    <t>β=P⊥/(B2</t>
  </si>
  <si>
    <t>vac/8π)=2/Delta1B/B −(/Delta1B/B)2.</t>
  </si>
  <si>
    <t>ratioR=3. Absorbed power of about 50 kW for ∼1m s</t>
  </si>
  <si>
    <t>Since only large-scale modes survive under the inﬂuence ofstrong FLR effects, we assumed that the stability boundarywould be determined by the most dangerous m=1 mode.</t>
  </si>
  <si>
    <t>m=25 and</t>
  </si>
  <si>
    <t>free path and Rcusp=Hr/Hminis the mirror ratio on the ﬁeld</t>
  </si>
  <si>
    <t>dominates. This was expected by considering the signiﬁcanceof the effects of FLR radius. The presence of the mode withm=0 is connected mainly to plasma heating during NB</t>
  </si>
  <si>
    <t>injection. Higher modes with m=3, 4 are considerably</t>
  </si>
  <si>
    <t>smaller in amplitude compared with the modes with m=1, 2.</t>
  </si>
  <si>
    <t>J, AnecEy = 2Bo (5)</t>
  </si>
  <si>
    <t>Ojz c2 0 ( OE OEy ) Ot = 4 O z -x + -y ' (10)</t>
  </si>
  <si>
    <t>I,, - J J E ( OE -x + --y ) d x d y = ELyE +EL(Eo - Ey)</t>
  </si>
  <si>
    <t>Eoy = (I+AM)(I+sAM)+n 2Eø' (20)</t>
  </si>
  <si>
    <t>When AM is small and a = 1, (22) reduces to _</t>
  </si>
  <si>
    <t>for a long time variation case (s = 1). It is consistent</t>
  </si>
  <si>
    <t>about (kT,/q)(Vn/n), where V = O/Oz. The typical</t>
  </si>
  <si>
    <t>.AM = 0.12 and = 0.19, we obtain Vthr ,o 3.6vc, which</t>
  </si>
  <si>
    <t>have been carried out with Cbi = 82A /xF, Cb2 =</t>
  </si>
  <si>
    <t>(d) 16 kV. I m = 2.45 kA, p 0 = 34 mTorr., &lt;Z&gt;bi = 8 kV.</t>
  </si>
  <si>
    <t>^o/^w=(r ol+ r O2)/(r wi+ r W2)</t>
  </si>
  <si>
    <t>im = 2.5kA, p 0=34mTorr., $ bl=8kV, &lt;P b2=14kV.</t>
  </si>
  <si>
    <t>ratio r o/rw- Im = 3.4 kA, p 0 = 33 mTorr., #bi = 8 kV,</t>
  </si>
  <si>
    <t>(c) 8 mm; (d) 24 mm. J m=2.45kA, £&gt; 0 = 34 mTorr.,</t>
  </si>
  <si>
    <t>&lt;pbl = 8 kV, ®b2 = 6 kV. Turnable tube absent.</t>
  </si>
  <si>
    <t>012 =j v&lt;p Bdr = voj VB dr (1)</t>
  </si>
  <si>
    <t>Here F=v,,/w 0 is a normalized expression for the</t>
  </si>
  <si>
    <t>which drops to zero at r=r 01 and r 02 under the influ-</t>
  </si>
  <si>
    <t>vn = v l(r Vlr ) (2)</t>
  </si>
  <si>
    <t>as calculated from V=V(r 0) and the field given in</t>
  </si>
  <si>
    <t>nm-r- = ?ira — + v-V v=ixB</t>
  </si>
  <si>
    <t>current density, m = mi-\-m e, p=Pi+Pe, Pi and p e</t>
  </si>
  <si>
    <t>are the ion and electron pressures, rj = mcvdle2n is</t>
  </si>
  <si>
    <t>z= pi I vu (1 + 4 cui2/vii2) (6)</t>
  </si>
  <si>
    <t>have E v = 0.</t>
  </si>
  <si>
    <t>central cell, U(z)=qφ(z)is the potential energy for the q-charged ion in the electrostatic potential</t>
  </si>
  <si>
    <t>distributionφ(z). Thez=0point is the device mid-plane. We imply that the measurement</t>
  </si>
  <si>
    <t>fi=n(mi</t>
  </si>
  <si>
    <t>2=qΔφ. (2.3)</t>
  </si>
  <si>
    <t>Ti=mic2</t>
  </si>
  <si>
    <t>Δφ=mic2</t>
  </si>
  <si>
    <t>in the expanding plasma ﬂow drops with the expansion ratio k=H(z)/H0roughly linear. In the</t>
  </si>
  <si>
    <t>the optics) Θ&gt;90◦. This angle varies from Θ0=150◦on the axis to the Θedge=130◦on the</t>
  </si>
  <si>
    <t>recorded at t=8 ms during the plasma heating phase. One may observe both the nar row cold-gas</t>
  </si>
  <si>
    <t>Figure 3. The spectrum recorded on the axis with the CX gas target in GDT shot 49311 at t=8 ms,exposure</t>
  </si>
  <si>
    <t>τ=0.5 ms: (1) bright D- αand H-αlines (cut out), (2) C-II lines 657.8 nm and 658.3 nm, (3) He-I line</t>
  </si>
  <si>
    <t>spectrum corresponding to the accelerated IDF. Acquisitio n timing parameters: t=8 ms,τ=0.5 ms.</t>
  </si>
  <si>
    <t>timing parameters: t=8 ms,τ=0.5 ms.</t>
  </si>
  <si>
    <t>u=ωR2∇φ, (2.1)</t>
  </si>
  <si>
    <t>cs=ωRmax</t>
  </si>
  <si>
    <t>cs=ωRmax/√</t>
  </si>
  <si>
    <t>B=∇ψ×∇φ, (2.3)</t>
  </si>
  <si>
    <t>ﬁeld is dominantly perpendicular to the magnetic ﬁeld, so that E·B=0. To satisfy this</t>
  </si>
  <si>
    <t>E=−∇ψdΦ</t>
  </si>
  <si>
    <t>B·∇ω=0, (2.5)</t>
  </si>
  <si>
    <t>and so ω=ω(ψ) is a ﬂux function. In strongly magnetized plasmas, any part of this ﬂow</t>
  </si>
  <si>
    <t>a|B|=eρiΦ</t>
  </si>
  <si>
    <t>where eis the electron charge, ρi=mivthi/e|B|is the ion gyroradius and vthi=√2Ti/miis</t>
  </si>
  <si>
    <t>s=Ns(ψ)exp(</t>
  </si>
  <si>
    <t>Ξsis a potential, we can choose its zero to be anywhere. We therefore choose Ξs=0a t</t>
  </si>
  <si>
    <t>the midplane ( z=0,R=Rmax) so that ns=Nsa tt h em i d p l a n e( s e e( 2.9)). This choice</t>
  </si>
  <si>
    <t>MCTrans++ primarily solves the transport equations at the midplane, where Ns=ns,</t>
  </si>
  <si>
    <t>∂RRΓs=Sn,s, (2.10)</t>
  </si>
  <si>
    <t>∂RRqs=π(Rφ)</t>
  </si>
  <si>
    <t>s=−jRRB+Sω. (2.12)</t>
  </si>
  <si>
    <t>R=2πRLj R.2We never need</t>
  </si>
  <si>
    <t>Ξs=Zseϕ−ms</t>
  </si>
  <si>
    <t>We eliminate Nsby noting that ZiNi=Neon a given ﬂux surface ψ. So, up to a possible</t>
  </si>
  <si>
    <t>(atR=Rmax) in terms of suitably normalized variables,</t>
  </si>
  <si>
    <t>Te=(Zi+τ)−1(R2</t>
  </si>
  <si>
    <t>In the simplest form of ( 2.16), where Zi=1,Ti=TeandR=Rmin, we end up with</t>
  </si>
  <si>
    <t>parameter elsewhere, but use Zi=1 simply to show agreement with Ellis et al. (2001). We</t>
  </si>
  <si>
    <t>End Losses=−(2nsΣ√π)</t>
  </si>
  <si>
    <t>(R=Rmax); whereas the optimistic assumption would be at the throat ( R=Rmin). In</t>
  </si>
  <si>
    <t>can no longer shield parallel electric ﬁelds, i.e. B·∇ω̸=05. For this study, we have</t>
  </si>
  <si>
    <t>chosen Rexh=Rmin, but § 4.2.2 discusses how varying Rexhchanges results.</t>
  </si>
  <si>
    <t>i=1, quasineutrality implies that the particle ﬂux of ions must match</t>
  </si>
  <si>
    <t>τi=6√2miπ3/2T3/2</t>
  </si>
  <si>
    <t>niZ4e4λi;τe=6√2meπ3/2T3/2</t>
  </si>
  <si>
    <t>isZi-dependent and takes the value given for Zi=1( f o rt h e Zi-dependence of this</t>
  </si>
  <si>
    <t>i=π(ψφ)</t>
  </si>
  <si>
    <t>Strongly magnetized ( ρ∗=ρi</t>
  </si>
  <si>
    <t>dt=Vcap−V−RlI</t>
  </si>
  <si>
    <t>ns(vs,vn)=nsnnvrσ(v r)fs(vs)fn(vn)d3vsd3vn, (3.3)</t>
  </si>
  <si>
    <t>fs(vs)d3vs=1, as is standard in atomic physics) and σis a collision cross-section.</t>
  </si>
  <si>
    <t>|u|≡Mc s=ωRmaxsuch that</t>
  </si>
  <si>
    <t>fn(vn)=δ(vn), (3.5)</t>
  </si>
  <si>
    <t>Jacobian is d3vs=v2</t>
  </si>
  <si>
    <t>vsx=vssinθscosφs,ux=0,</t>
  </si>
  <si>
    <t>vsy=vssinθssinφs,uy=0,</t>
  </si>
  <si>
    <t>vsz=vscosθs,uz=u,⎫</t>
  </si>
  <si>
    <t>Rns=2nsnn</t>
  </si>
  <si>
    <t>u/vths=Mc s/vthssuch that</t>
  </si>
  <si>
    <t>Rns=nsnn</t>
  </si>
  <si>
    <t>The computed rate coefﬁcients for an arbitrary value of M=4 demonstrates</t>
  </si>
  <si>
    <t>λn∗=vn∗</t>
  </si>
  <si>
    <t>dE/dt γν–() E,γ hN. ==</t>
  </si>
  <si>
    <t>is possible to use the known results for relaxation oscillations inthe two-level maser with the constant particle source [3]. Thebelow analytical analysis and numerical calculations conﬁrm thatthis approximation makes it possible to correctly determine theperiod, initial modulation depth, and decrement of relaxationoscillation; however, the long-term evolution of the amplitude ofthe waves in the pulse is determined incorrectly in this case.h γ0/N0const, νν01ν*t –() . == =</t>
  </si>
  <si>
    <t>bility threshold condition γ = ν (the γ and ν plots are</t>
  </si>
  <si>
    <t>with a frequency of ω = :Nt()ν</t>
  </si>
  <si>
    <t>γ0----------, ==</t>
  </si>
  <si>
    <t>γ0ν--------. ==</t>
  </si>
  <si>
    <t>ν---δN. – ==</t>
  </si>
  <si>
    <t>dt-----δN/ν () . –=</t>
  </si>
  <si>
    <t>stant equal to ω = . From this condition, thed2</t>
  </si>
  <si>
    <t>dt2-------δN/ν () ω2δN/ν () +0 . =</t>
  </si>
  <si>
    <t>ω------, =</t>
  </si>
  <si>
    <t>δE˜ω/ν() δ N˜. =</t>
  </si>
  <si>
    <t>Fig. 1. Time dependence of (left panel) the deviation δN = N – of the density of hot electrons from the average value, (middle</t>
  </si>
  <si>
    <t>the linear regime by solving the system of Eqs. (1) and (2) with h = const, ν = ν0(1 – ν*t), ν0/γ0 = 1.005, ν*/γ0 = 10–4, and ε0 =</t>
  </si>
  <si>
    <t>Fig. 2. Same as in Fig. 1, but for the nonlinear regime for ν0/γ0 = 1.05.</t>
  </si>
  <si>
    <t>passes through the threshold γ = ν (i.e., N = ) twice</t>
  </si>
  <si>
    <t>period, the decrement change per period, and the oscil-lation period follows from this property. If anotherpoint is not indicated, all the time-dependent quantitiesare taken at the time corresponding to the maximumﬁeld intensity (when γ = ν). The energy conservation</t>
  </si>
  <si>
    <t>sion ≈ –Th/ν2 = –N0Th/γ0ν, which exactly cor-</t>
  </si>
  <si>
    <t>short ﬁeld pulse can be neglected. In this case, the sys-M ω/2πν* ν0/ν*/2π. ==</t>
  </si>
  <si>
    <t>∫–≈ν τTE. –=</t>
  </si>
  <si>
    <t>period are precipitated to the time when E = Emax.</t>
  </si>
  <si>
    <t>ντpx = α, where α ≈ 12.1 is the root of the transcendent</t>
  </si>
  <si>
    <t>sian E = Eminexp(νxt2/2τT), and E = E0 at t ≈ ±τT/2 (at</t>
  </si>
  <si>
    <t>E = E0, the solutions are matched at the interface</t>
  </si>
  <si>
    <t>probe is Dz=3.2 mm. Due to the size of the probe holder</t>
  </si>
  <si>
    <t>cyclotron resonance frequency (forB=2.4–2.6T )the</t>
  </si>
  <si>
    <t>ture and plasma density proﬁle calculated from the ion satu-ration current near 100 ms during the discharge for rf powerof 150 kW and magnatic ﬁeld of 0.24 T in the central cell ofthe Hanbit device. The line intensity and the net rf inputpower showed good reproducibility near 100 ms. Toward thecenter of the chamber, the electron temperature decreaseswhile electron density increases after a sudden drop aroundr=30 mm, which is not clear with the current data. More</t>
  </si>
  <si>
    <t>FIG. 1. GET probe conﬁguration (triple probes: d=1 mm, L=2.7 mm,</t>
  </si>
  <si>
    <t>Mach probes: d=1 mm, L=4.35 mm, emissive probe: d=0.24 mm, L</t>
  </si>
  <si>
    <t>the results are similar (R=exp fkMg,M=V</t>
  </si>
  <si>
    <t>d/˛Te/mi,k=1.2</t>
  </si>
  <si>
    <t>γ=const,U (ψ)=∫+</t>
  </si>
  <si>
    <t>is the pressure, Uis the speciﬁc ﬂux tube volume, γ=5/3</t>
  </si>
  <si>
    <t>Idiv (%)Icomp=170%</t>
  </si>
  <si>
    <t>Icc=110%x-point</t>
  </si>
  <si>
    <t>Icomp = 170%</t>
  </si>
  <si>
    <t>ICC = 110%East probes</t>
  </si>
  <si>
    <t>¨r=−∂/Phi1</t>
  </si>
  <si>
    <t>∂r, ¨z=−∂ψ</t>
  </si>
  <si>
    <t>∂z,r ˙θ=−q(ψ−ψ0)</t>
  </si>
  <si>
    <t>equation N=∫</t>
  </si>
  <si>
    <t>f0+f2,X =f1−f3</t>
  </si>
  <si>
    <t>N i = Nneutra I X (1 - exp -t/)</t>
  </si>
  <si>
    <t>I=n(h)xaxv</t>
  </si>
  <si>
    <t>of 400 km MSIS-86 [Hedin, 1987] gives n=5 x 107/cm 3 and</t>
  </si>
  <si>
    <t>with v = 12 km/s, the velocity of the peak in the velocity distribu-</t>
  </si>
  <si>
    <t>2π√C0L0=870 kHz (2)</t>
  </si>
  <si>
    <t>adj=1−(1−R2)(n−1)</t>
  </si>
  <si>
    <t>Efb=N∑</t>
  </si>
  <si>
    <t>i=1hf∑</t>
  </si>
  <si>
    <t>f=lfFFT2(f) (5)</t>
  </si>
  <si>
    <t>(vφ=Vp/aB). An examination of a discharge struck in a background helium envi-</t>
  </si>
  <si>
    <t>is consistent with Alfv´ en’s theory of a critical ionization velocity ( vφ=√</t>
  </si>
  <si>
    <t>Le=4, where qLeis the electron Larmor radius.</t>
  </si>
  <si>
    <t>Te=mep/C16/C17</t>
  </si>
  <si>
    <t>of particle ifollows an exp ð/C0di=KizÞdistribution,28where Kizis the</t>
  </si>
  <si>
    <t>s¼CLi=CD, by adjusting the wall temperature and the</t>
  </si>
  <si>
    <t>s¼CLi=CDand the final state of the plasma –wall transition. For low</t>
  </si>
  <si>
    <t>s¼CLi=CDas previously discussed, has a strong impact on</t>
  </si>
  <si>
    <t>various flux ratios ( cs¼CLi=CD)</t>
  </si>
  <si>
    <t>Tsintroduces the limitation of altering the ratio cs¼CLi=CDbetween</t>
  </si>
  <si>
    <t>Tsð/C14CÞ CLiðm/C02s/C01Þ cs hdizi=kD credð5/C14Þð%Þ credð15/C14Þð%Þ credð30/C14Þð%Þ</t>
  </si>
  <si>
    <t>redeposition rate strongly depends on the E=Bratio, as shown in</t>
  </si>
  <si>
    <t>nnomðm/C03Þ cs hdizi=kD credð30/C14Þð%Þ</t>
  </si>
  <si>
    <t>¼lnðbmax=bminÞ. The upper limit bmaxis taken as the distance beyond</t>
  </si>
  <si>
    <t>/C25ðmp=meÞTi/C251836 Ti.A t1 0 g c m/C03andTi¼0:1/C01 eV, includ-</t>
  </si>
  <si>
    <t>Quantum degeneracy is measured by H/C17T=TF,w i t hF e r m i</t>
  </si>
  <si>
    <t>f/C17bQ=bCl, choosing bQ¼Kththe thermal de Broglie wavelength —</t>
  </si>
  <si>
    <t>Q=bClwithbQ¼KthandbCl¼e2=ð4pe0kBTÞ:f/C281</t>
  </si>
  <si>
    <t>tors with imaginary-time step db/C17b=P.</t>
  </si>
  <si>
    <t>neighboring beads, and each potential factor contributes U=Pevalu-</t>
  </si>
  <si>
    <t>findxp=xRP/C281( s e e Table II ), ensuring that the transport properties</t>
  </si>
  <si>
    <t>TABLE II. Simulation parameters for C¼0:1 over varying f¼bQ=bCl.</t>
  </si>
  <si>
    <t>th xp=xRP</t>
  </si>
  <si>
    <t>C¼0:1, while the quantum –classical length-scale ratio f¼bQ=bClis</t>
  </si>
  <si>
    <t>p=xRP, which remains /C281 across all cases, confirming that the sim-</t>
  </si>
  <si>
    <t>Using Eq. (12) and Tp/C172p=xp, one period spans Tp=Dt¼2p=</t>
  </si>
  <si>
    <t>variables with f/C17bQ=bCl(where bQ/C17KthandbCl/C17e2=4pe0kBT),</t>
  </si>
  <si>
    <t>Abe=CMþC3f2</t>
  </si>
  <si>
    <t>FIG. 3. Normalized potential energy Uex=ðNkBTÞvsf¼bQ=bClatC¼0:1. Black</t>
  </si>
  <si>
    <t>thÞ(Wigner –Kirkwood) approximation as f¼bQ=bCl</t>
  </si>
  <si>
    <t>value in equilibrium. Because f/C17bQ=bCl/T/C01=2, these natural ther-</t>
  </si>
  <si>
    <t>coupled Coulomb fluids.55,56Forr=a/H114070:4t h e gðrÞcurves essentially</t>
  </si>
  <si>
    <t>lapse for r=a/H114070:4, reflecting the weakly correlated structure of the UEG across</t>
  </si>
  <si>
    <t>[with frequencies xk¼2xPsinðkp=PÞ]w i t h k¼1;…;P/C01. For a</t>
  </si>
  <si>
    <t>particle ring polymer hu2i//C22h2b=m¼O ðK2</t>
  </si>
  <si>
    <t>time is expressed in plasma periods Tp/C172p=xp[abscissa t=Tp¼txp=ð2pÞ], and displacement is normalized by the Wigner –Seitz radius squared a2.</t>
  </si>
  <si>
    <t>FIG. 6. Dimensionless diffusion coefficient D?¼D=ða2xpÞvsf¼bQ=bClat</t>
  </si>
  <si>
    <t>max=bminÞ.8In the</t>
  </si>
  <si>
    <t>lnK/C25lnðkD=b0Þ.8Under our conditions, the short-range cutoff can be</t>
  </si>
  <si>
    <t>f/C17bQ=bCl;t h u s f/C281 recovers Rutherford-like behavior, while f/H114071</t>
  </si>
  <si>
    <t>kinetic theory across the f¼bQ=bClgrid.</t>
  </si>
  <si>
    <t>polymer centroids at C1ð0Þ¼ð /C0 x0;þb=2;0Þand C2ð0Þ¼</t>
  </si>
  <si>
    <t>ðþx0;/C0b=2;0Þwith velocities ðþvth;0;0Þandð/C0vth;0;0Þ,r e s p e c -</t>
  </si>
  <si>
    <t>effects). The timescale of interest here is the transit time in the largemagnetic mirror system, s/C25L=v</t>
  </si>
  <si>
    <t>moment is conserved for ions, i.e., qi&lt;LB/C17ð j r Bj=BÞ/C01(magnetic</t>
  </si>
  <si>
    <t>velocity, ^fi¼f=n0is the normalized distribution function. Some ions</t>
  </si>
  <si>
    <t>time step), and the collisional cells coincide with the PIC cells of size Dx.The collision processes satisfy Dx=kmfp/C281a n d Dtcoll/C23coll/C281, where</t>
  </si>
  <si>
    <t>FE¼A½CþDðE=E0Þ2/C0/C1</t>
  </si>
  <si>
    <t>B/C0E=E0 ðÞ þexp/C0ðE=E0/C0BÞ2=2n2/C0/C1</t>
  </si>
  <si>
    <t>where a¼0:1T;b¼0:6T;z0¼L=2;dB¼0:15, hence the mirror</t>
  </si>
  <si>
    <t>the transition through ion-sound velocity at around the maximum of magnetic field (at the center); it is not precise ( vi=cs¼1) due to the definition c2</t>
  </si>
  <si>
    <t>s/C17Te=miwhich neglects</t>
  </si>
  <si>
    <t>events is obtained as bCX¼hrvicx¼SCX=nan,w h e r e Sðm/C03s/C01ÞisTABLE II. Simulation parameters for Base case with collisions.</t>
  </si>
  <si>
    <t>in the near-wall region is similar, the so-called transitionalflow which is defined by Knudsen numbers between 0.1 and10 (non-dimensional parameter defined as k=L). The resulting</t>
  </si>
  <si>
    <t>s¼Te=miis the ion sound velocity. The dispersion relation</t>
  </si>
  <si>
    <t>kL=2p¼10 (which roughly corresponds to the observed unstable</t>
  </si>
  <si>
    <t>εp=1−ω2</t>
  </si>
  <si>
    <t>mε0, ν =p0K(Te), (2)</t>
  </si>
  <si>
    <t>parameters: ne=1.24×1018m−3,p0=0.33 mbar, Te=3 eV.</t>
  </si>
  <si>
    <t>σp=ε0ω2</t>
  </si>
  <si>
    <t>(i.e., electrons) is usually 1028m−3, namely fp=ωp/2π≈</t>
  </si>
  <si>
    <t>ωc=qB0</t>
  </si>
  <si>
    <t>functions of the first and second kind. The parameters τp=(</t>
  </si>
  <si>
    <t>k0=2πc0/fis the wavenumber and c0the speed of</t>
  </si>
  <si>
    <t>light in vacuum. The coefficient β=2π/λ effgives the</t>
  </si>
  <si>
    <t>A=cos(</t>
  </si>
  <si>
    <t>B= −jZ0√εpsin(</t>
  </si>
  <si>
    <t>C= −j√εp</t>
  </si>
  <si>
    <t>D=cos(</t>
  </si>
  <si>
    <t>achieved by a choice of ϵp=0.4–0.5. However, the study</t>
  </si>
  <si>
    <t>T¼hTeþTii=2.</t>
  </si>
  <si>
    <t>Te¼2Ti=3¼1 keV and Te¼Ti=4¼0:5 keV, it takes, respectively,</t>
  </si>
  <si>
    <t>to the electron detachment in air. The experimental results showed that at P=1 bar, the discharge inception</t>
  </si>
  <si>
    <t>trend of the inception and breakdown voltages was observed at P=2 bar. The simulation results show</t>
  </si>
  <si>
    <t>P=1 bar.</t>
  </si>
  <si>
    <t>SFg/CO2mixed gas with different mixing ratios at P=2 bar.</t>
  </si>
  <si>
    <t>and pure CO 2at two different pressures (P =1−2 bar)</t>
  </si>
  <si>
    <t>P=1 bar. Moreover, the discharge inception and</t>
  </si>
  <si>
    <t>At P=2 bar, both the initiation and complete breakdown</t>
  </si>
  <si>
    <t>At P=1 bar, the difference between the discharge initiation</t>
  </si>
  <si>
    <t>increased to 4 kV with increasing pressure to P =2 bar.</t>
  </si>
  <si>
    <t>P=1bar.</t>
  </si>
  <si>
    <t>varying mixing ratios for 4 kV at P=2 bar. The struc-</t>
  </si>
  <si>
    <t>As in the previous case, that is, at P =1 bar, three distinct</t>
  </si>
  <si>
    <t>SFσ/CO2(4kV and P =2bar ).</t>
  </si>
  <si>
    <t>density and electric field decrease at P=2 bar, as shown</t>
  </si>
  <si>
    <t>that of pure SF 6atP=1 bar. Moreover, the difference</t>
  </si>
  <si>
    <t>•AtP=2 bar, the structure of the streamer remains</t>
  </si>
  <si>
    <t>ðx:½0;Lx/C138;z:½/C0Lz=2;Lz=2/C138Þwith resolution of 2048 /C23072 is taken.</t>
  </si>
  <si>
    <t>/C0Lz=2Bxðx;Z;tÞdZþC; (6)</t>
  </si>
  <si>
    <t>/C0Lz=2Bxðx;ZÞdZatt¼0i . e . , C</t>
  </si>
  <si>
    <t>[ð0;/C0Lz=2Þin the current study] such that A¼ 0 at the interface</t>
  </si>
  <si>
    <t>(z¼0) at time t¼0. Due to the change in value of Bzð0;/C0Lz=2Þ,w e</t>
  </si>
  <si>
    <t>0ðLz=2</t>
  </si>
  <si>
    <t>/C0Lz=21</t>
  </si>
  <si>
    <t>/C0Lz=2gð@jbiÞ2dxdzdt: (9)</t>
  </si>
  <si>
    <t>increase in magnetic Reynolds number ( Rem¼vAh=g). The temporal</t>
  </si>
  <si>
    <t>dt=qE+q[v×B], (1)</t>
  </si>
  <si>
    <t>B= rotAthe magnetic ﬁeld induction, q=Zethe</t>
  </si>
  <si>
    <t>m¨z=qEz−qr˙ϕBr.(2)</t>
  </si>
  <si>
    <t>mrω2+qrωBz+qEr= 0, (3)</t>
  </si>
  <si>
    <t>where˙ϕ=ωis the angular velocity. As is seen from</t>
  </si>
  <si>
    <t>whereviϕ=ωris the rotational velocity. The solu-</t>
  </si>
  <si>
    <t>whereΩi=qBz</t>
  </si>
  <si>
    <t>vir=ver= 0, we obtain that, for ions,</t>
  </si>
  <si>
    <t>Ni∇Pi= 0. (9)</t>
  </si>
  <si>
    <t>whereP=Pe+Piis the total plasma pressure; ρis</t>
  </si>
  <si>
    <t>≪mi);v=Np(mivi+meve)/ρis the velocity</t>
  </si>
  <si>
    <t>of the plasma charged component; and j=eNp×</t>
  </si>
  <si>
    <t>×(vi−ve)is the current density ( Ni=Ne=Np).</t>
  </si>
  <si>
    <t>t=0x(t)x(t+τk), (16)</t>
  </si>
  <si>
    <t>t=0x(t)y(t+τk), (17)</t>
  </si>
  <si>
    <t>UB= 2(1), 1.4 ( 2), and 0.84 kV(3)</t>
  </si>
  <si>
    <t>velocity of plasma layers with Np=N1,2</t>
  </si>
  <si>
    <t>so selected that, ﬁrstly, a layer with Np=N1,2</t>
  </si>
  <si>
    <t>withNp=N1,2</t>
  </si>
  <si>
    <t>withNp=N1</t>
  </si>
  <si>
    <t>from a UHF-interferometer, λ= 8mm (3)</t>
  </si>
  <si>
    <t>ments, the maximum, Np=N1,2</t>
  </si>
  <si>
    <t>ignition gas, Ar, p= 0.8Pa (N0≈2×1014cm−3);</t>
  </si>
  <si>
    <t>tor bank of the magnetic system, UB= 0.85, 1.4, and</t>
  </si>
  <si>
    <t>cr= 1.7×1013cm−3andN2</t>
  </si>
  <si>
    <t>cr= 6.5×1013cm−3,</t>
  </si>
  <si>
    <t>cr= 1.7×1013cm−3</t>
  </si>
  <si>
    <t>cr= 6.5×1013cm−3,which were determined</t>
  </si>
  <si>
    <t>about 1.8 and 1 ms, respectively, at UB= 1.4 kV</t>
  </si>
  <si>
    <t>the ﬁrst stage, the plasma layers with Np=N1,2</t>
  </si>
  <si>
    <t>r=λ, emerge. The second stage includes the pres-</t>
  </si>
  <si>
    <t>ence of plasma layers with Np=N1,2</t>
  </si>
  <si>
    <t>til their radius reaches a certain value r=rmax.</t>
  </si>
  <si>
    <t>the critical density Np=N1,2</t>
  </si>
  <si>
    <t>tial magnetic ﬁeld and, at B= 0.2T (UB= 2 kV ),</t>
  </si>
  <si>
    <t>of plasma layers with Np= 1.7×1013cm−3(layerA)</t>
  </si>
  <si>
    <t>andNp= 6.5×1013cm−3(layerB) obtained for</t>
  </si>
  <si>
    <t>observed at the radius r=rmax. The angular rota-</t>
  </si>
  <si>
    <t>layers with Np=N1,2</t>
  </si>
  <si>
    <t>are coupled by the relation vϕ=ωϕrand may be in-</t>
  </si>
  <si>
    <t>velocities of rotation for layers with Np=N1,2</t>
  </si>
  <si>
    <t>layers with Np= 1.7×1013(a) and6.5×1013cm−3(b) for a</t>
  </si>
  <si>
    <t>mixture Ar + Ti ( p= 0.8Pa,Udis= 3.8 kV, andUB= 2 kV )</t>
  </si>
  <si>
    <t>plasma (Ar + Ti) layers with Np= 1.7×1013(1,△,×) and</t>
  </si>
  <si>
    <t>dimensional calculations, a combination of the particles-in-cells and Monte Carlo (PIC-MCC) methods=2</t>
  </si>
  <si>
    <t>(according to the materials of [13]). The radial coordinate of the internal wall is R = 5 cm; and that of the external wall is</t>
  </si>
  <si>
    <t>R = 10.2 cm.</t>
  </si>
  <si>
    <t>(V/d) B = const = v~</t>
  </si>
  <si>
    <t>V= V o W vcdB , (1)</t>
  </si>
  <si>
    <t>E/B = vc or Ex B/B 2 = vc. (2)</t>
  </si>
  <si>
    <t>the parameter v E/B = V/dB is for this case reported to be 60 km s- 1, i.e. near to</t>
  </si>
  <si>
    <t>the critical velocity vc ~ E/B = 130 km s-1 according to a measured and scaled voltage</t>
  </si>
  <si>
    <t>outer electrode was approximately vc =E/B =45 km s-1 V, i,e. subcritical if the distri-</t>
  </si>
  <si>
    <t>12o = I v (r) B (r) dr.</t>
  </si>
  <si>
    <t>pinch experiment with exception of its filling density yields n= 0;</t>
  </si>
  <si>
    <t>capacitors altogether yields n= 1/3 [17] and the enlargement only</t>
  </si>
  <si>
    <t>of the voltage at the bank of capacitors yields n= 1/2. The real</t>
  </si>
  <si>
    <t>of them has nominal capacity Ci= 0 where istands for the</t>
  </si>
  <si>
    <t>stands for Lp(t) = (µ0l0/2π) ln [r0/r(t)].</t>
  </si>
  <si>
    <t>dt2=6r2(dr/dt )2−3α2I2−4Rt</t>
  </si>
  <si>
    <t>dt=1−Rt</t>
  </si>
  <si>
    <t>that density can be written as ρ0=mn 0where mrepresents the</t>
  </si>
  <si>
    <t>t=0= 0, (8)</t>
  </si>
  <si>
    <t>t=0= 1. (10)</t>
  </si>
  <si>
    <t>tM=RpCp. Based on</t>
  </si>
  <si>
    <t>s1/2dCPVP2=s1/2druf2*VOL fenergy in plasma capacitor=rotational kinetic energy g</t>
  </si>
  <si>
    <t>CP=QP/VP,RP=VP/IP fdefinesCP,RPg</t>
  </si>
  <si>
    <t>Er=VP/aP,uw=Er/B fVPandaPdefine average Efield across capacitor Þinferred average E3Bazimuthal speed, uwg</t>
  </si>
  <si>
    <t>tM=RPCP fplasma rotation damping given by the RC time constant of the leaky plasma capacitor g</t>
  </si>
  <si>
    <t>1/tcx=n0scxuw fdefinition of tCX;assumes supersonic flow g</t>
  </si>
  <si>
    <t>FIG. 3. MCX capacitor bank. VB=5–11 kV, CB=1.3–7 mF, Rs=0.5–3 V.055704-2 Ellis et al. Phys. Plasmas 12, 055704 ~2005 !</t>
  </si>
  <si>
    <t>A visible sl=633 nm dHeNe interferometer was bor-</t>
  </si>
  <si>
    <t>FIG. 4. Typical Omode discharge. CB=3.5 mf, VB=6.5 kV, midplane B</t>
  </si>
  <si>
    <t>numbers sMA=uw/vAdtypically ,0.3, with peak thermal b’s</t>
  </si>
  <si>
    <t>ment time, tM=RPCP, is in the range 100–200 µs. Note we</t>
  </si>
  <si>
    <t>wavelength of 580.13 nm from different, reproducible, MCXdischarges smirror ratio=9, applied voltage=−7 kV, ﬁll pres-</t>
  </si>
  <si>
    <t>sure=5 mTorr, and midplane magnetic ﬁeld=0.1 T d. Fitted</t>
  </si>
  <si>
    <t>sintegration time=100</t>
  </si>
  <si>
    <t>ﬁxed mirror ratio RM=9 forOmode. Only the C3+results are</t>
  </si>
  <si>
    <t>FIG. 7. Ion rotation velocity vs midplane BsOmode,RM=9,VB=7kV d.</t>
  </si>
  <si>
    <t>FIG. 9. Discharge with HR and Omode smidplane B=0.2 T,RM=9,Rs</t>
  </si>
  <si>
    <t>st=1.6 ms d248 1.7 1.08 260</t>
  </si>
  <si>
    <t>st=2.0 ms d98 2.8 0.31 80TABLE III. Characteristic mcx time scales. B=0.2 T, aP=0.2m, LP</t>
  </si>
  <si>
    <t>FIG. 3. MCX capacitor bank. VB=5–11 kV, CB=1.3–7 mF, Rs=0.5–3 V.055704-2 Ellis et al. Phys. Plasmas 12, 055704 ~2005 ! 22 February 2025 22:35:15</t>
  </si>
  <si>
    <t>sonic ﬂow.1High sonic Mach number /H20849Ms=u/H9278/vth, where u/H9278</t>
  </si>
  <si>
    <t>number MA/H11013u/H9278/vA, where vA=B//H20849/H9262/H9267/H208501/2, of the order of</t>
  </si>
  <si>
    <t>through hydrogen neutrals, vcrit=51.4 km /s. Thus, the CIV</t>
  </si>
  <si>
    <t>Rm=Bz/H20849z=1.3 m /H20850/Bz/H20849z=0/H20850between 1 and 19 /H20852, in which a</t>
  </si>
  <si>
    <t>usually but not necessarily at the mirror throats /H20849z=1.3 m</t>
  </si>
  <si>
    <t>ﬁeld lines are also equipotential lines. When Rm=8, the</t>
  </si>
  <si>
    <t>the spectral lines, a typical number being Ti=40/H1100610 eV. By</t>
  </si>
  <si>
    <t>bound of the electron temperature was found at Te=10 eV.16</t>
  </si>
  <si>
    <t>when Vbank=−10 kV, B=0.23 T, Rm=7.5, Rs=2/H9024, and p=5 mTorr. The</t>
  </si>
  <si>
    <t>plasma is initiated at t=0.5 ms and terminated at t=5.5 ms.052503-2 Teodorescu et al. Phys. Plasmas 17, 052503 /H208492010 /H20850</t>
  </si>
  <si>
    <t>IpCp=Qp</t>
  </si>
  <si>
    <t>Vp=Vbank</t>
  </si>
  <si>
    <t>mirror ratio Rm=Bz/H20849z=1.3 m /H20850/Bzi/H20849z=0/H20850of 7.3 and a ﬁxed</t>
  </si>
  <si>
    <t>value of the series resistor Rs=2/H9024, the plasma rotation ve-</t>
  </si>
  <si>
    <t>ration of Rm=7.3 or else /H20850could be attained and whether a</t>
  </si>
  <si>
    <t>u/H9278midplane=u/H9278insulator/H11003Rm1/2. /H208493/H20850</t>
  </si>
  <si>
    <t>/H208490.22 T /H20850for the mirror ratio of Rm=7.5 using Rs=2/H9024. The</t>
  </si>
  <si>
    <t>For a ﬁxed mirror ratio of Rm=7.5, and using ﬁrst</t>
  </si>
  <si>
    <t>Alfvenvelocity(km/s)rotationvelocity(km/s)v=vCIV</t>
  </si>
  <si>
    <t>about 130 km/s for Rs=0.5 /H9024and has lower velocities for</t>
  </si>
  <si>
    <t>Rs=10 /H9024toRs=0.5 /H9024is consistent with the larger Vpex-</t>
  </si>
  <si>
    <t>Rs=0.5 /H9024toRs=0.125 /H9024, indicating a severe degradation</t>
  </si>
  <si>
    <t>Vbank=−14 kV and a midplane magnetic ﬁeld of B=0.22 T.</t>
  </si>
  <si>
    <t>vCIV=vcrit/H11003Rm1/2, /H208494/H20850</t>
  </si>
  <si>
    <t>where vcrit=51 km /s, which the CIV in hydrogen. From</t>
  </si>
  <si>
    <t>absolute value of the applied voltage for B=0.23 T, Rm=7.5, Rs=2/H9024, and</t>
  </si>
  <si>
    <t>p=5 mTorr.</t>
  </si>
  <si>
    <t>midplane for B=0.23 T, Rm=7.5, Rs=2/H9024, and p=5 mTorr. The absolute</t>
  </si>
  <si>
    <t>series resistor for Vbank=−10 kV, B=0.21 T, Rm=6, and p=5 mTorr.</t>
  </si>
  <si>
    <t>v=(52xR m0.5)km/s</t>
  </si>
  <si>
    <t>B=0.22 T, Rs=2/H9024, and p=5 mTorr. The corresponding Alfvén velocity</t>
  </si>
  <si>
    <t>B=0.6 T at the midplane, while lowering the mirror ratio</t>
  </si>
  <si>
    <t>timal mirror ratio of Rm=7.5. The experiments are performed</t>
  </si>
  <si>
    <t>plasma, P=Ip·Vp. The effects of this power increase are</t>
  </si>
  <si>
    <t>netic ﬁeld for Vbank=−16 kV, Rm=1–7.5, Rs=2/H9024, and p=5 mTorr. The</t>
  </si>
  <si>
    <t>u/g73(km/s)/g87(/g80s)Rm=7.5</t>
  </si>
  <si>
    <t>velocity for Rm=7.5 /H20849ﬁlled symbols /H20850andRm=1/H20849open symbols /H20850.</t>
  </si>
  <si>
    <t>resistance RsforVbank=−14 kV, Rm=7.5, and p=5 mTorr.052503-5 Sub-Alfvénic velocity limits … Phys. Plasmas 17, 052503 /H208492010 /H20850</t>
  </si>
  <si>
    <t>t=0.5 ms. The valve is opened at t=1 ms and closed at</t>
  </si>
  <si>
    <t>t=5 ms. The breakdown occurs at t/H110116.7 ms and the bank</t>
  </si>
  <si>
    <t>voltage is disconnected at t=8 ms. The puff valve had to be</t>
  </si>
  <si>
    <t>changed in the sense that for a mirror ratio of Rm=7.5, the</t>
  </si>
  <si>
    <t>were as follows: for ﬁxed applied parameters and Rm=7.8,</t>
  </si>
  <si>
    <t>51.4/H11003/H208494.4/H208501/2km/s=107 km /s. Hence, plasma rotation ve-</t>
  </si>
  <si>
    <t>the mirror ratio used was Rm=6, this velocity corresponds to</t>
  </si>
  <si>
    <t>u/H9278insulator=37 km /s at the location of the insulator /H20849mirror</t>
  </si>
  <si>
    <t>locity in helium is vcrit,He =35 km /s. The Alfvén velocity</t>
  </si>
  <si>
    <t>u=90/H1100610 km /s, consistent with the average value</t>
  </si>
  <si>
    <t>ion temperature of Ti=40 eV, hence a sonic Mach number</t>
  </si>
  <si>
    <t>plane, and conﬁnement time using helium at preﬁll pressure p=5 mTorr</t>
  </si>
  <si>
    <t>primary plasma flow V = cB-*[E x B] and the</t>
  </si>
  <si>
    <t>[ mV nedt = vionne VT - eQI - Te 1 (2)</t>
  </si>
  <si>
    <t>expansion speed of the cometary gas u = 1 km SC’,</t>
  </si>
  <si>
    <t>plasma flow across the magnetic field B = Be, with</t>
  </si>
  <si>
    <t>velocity V = Ve, through such a dense gas that the</t>
  </si>
  <si>
    <t>1 a =17</t>
  </si>
  <si>
    <t>n = 0.025. (14)</t>
  </si>
  <si>
    <t>then as V,, = 400 km s-‘, nSw = 5 cmm3, T.,,, =</t>
  </si>
  <si>
    <t>one km s-l, Uion = 2 X lo-l6 for T. s 100 eV (see Ip,</t>
  </si>
  <si>
    <t>strength can reach at maximum the value B = 50 y</t>
  </si>
  <si>
    <t>+&amp;at = 2~,l~l3 (A.2)</t>
  </si>
  <si>
    <t>‘T ytWk= vionncmav/2.</t>
  </si>
  <si>
    <t>see that it is exactly zero for a = 1.7 since the growth</t>
  </si>
  <si>
    <t>a = 1.7. However, in the presence of the tail electrons (as</t>
  </si>
  <si>
    <t>reach the maximum value at a = 2.8: neglected (see details in Galeev, 1%5), i.e.</t>
  </si>
  <si>
    <t>for given a = 2.8.</t>
  </si>
  <si>
    <t>andxR=xciis the ratio of the</t>
  </si>
  <si>
    <t>drA/C25kAT =Dr, where kis the classical trans-</t>
  </si>
  <si>
    <t>xRMF = 4.3 MHz and power of</t>
  </si>
  <si>
    <t>IEPC (2013). IEPC-2013-296. http://www.iepc2013.org/get?id=296</t>
  </si>
  <si>
    <t>https://www.tandfonline.com/action/journalInformation?journalCode=lsst20</t>
  </si>
  <si>
    <t>Figure 4. The radial and azimuthal velocity profiles in the boundary layer in the case of an extended disk: a) dT/dZ = 0 (n = T1/T2 = 1); b)</t>
  </si>
  <si>
    <t>Figure 5. The axial pressure gradient distribution dp=dr (1) and the centrifugal force ρυ2</t>
  </si>
  <si>
    <t>φ=r (2) in the cases of (a) and (b) in Fig. 4.SEPARATION SCIENCE AND TECHNOLOGY</t>
  </si>
  <si>
    <t>p¼ρ&lt;T=μ; (8)</t>
  </si>
  <si>
    <t>under the conditions: ω12R�2=cpT��1, where T* is the</t>
  </si>
  <si>
    <t>Assuming the Poisson constant γ¼5=3; the angular</t>
  </si>
  <si>
    <t>velocity ω1¼1041/s; R�¼0:05m and cp = 1000 J/kg·K,</t>
  </si>
  <si>
    <t>for ω12R�2=cpT��0:1.</t>
  </si>
  <si>
    <t>dz;υz1¼υzρ=ρ1 (12);(13)</t>
  </si>
  <si>
    <t>temperature, i.e. η¼η1T=T1 and κ¼κ1T=T1ðÞ.[21]</t>
  </si>
  <si>
    <t>0=ρ1ω1&lt;&lt;1:</t>
  </si>
  <si>
    <t>where χ1¼κ1=ρ1cp is the thermal diffusivity; ν1¼</t>
  </si>
  <si>
    <t>the function vz0¼vz1þk1, where k1¼ρ0k=ρ1 and ρ0 is</t>
  </si>
  <si>
    <t>the dimensionless functions: g¼G=ω1, f¼F=ω1 and</t>
  </si>
  <si>
    <t>ω1=ν1p</t>
  </si>
  <si>
    <t>where Pr = v1/χ1 is the Prandtl number and the prime</t>
  </si>
  <si>
    <t>n = T1/T0 and the Prandtl number Pr.SEPARATION SCIENCE AND TECHNOLOGY</t>
  </si>
  <si>
    <t>Prandtl numbers (e.g. Pr = 0.7 in Fig. 6), with an</t>
  </si>
  <si>
    <t>sifies and at Pr = 0.3 (see Fig. 7) there is a change in the</t>
  </si>
  <si>
    <t>force.With the Prandtl number Pr = 0.1, the absolute value</t>
  </si>
  <si>
    <t>z�ρD=ρhiR�, where D is the self-diffusion</t>
  </si>
  <si>
    <t>ρD�η�104kg=m�s (where η is the dynamic viscosity</t>
  </si>
  <si>
    <t>coefficient, ρhi¼104kg=m3 and R�¼0:05m), we</t>
  </si>
  <si>
    <t>the results obtained for Pr = 0.3 and for n¼4 (see Fig. 6).</t>
  </si>
  <si>
    <t>Considering that Vz≈Vrδ=R�, where the thickness of the</t>
  </si>
  <si>
    <t>η=ρhiω1p</t>
  </si>
  <si>
    <t>boundary layer at the Prandtl number Pr = 0.7 and various values</t>
  </si>
  <si>
    <t>boundary layer at the Prandtl number Pr = 0.3, for values of the</t>
  </si>
  <si>
    <t>n parameter, where for curve 1 n = 1; 2 n = 1.5; 3 n = 2 and</t>
  </si>
  <si>
    <t>4 n = 4.</t>
  </si>
  <si>
    <t>boundary layer at the Prandtl number Pr = 0.1 and for the same</t>
  </si>
  <si>
    <t>Atomic Number Z=117. Phys. Rev. Lett. 2010 , 104,</t>
  </si>
  <si>
    <t>P-i=frwiwhere~~~</t>
  </si>
  <si>
    <t>value.Usuallyin(1)and(2),ti=0,epi=0,andri=ra.SI</t>
  </si>
  <si>
    <t>potentialenergy.Thevalueof&amp;atr=raisdenotedbyEa.</t>
  </si>
  <si>
    <t>Here,themeanradiusisRm=1l/2(Rmax±Rmin).Theposi-</t>
  </si>
  <si>
    <t>f=27r/(WBAt). (15)</t>
  </si>
  <si>
    <t>andC=1±(8±a)1I2ThetwovaluesofCcorrespondto</t>
  </si>
  <si>
    <t>At=2r/l[WB(l -4Q)1/2]</t>
  </si>
  <si>
    <t>Aot=ir[1-(1-4Q)-./2]</t>
  </si>
  <si>
    <t>D=1RQ-'[I-(I-4Q)1/21(16)</t>
  </si>
  <si>
    <t>realroots'(where r=0)forallthreeradialdistributions ofE.</t>
  </si>
  <si>
    <t>'ThatR=1isarootcanbeverifiedbyfactoring(11).Forthecase</t>
  </si>
  <si>
    <t>ofEaR(11)isquadraticinX=R2andthesecondrootisfoundim-</t>
  </si>
  <si>
    <t>respectively.2LetX=R2andR-2intheintegralsforAtandA&lt;t,respectively.</t>
  </si>
  <si>
    <t>Vcy=(VlVd)'(V_L-Vd)</t>
  </si>
  <si>
    <t>caseofE=Earra,</t>
  </si>
  <si>
    <t>JB=r2{_-+[1+(8t,)1/2sina]/(44)}/[(44)-' 1]I</t>
  </si>
  <si>
    <t>AsRex=1isalwaysaroot,theradialspanofthetotaltra-</t>
  </si>
  <si>
    <t>symmetrywhenv,p,a&lt;0andQ=(8Ma)1.Atthesepoints</t>
  </si>
  <si>
    <t>decreasesuntilRmin=Rmax=1.Herethetrajectoryreduces</t>
  </si>
  <si>
    <t>mr=mr2+q(E+r&lt;B).</t>
  </si>
  <si>
    <t>Whenr-=0andr=ra,theazimuthalvelocityis</t>
  </si>
  <si>
    <t>&amp;a=(1-1-Q4)2/8Q2 (23)</t>
  </si>
  <si>
    <t>theconstant&amp;alineswiththeR=1line.Themaximumvalue</t>
  </si>
  <si>
    <t>totictotheQ=1line.</t>
  </si>
  <si>
    <t>Fig.2.Radialextrema,Rex =RminandRmax'ofthetrajectories.</t>
  </si>
  <si>
    <t>(i)VUp,a&lt;0,&amp;a=0-3,Q=0.025,&amp;a=0-3,Q=0.150,</t>
  </si>
  <si>
    <t>&amp;a=0.3,Q=0.200,&amp;a=-0-3,a=-0.1,</t>
  </si>
  <si>
    <t>S9a=0.3,--0.2,</t>
  </si>
  <si>
    <t>The&amp;;a=0curvesonFig.2(a)-(c) canbeidentified as</t>
  </si>
  <si>
    <t>theRex, &amp;2spaceintofourzonesinwhichthetrajectoriesD=0.92,</t>
  </si>
  <si>
    <t>D=1.00,</t>
  </si>
  <si>
    <t>D=1.16,</t>
  </si>
  <si>
    <t>D=0.92,</t>
  </si>
  <si>
    <t>D=0.86,</t>
  </si>
  <si>
    <t>D=0.75,</t>
  </si>
  <si>
    <t>D =1.25,</t>
  </si>
  <si>
    <t>D=0.18,IAVcy/ucyl =0.026</t>
  </si>
  <si>
    <t>IAVcy/vcyl =0.226</t>
  </si>
  <si>
    <t>IAUcy/vcyl =0.382</t>
  </si>
  <si>
    <t>lAvcy/vcyl =0.040</t>
  </si>
  <si>
    <t>IAVcy/vcyl =0.071</t>
  </si>
  <si>
    <t>IAVcy/vcyl =0.134</t>
  </si>
  <si>
    <t>I4Vcy/vcyl =0.041</t>
  </si>
  <si>
    <t>IAVcy/Vcyl =0.103</t>
  </si>
  <si>
    <t>lAvcy/VcyI =0.521</t>
  </si>
  <si>
    <t>at-0.5and&amp;;aisvariedsufficiently tocrosstheRex=1line</t>
  </si>
  <si>
    <t>vicinityofR=0.</t>
  </si>
  <si>
    <t>Sincethelocationwhere(F=baisarbitrary,racanbe</t>
  </si>
  <si>
    <t>Driftissometimesapproximated [5]bysettingr=0and</t>
  </si>
  <si>
    <t>wavelengths between 93.1 nm /H20849n=7/H20850and 102.5 nm /H20849n=3/H20850by</t>
  </si>
  <si>
    <t>lengths between 397.0 nm /H20849n=7/H20850and 656.3 nm /H20849n=3/H20850,</t>
  </si>
  <si>
    <t>of a measurement of electron density from Stark broadening.In the present case, observations were possible for lines withwavelengths from 656.3 nm for n=3 to 379.8 nm for n=10.</t>
  </si>
  <si>
    <t>bFord=30 cm, TH=15 eV, NH=4.6/H110031013cm−3=/H208490.06/H20850Ne.034501-2 Ghosh et al. Phys. Plasmas 12, 034501 /H208492005 /H20850 22 February 2025 22:04:53</t>
  </si>
  <si>
    <t>/H20849n=3/H20850to 397.0 nm at Balmer /H9255/H20849n=7/H20850, as limited by the</t>
  </si>
  <si>
    <t>maximum for n=2–8 /H20849Lyman /H9251to/H9256/H20850are listed as wmin</t>
  </si>
  <si>
    <t>for both n=5/H20849Ref. 7 /H20850and n=6/H20849Refs. 8 and 9 /H20850and an</t>
  </si>
  <si>
    <t>experiment10forn=8. This density is in agreement with an</t>
  </si>
  <si>
    <t>Then=4 to n=1 Lyman- /H9253line was selected as a begin-</t>
  </si>
  <si>
    <t>For the n=2–1 Lyman- /H9251line, the Doppler width scales</t>
  </si>
  <si>
    <t>mined /H20850, the oscillator strength6f=0.416 and the wavelength</t>
  </si>
  <si>
    <t>/H9270/H20849/H9261o/H20850/H1101120 which leads, for an assumed depth d=30 cm and</t>
  </si>
  <si>
    <t>a measured temperature TH=15 eV, to NH=4.6/H110031013cm−3,</t>
  </si>
  <si>
    <t>For the n=3 to n=1 Lyman- /H9252line, the peak opacity</t>
  </si>
  <si>
    <t>p=Ne=7.7</t>
  </si>
  <si>
    <t>n1forn=2 to n=6, corrected for instrumental</t>
  </si>
  <si>
    <t>tained from the Balmer series for n=3 to n=6, substituting</t>
  </si>
  <si>
    <t>been shown /H20849in Fig. 4.5 of Ref. 13 /H20850forTe= 1 1 e Vt ob e</t>
  </si>
  <si>
    <t>e=11 eV, where Nn/gnfollows /H20849see Fig. 4.13 of</t>
  </si>
  <si>
    <t>/H9270H= 2 0o nt h e n=2 to n=1 line.</t>
  </si>
  <si>
    <t>/H20849Ref. 13 /H20850/H20849lines /H20850atTe=11 eV and present data /H20849points /H20850are plotted. Shown</t>
  </si>
  <si>
    <t>e=11 eV. Normalization is to n=4 for clarity.034501-4 Ghosh et al. Phys. Plasmas 12, 034501 /H208492005 /H20850 22 February 2025 22:04:53</t>
  </si>
  <si>
    <t>4p=2/H6124B. (4)</t>
  </si>
  <si>
    <t>α, with α=1/kλDe.kis the observation wavenumber and</t>
  </si>
  <si>
    <t>become visible. For α=1, the scattering regime is inco-</t>
  </si>
  <si>
    <t>(NA=0.22 ±0.02 )of diameter 300 μm, stacked in a 15 ×3</t>
  </si>
  <si>
    <t>ΣI(λ)δλ=1, where I(λ)is the intensity (in photodetector</t>
  </si>
  <si>
    <t>,,å lsdl lW=W-</t>
  </si>
  <si>
    <t>c1=τLΔΩ, and T. The values of gas density ng, laser power</t>
  </si>
  <si>
    <t>lplW=WDll</t>
  </si>
  <si>
    <t>0=λi. In the</t>
  </si>
  <si>
    <t>nlx = ()</t>
  </si>
  <si>
    <t>lowest azimuthal mode number, m=1. Higher modes with m &gt;2 will be stabilized by ﬁnite Lar-</t>
  </si>
  <si>
    <t>FD method system is installed in the central cell of GAMMA 10 at z=2.4 m. In FD method</t>
  </si>
  <si>
    <t>400 mm, φ=105 mm). The frequency-shifted FD signal and the unshifted transmitted wave are</t>
  </si>
  <si>
    <t>focused via another lens ( f=400 mm, φ=125 mm) onto GaAs Schottky barrier diode mixers</t>
  </si>
  <si>
    <t>Ef=E0Ψi(x,y,z)expj(ωit−ki·r) (2.1)</t>
  </si>
  <si>
    <t>Er=E0r0∫1</t>
  </si>
  <si>
    <t>The plasma is maintained and heated with applying ICH from t=51 ms to 250 ms and the conﬁne-</t>
  </si>
  <si>
    <t>ment potential is produced by applying P-ECH with power of 200 kW from t=141 ms to 170 ms.</t>
  </si>
  <si>
    <t>increase between t=141 ms and t=171 ms during P-ECH periods. The strong ﬂuctuation in the</t>
  </si>
  <si>
    <t>line density is observed between t=90 ms and t=130 ms. The time evolution of the FD raw</t>
  </si>
  <si>
    <t>It is found that there are strong ﬂuctuations from t=90 ms to t=140 ms. The strong ﬂuctu-</t>
  </si>
  <si>
    <t>Here uis the normalized radius ( u=x/wf). The wave number of the density ﬂuctuation can be</t>
  </si>
  <si>
    <t>The wave number ( k) is 42 .9±7.8 [m−1]. The value of phase velocity ( vp=ω/k) obtained from</t>
  </si>
  <si>
    <t>respectively, where Er=−∂Φc(r)/∂r(Φcis the plasma potential in the central.), κis the Boltz-</t>
  </si>
  <si>
    <t>2013 JINST 8 C12014Lnis the density scale length, ρ=(</t>
  </si>
  <si>
    <t>that a thermal p11B plasma can produce a high Q(where Q= fusion</t>
  </si>
  <si>
    <t>injected, positive ion source beams with energy E=6 0 –80 kV, and</t>
  </si>
  <si>
    <t>three negative ion source, tangential beams with E=1 3 5 –180 kV19.T h e</t>
  </si>
  <si>
    <t>magnetic ﬁeldBt= 2.75 T, major radius Rax= 3.60 m, central electron</t>
  </si>
  <si>
    <t>energy hydrogen NB turns on at t= 5.31 s, while the bottom plot shows</t>
  </si>
  <si>
    <t>NBs is plotted as a function of time showing that each was operated at160 kV beginning at t= 3.3 s for a total of 4 s. In the middle frame is the</t>
  </si>
  <si>
    <t>t= 4.0 s. In the bottom frame, the observed pulse count rate (black)</t>
  </si>
  <si>
    <t>pulse count rate tracks the rise in calculated rate well. This rate isgoverned by the boron accumulation time. At the end of the NB dis-charge at t= 7.3 s, the pulse count rate drops very quickly even though</t>
  </si>
  <si>
    <t>column in milliseconds. In these plasmas, the toroidal magnetic ﬁeldBt=2 . 7 5T ,</t>
  </si>
  <si>
    <t>Rax= 3.60 m, the central electron temperature Te~2 keV, and the line averaged</t>
  </si>
  <si>
    <t>(pink), scaled to match near t=5s .Article https://doi.org/10.1038/s41467-023-36655-1</t>
  </si>
  <si>
    <t>(E= 5.41 MeV). It was found that due to the capacitance of the biased</t>
  </si>
  <si>
    <t>detector ( C= 25 nF), pulse attenuation only becomes signi ﬁcant when</t>
  </si>
  <si>
    <t>performance. DS-4 graphite with a heat conductivity K=1 0 5W / m Kw a s</t>
  </si>
  <si>
    <t>c= 100 Hz, and the local maxima are located. On the second</t>
  </si>
  <si>
    <t>reduces the formation energy barrier of *OOH and suppresses the O=O bond</t>
  </si>
  <si>
    <t>fully synthesize a series of high-loading M-SAPs (M=Fe, Co, Ni, Cu, Zn,</t>
  </si>
  <si>
    <t>SAPs-PuCN (M=Fe, Co, Ni, Cu, Zn, Sr, W, Pt). The aberration-corrected</t>
  </si>
  <si>
    <t>loading M SAPs-PuCN. b–iAberration-corrected HAADF-STEM images of M SAPs-PuCN (M = Fe, Co, Ni, Cu, Zn, Sr, W, Pt).Article https://doi.org/10.1038/s41467-023-42887-y</t>
  </si>
  <si>
    <t>buffer salt solution; pH = 7) under visible light irradiation ( λ≥420 nm).</t>
  </si>
  <si>
    <t>O=O-Ni-N2</t>
  </si>
  <si>
    <t>O = O stretching mode in Ni-OOH10,45,46. Moreover, theoretical calcu-</t>
  </si>
  <si>
    <t>-0.83 eVNiSAPs-PuCNO2 adsorption energy (eV)B-CN do=o=1 . 2 3Å</t>
  </si>
  <si>
    <t>do=o=1 . 2 9Å</t>
  </si>
  <si>
    <t>E=2 . 0 0e V</t>
  </si>
  <si>
    <t>2*OE=2 . 8 6e V</t>
  </si>
  <si>
    <t>*O2*OOHFree Energy (eV)/g39G = 1.10 eV</t>
  </si>
  <si>
    <t>conﬁguration, which tends to maintain the O = O bond, can inhibit</t>
  </si>
  <si>
    <t>longer O=O bond length (1.29 Å) and a larger charge transfer, indi-</t>
  </si>
  <si>
    <t>In addition, maintaining the O=O bond of O 2and avoiding the</t>
  </si>
  <si>
    <t>of free O 2are partially occupied, leading to the elongation of the O = O</t>
  </si>
  <si>
    <t>loading M SAPs-PuCN (M = Fe, Co, Ni, Cu, Zn, Sr, W, Pt) with porous</t>
  </si>
  <si>
    <t>to prepare M SAPs- P u C N( M=F e ,C o ,C u ,Z n ,S r ,W ,P t ) .</t>
  </si>
  <si>
    <t>30 mg of photocatalyst was placed in 30 ml of pure water (pH = 7), andultrasonically treated for 30 min until the catalyst powder was com-pletely dispersed. The solution was continuously ﬁlled with O</t>
  </si>
  <si>
    <t>catalyst in 50 ml solution, pH = 7, 25 °C). AQY tests were performedusing a 300 W Xe lamp (PLS-FX300HU, PerfectLight) with differentbandpass ﬁlters at 400, 420, 450, 500 and 550 nm (FWHM = 15 nm).</t>
  </si>
  <si>
    <t>AQY =2×H2O2formed mol ðÞ</t>
  </si>
  <si>
    <t>source. 500 mg of the catalyst was dispersed in 100 ml of pure water(pH = 7, 25 °C) with suf ﬁcient O</t>
  </si>
  <si>
    <t>SCC =ΔGH2O2hi</t>
  </si>
  <si>
    <t>Id+Ir=Nð3Þ</t>
  </si>
  <si>
    <t>H2O2ð%Þ=2 ×Ir=N</t>
  </si>
  <si>
    <t>Id+Ir=N×1 0 0 % ð4Þ</t>
  </si>
  <si>
    <t>a Hanning window (d k=1 . 0Å−1) to separate the EXAFS contributions</t>
  </si>
  <si>
    <t>bkg= 1.0 Å, and the low-frequency noise was removed fully.</t>
  </si>
  <si>
    <t>of independent points for these samples are Nipt=2Δk·ΔR/</t>
  </si>
  <si>
    <t>π=2×( 1 1 . 8 −2.6) × (2.2 −1.0)/π= 7. However, the ﬁrst coordination</t>
  </si>
  <si>
    <t>vacuum with a depth of 20 Å was optimized, when using a 2 × 2 × 1k-point grid for Brillouin zone sampling, to be a=1 3 . 6 7 4Å .T h i sm o d e l</t>
  </si>
  <si>
    <t>adsorbate A was de ﬁned as: E ads=EA/surf −Esurf−EA(g), where E A/surf</t>
  </si>
  <si>
    <t>with a side length of 20 Å and a 1 × 1 × 1 Monkhorst-Pack k-point grid forBrillouin zone sampling, respectively. The free energy of gas-phasemolecules or surface adsorbates is calculated from the equation G =E+Z P E −TS, where E is the total energy, ZPE is the zero-point energy, T</t>
  </si>
  <si>
    <t>3+6 H2O+8 e/C0!NH3+9 O H/C0,E0=0 :69Vv sRHEðpH = 14 Þ</t>
  </si>
  <si>
    <t>equilibrium potential (U = 0.69 V). The second step (*NO</t>
  </si>
  <si>
    <t>m/z=3 0</t>
  </si>
  <si>
    <t>m/z=33</t>
  </si>
  <si>
    <t>m/z= 17</t>
  </si>
  <si>
    <t>−/Cl2+2 e−,E˚vs.SHE=1.358 V (1)</t>
  </si>
  <si>
    <t>−/Br2(aq) +2 e−,E˚vs.SHE=1.087 V (2)2F−/F2+2 e−,E˚vs.SHE=2.866 V (3)</t>
  </si>
  <si>
    <t>2I−/I2+2 e−,E˚vs.SHE=0.535 V (4)</t>
  </si>
  <si>
    <t>oxide catalysts such as ruthenium dioxide, the selectivity forCER at E=1.25 V ( vs.Ag/AgCl) is &gt;0.93 for compositions of</t>
  </si>
  <si>
    <t>Eg = 6.0 eV</t>
  </si>
  <si>
    <t>gHeight (nm)0 20n = 131</t>
  </si>
  <si>
    <t>n = 62</t>
  </si>
  <si>
    <t>n = 70</t>
  </si>
  <si>
    <t>n = 62i</t>
  </si>
  <si>
    <t>interval (σ = 2). It is apparent that the electrochemically transferred</t>
  </si>
  <si>
    <t>μFE=(∂Id</t>
  </si>
  <si>
    <t>64. t/λ = ln(Ιt/Ι0) where t and λ are the hBN thickness and</t>
  </si>
  <si>
    <t>loss peak). It is the sum of I0 and the intensity of the inelastic peak (Iinel.). It = I0+Iinel.</t>
  </si>
  <si>
    <t>of lead (II) with fulvic acids isolated from natural waters at pH=9 ................................ ....................... 55</t>
  </si>
  <si>
    <t>ΔGmix=ΔHmix/C0TΔSmix ð1Þ</t>
  </si>
  <si>
    <t>ΔSmix=/C0RXM</t>
  </si>
  <si>
    <t>i=1xilnðxiÞ ð2Þ</t>
  </si>
  <si>
    <t>metal cation. For a 5-component (M = 5) equimolar system,</t>
  </si>
  <si>
    <t>ΔSmix=1:6Rand the calculated con ﬁguration mixing entropy at the</t>
  </si>
  <si>
    <t>ΔHmix=Eslab</t>
  </si>
  <si>
    <t>i=1Ebulk</t>
  </si>
  <si>
    <t>gies for individual mixing metals (M=Co, Fe, Ni, Cr, Mn) are labeled as</t>
  </si>
  <si>
    <t>quanti ﬁcation results of the ratio of M3+(M = Co, Fe, Ni, Cr, and Mn) to M over time.</t>
  </si>
  <si>
    <t>surface (M)OOH (M = Co, Fe, Ni, and/or Cr) was formed during the</t>
  </si>
  <si>
    <t>RHE=EAg=AgCl+0:059 × pH+0:197 ð4Þ</t>
  </si>
  <si>
    <t>surface area (ECSA) was measured using CV in non-Faradaic regionswith different scan rates, and calculated by the equation, ECSA = C</t>
  </si>
  <si>
    <t>FE=n×NO2×F</t>
  </si>
  <si>
    <t>1+𝑧+NLO=0.457(4),(3)</t>
  </si>
  <si>
    <t>Here we introduced the matrix elements Δ𝑞(𝑞=𝑢or𝑑) defined by 𝑠𝜇Δ𝑞=⟨𝑝|𝑞𝛾𝜇𝛾5𝑞|𝑝⟩,</t>
  </si>
  <si>
    <t>where|𝑝⟩is the proton state at rest and 𝑠𝜇its spin. With Δ𝑢=0.897(27)andΔ𝑑=−0.376(27)</t>
  </si>
  <si>
    <t>between𝑚𝑢/𝑚𝑑=0.47≃1/2andΔ𝑢/Δ𝑑=−2.4≃−2, i.e., between the 𝑢/𝑑mass ratio 1/2 and</t>
  </si>
  <si>
    <t>where we used Eq. (3) in the second step. The age of the universe of 13.8 Gyr=4.35×1017s</t>
  </si>
  <si>
    <t>metalfractionis 𝑍/𝑋=0.02292andinaSMMcorrespondsto 𝑍ini=0.0187(13)andalsoimplies</t>
  </si>
  <si>
    <t>𝑌ini=0.2718(56). (Gravitational settling reduces 𝑍somewhat from 𝑍ini.) The modern AGSS09</t>
  </si>
  <si>
    <t>composition [79], on the other hand, yields 𝑍ini=0.0149(9)and𝑌ini=0.2613(55), leading to</t>
  </si>
  <si>
    <t>primarilyfrom13N→13C+𝑒++𝜈𝑒(𝐸max=1.2MeV)and15O→15N+𝑒++𝜈𝑒(𝐸max=1.7MeV),</t>
  </si>
  <si>
    <t>p=4𝜋𝛼∑︁</t>
  </si>
  <si>
    <t>s=4𝜋𝛼∑︁</t>
  </si>
  <si>
    <t>Near the solar center, 𝑇=1.3keV,𝜔p=0.3keV, and𝑘s=9keV, and in our case an overall</t>
  </si>
  <si>
    <t>be compared with 𝑅⊙=6.957×1010cm=2.32 s, so most of the produced axions escape.</t>
  </si>
  <si>
    <t>When Sanduleak’s core reached nuclear densities ρ= 3×1014gcm−3, its equation of</t>
  </si>
  <si>
    <t>whereN=n,p. This implies that anti-muon-neutrinos diﬀuse out of the star faster than</t>
  </si>
  <si>
    <t>time stamp of t= 1second after the bounce. Generically, simulations show that the</t>
  </si>
  <si>
    <t>we expect that muon production does not vary signiﬁcantly, and we consider nµatt= 1</t>
  </si>
  <si>
    <t>dV=∫d3k</t>
  </si>
  <si>
    <t>(2π)3ωΓprod=1</t>
  </si>
  <si>
    <t>τabs(ω,r) =∫Rfar</t>
  </si>
  <si>
    <t>Γprod=e−ω/TΓabsby the principle of detailed balance [ 40].Rfar∼O(100)km is a radius</t>
  </si>
  <si>
    <t>outside of which neutrinos are no longer produced eﬃciently (we use Rfar= 100km). The</t>
  </si>
  <si>
    <t>LLLP=∫Rν</t>
  </si>
  <si>
    <t>LB−L=LSM−1</t>
  </si>
  <si>
    <t>ΓZ′(ω) =1</t>
  </si>
  <si>
    <t>rateΓZ′→νν=αmZ′/3, to ﬁnd the rate of inverseZ′decay4— which is the neutrino-pair</t>
  </si>
  <si>
    <t>ΓZ′(ω) =αZ′m2</t>
  </si>
  <si>
    <t>HereαZ′=g2</t>
  </si>
  <si>
    <t>T= 8πα2</t>
  </si>
  <si>
    <t>Γγµ→Z′µ=8παEMαZ′</t>
  </si>
  <si>
    <t>ΓZ′(ω) =2αZ′m2</t>
  </si>
  <si>
    <t>contribute to anomalous cooling, and we always use Rfar= 100 km in our results.</t>
  </si>
  <si>
    <t>laws. The results are the following: Y n=2x1011Ipinch4.7 and Y n=9x109Ipeak3.9. It is felt that</t>
  </si>
  <si>
    <t>Yn=108 neutrons, operating in deuterium. A bi g machine such as the PF1000 typically</t>
  </si>
  <si>
    <t>of Y n=9x1010Ipinch3.8. The main reason for this compilation of experimental results is to</t>
  </si>
  <si>
    <t>range at I pinch=0.5MA, Y n=6x109 neutrons. This point is cl ose to the PF1000’s machine</t>
  </si>
  <si>
    <t>Yb-t= calibration constant x ni Ipinch2 zp2(ln(b/r p))σ/Vmax0.5</t>
  </si>
  <si>
    <t>this respect. The minimum pinch radius is also tabulated as k min=rp/a. It is noted that this</t>
  </si>
  <si>
    <t>"Yb-t= calibration constant x ni Ipinch2 zp2(ln(b/r p))σ/Vmax0.5</t>
  </si>
  <si>
    <t>Q=CΨ+Sa;</t>
  </si>
  <si>
    <t>Q=D+Sf+Sa.</t>
  </si>
  <si>
    <t>Sf(⃗r,u,⃗Ω)=1</t>
  </si>
  <si>
    <t>D(⃗r,u,⃗Ω)=∫∞</t>
  </si>
  <si>
    <t>Φ(⃗r,u,⃗Ω)=∫∞</t>
  </si>
  <si>
    <t>d(1)X=∫</t>
  </si>
  <si>
    <t>d(2)X=∫</t>
  </si>
  <si>
    <t>d(3)X=∫</t>
  </si>
  <si>
    <t>dX=d(1)X−d(2)X−d(3)X=0,</t>
  </si>
  <si>
    <t>Q(⃗r,u,⃗Ω)−Σ(⃗r,u)Φ(⃗r,u,⃗Ω)−div[⃗J(⃗r,u,⃗Ω)]=0. (14.9)</t>
  </si>
  <si>
    <t>div[⃗ΩΦ(⃗r,u,⃗Ω)] +Σ(⃗r,u)Φ(⃗r,u,⃗Ω)=Q(⃗r,u,⃗Ω). (14.10)</t>
  </si>
  <si>
    <t>div(⃗ΩΦ)=Q−ΣΦ.</t>
  </si>
  <si>
    <t>Sf,g(⃗r,⃗Ω)=1</t>
  </si>
  <si>
    <t>h=1νΣf,h(⃗r)∫</t>
  </si>
  <si>
    <t>Dg(⃗r,⃗Ω)=N∑</t>
  </si>
  <si>
    <t>– Set ⃗r′=⃗r−s⃗Ω.</t>
  </si>
  <si>
    <t>d3r′=4πs2ds d2Ω=4πR2ds d2Ω.</t>
  </si>
  <si>
    <t>Q=D+Sf+Sa,</t>
  </si>
  <si>
    <t>Sf(⃗r,u)=χf(u)∫∞</t>
  </si>
  <si>
    <t>D(⃗r,u)=∫∞</t>
  </si>
  <si>
    <t>Φ(⃗r,u)=∫</t>
  </si>
  <si>
    <t>Qg=Dg+Sf,g+Sa,g,</t>
  </si>
  <si>
    <t>Sf,g(⃗r)=χf,g∑N</t>
  </si>
  <si>
    <t>h=1νΣf,h(⃗r)Φh(⃗r),</t>
  </si>
  <si>
    <t>Dg(⃗r)=∑Nh=1Σs,h→g(⃗r)Φh(⃗r),</t>
  </si>
  <si>
    <t>Φg(⃗r)=∫</t>
  </si>
  <si>
    <t>Σtr=Σ−μΣs. (14.17)</t>
  </si>
  <si>
    <t>Φ(⃗r)=∫</t>
  </si>
  <si>
    <t>Σ(⃗r)Φ(⃗r)=∫</t>
  </si>
  <si>
    <t>ViΣiΦi=M∑</t>
  </si>
  <si>
    <t>j=1VjQj˜Pji, (14.22)</t>
  </si>
  <si>
    <t>˜Pji=1</t>
  </si>
  <si>
    <t>j=1VjQjPji. (14.26)</t>
  </si>
  <si>
    <t>iΣi,gΦi,g=M∑</t>
  </si>
  <si>
    <t>j=1VjQj,gPji,g. (14.27)</t>
  </si>
  <si>
    <t>j,g=Dj,g+Sf,j,g+Sa,j,g,</t>
  </si>
  <si>
    <t>Sf,j,g=χf,j,g∑N</t>
  </si>
  <si>
    <t>h=1νΣf,j,hΦj,h,</t>
  </si>
  <si>
    <t>Dj,g=∑N</t>
  </si>
  <si>
    <t>h=1Σs,j,h→gΦj,h.(14.28)</t>
  </si>
  <si>
    <t>ViΣiPij=VjΣjPji. (14.29)</t>
  </si>
  <si>
    <t>i=1Pji=1. (14.30)</t>
  </si>
  <si>
    <t>i=1Pji+PjS=1. (14.31)</t>
  </si>
  <si>
    <t>PSi=4ViΣi</t>
  </si>
  <si>
    <t>i=1PSi+PSS=1, (14.33)</t>
  </si>
  <si>
    <t>Pi-Po=CVbusdVbus</t>
  </si>
  <si>
    <t>𝑁𝑓=𝐴×(Δ𝑇𝑗)−𝛼 (2)</t>
  </si>
  <si>
    <t>JCL=(4√</t>
  </si>
  <si>
    <t>ForB=0,the critical current density is the SCLCD,</t>
  </si>
  <si>
    <t>cathode was grounded at x=0 and an anode was biased to</t>
  </si>
  <si>
    <t>Vgatx=Dwith a magnetic field ⃗Bin the −z-direction.</t>
  </si>
  <si>
    <t>D=0.00216 m, magnetic field B=0.27 T, bias voltage</t>
  </si>
  <si>
    <t>Vg=12 kV, and electron injection energy of 0.5 eV (nor-</t>
  </si>
  <si>
    <t>B/B H=1.579 [3]. We set the length of the cathode L=8D</t>
  </si>
  <si>
    <t>with dielectric boundaries at y=0 and y=L. While</t>
  </si>
  <si>
    <t>applying periodic boundary conditions at y=0 and y=</t>
  </si>
  <si>
    <t>from y=Ltoy=L−W, where Wis the emission</t>
  </si>
  <si>
    <t>1y=5.4×10−5m and a time step of 1t=9×10−14s,</t>
  </si>
  <si>
    <t>electrons are emitted is at x=0 and the anode at x=D, is held at a</t>
  </si>
  <si>
    <t>off, were set at y=0 and y=L.</t>
  </si>
  <si>
    <t>vy(x)= −ω cx, (4)</t>
  </si>
  <si>
    <t>respectively, where ωc=eB/m eis the electron cyclotron</t>
  </si>
  <si>
    <t>p=e2nb/(ε0me), where ωpis the plasma</t>
  </si>
  <si>
    <t>nb=B2ε0</t>
  </si>
  <si>
    <t>vy(x)= −ω cxin red.</t>
  </si>
  <si>
    <t>between the analytical solution vy(x)= −ω cxand the PIC</t>
  </si>
  <si>
    <t>Jinwith W=8D. As Jinincreases, the variation of F</t>
  </si>
  <si>
    <t>metrical to vx=0, while the distributions of 1vy(x) are</t>
  </si>
  <si>
    <t>potential φ(x,y) for various Jinwith W/D=8. For high</t>
  </si>
  <si>
    <t>cases with BzforJin≫JCR,1D =2.1×105A/m2[3]for large</t>
  </si>
  <si>
    <t>dx=0 or the electric field Ex=0 at</t>
  </si>
  <si>
    <t>x=0, which corresponds to the SCLC for zero emission</t>
  </si>
  <si>
    <t>density with emission width W=8D.</t>
  </si>
  <si>
    <t>Ex&gt;0 atx=0 by varying Jinin a binary search manner [33].</t>
  </si>
  <si>
    <t>Unlike our previous studies using XOOPIC for B=0</t>
  </si>
  <si>
    <t>0 and y=0 where the dielectric boundary (at y=0) and</t>
  </si>
  <si>
    <t>Dirichlet boundary (at x=0) intersect for W/D=8, which</t>
  </si>
  <si>
    <t>this calculation. This causes Ex&gt;0 atx=0 and y=0 even</t>
  </si>
  <si>
    <t>CT= ⟨(1v y(xq))2⟩ =Nq∑</t>
  </si>
  <si>
    <t>⟨(1v y(xq))2⟩ = ⟨(1v x(xq))2⟩. Since vx≈0 for Brillouin</t>
  </si>
  <si>
    <t>‘‘Brillouin-ness’’ of the flow. For CT, since vy(x)= −ω cx</t>
  </si>
  <si>
    <t>CBand (b) CTforW/D=0.5, 1, 2, 4, and 8 as a function of Jin</t>
  </si>
  <si>
    <t>change for Jin=JCR,1D , corresponding to the transition</t>
  </si>
  <si>
    <t>FIGURE 5. Potential φ(x,y) with W/D=8 and injection current densities</t>
  </si>
  <si>
    <t>the semi-empirical 2D uniform SCLC for v0̸=0 and B=0[33], is given by</t>
  </si>
  <si>
    <t>JCR,2D =JCLp(B, Vg,D)f(W/D), (8)</t>
  </si>
  <si>
    <t>isJCR,1D =JCLp(</t>
  </si>
  <si>
    <t>Fitting JCR,2D from XOOPIC and Jin,pusing J=a(</t>
  </si>
  <si>
    <t>gives a=3.44×105A/m2andb= −0.5679 for JCR,2D</t>
  </si>
  <si>
    <t>from XOOPIC (with R2=0.9814) and a=4.14×105A/m2</t>
  </si>
  <si>
    <t>forW=0.5D, D, 2D, 4D, 8D and 1D models from XPDP1.</t>
  </si>
  <si>
    <t>XOOPIC and Jin,pusing J=aWDb,where aandbare fitting</t>
  </si>
  <si>
    <t>parameters. We obtained a=3.44×105A/m2andb= −0.5679 for JCR,2D</t>
  </si>
  <si>
    <t>from XOOPIC (with R2=0.9814) and a=4.14×105A/m2and</t>
  </si>
  <si>
    <t>n(xi)=[∑Ny</t>
  </si>
  <si>
    <t>p=1n(np), where∑Nux</t>
  </si>
  <si>
    <t>Gtarget = 1 for the purpose of their report based upon</t>
  </si>
  <si>
    <t>for a DT plasma of equal parts D and T, ¯Z= 1 and</t>
  </si>
  <si>
    <t>¯A=2.5. Thus</t>
  </si>
  <si>
    <t>p=0.77⇢T (3)</t>
  </si>
  <si>
    <t>plasma is then cDT=( 3 p)/(2⇢T) = 115 MJ/(g ·keV),</t>
  </si>
  <si>
    <t>DT. By comparison, with ¯Z= 3 and ¯A=6t h e</t>
  </si>
  <si>
    <t>QBrems =64</t>
  </si>
  <si>
    <t>QB,DT=3.1⇥107⇢p</t>
  </si>
  <si>
    <t>mass of fuel, m, would then be dY/dt =5mQ ↵where the</t>
  </si>
  <si>
    <t>6w i t h Te=Tion=Tign, using Eq. 1, and solving gives</t>
  </si>
  <si>
    <t>Tign=4.3 keV. For fusion fuels other than DT, Tign</t>
  </si>
  <si>
    <t>the ignition temperature T=4.3 keV the areal density</t>
  </si>
  <si>
    <t>(⇢DT)ign=0.077</t>
  </si>
  <si>
    <t>capacity found above and mDT=E/(cDTTign) giving an</t>
  </si>
  <si>
    <t>⇢ign=0.97F3/2</t>
  </si>
  <si>
    <t>mass of DT of two ( F=2 ) ↵-particle stopping radii to</t>
  </si>
  <si>
    <t>when T=Tign. Since the somewhat misnamed ignition</t>
  </si>
  <si>
    <t>since the internal energy in that DT is Ehot,DT =cDTmT</t>
  </si>
  <si>
    <t>Gfuel=Y</t>
  </si>
  <si>
    <t>dt=f↵Q↵fBQB,DTQe1</t>
  </si>
  <si>
    <t>where Qe=5.4⇥103T3.2/(⇢0.8R2) or Qe=5.9⇥</t>
  </si>
  <si>
    <t>Qother= 0,</t>
  </si>
  <si>
    <t>[noting that cDT= 115 ⇥103(km/s)2/keV]</t>
  </si>
  <si>
    <t>the hot-spot is Ehs=cDTmT=( 3 /2)pV, one can dif-</t>
  </si>
  <si>
    <t>5/3(p/V)˙V=p[dln(pV5/3)/dt] (the over-dot denoting</t>
  </si>
  <si>
    <t>pv=e x pZt</t>
  </si>
  <si>
    <t>hancement at peak hotspot pressure. Note that F=0</t>
  </si>
  <si>
    <t>at the ignition temperature Tign=4.3f0.3</t>
  </si>
  <si>
    <t>⍴⍴A=areaS(t) = x2(t) –x1(t)x1(t)vimpvimpSymmetric implosion abstracted to pistonsAsymmetric implosion abstracted to pistons</t>
  </si>
  <si>
    <t>¨S=ppv</t>
  </si>
  <si>
    <t>tionship f=vhs/vimp⇡p</t>
  </si>
  <si>
    <t>i.e.Ecold,DT /Ehot,DT =1/c(↵if)1.</t>
  </si>
  <si>
    <t>where A=mshell/(2⇢R ave) is the piston cross-sectional</t>
  </si>
  <si>
    <t>c(↵if)KE=1⇢R WHM</t>
  </si>
  <si>
    <t>t = 0 with a layer of DT fuel on its inside surface. As the</t>
  </si>
  <si>
    <t>⌘BP=C1/4</t>
  </si>
  <si>
    <t>where k=2 ⇡`/R is the perturbation wavenumber,</t>
  </si>
  <si>
    <t>ling instability growth. Namely, taking @ART/@k=0</t>
  </si>
  <si>
    <t>IFAR ,w h e r e IFAR =R/R is</t>
  </si>
  <si>
    <t>perturbation is imposed on the outside of the capsule at t=0</t>
  </si>
  <si>
    <t>(a). (b) By t=1 0n st h eo u t e rl a y e ro ft h ec a p s u l eh a sa b -</t>
  </si>
  <si>
    <t>lated away and the shell has compressed up. (c) By t= 15 ns</t>
  </si>
  <si>
    <t>the shell begins to rapidly accelerate inwards. (d) By t=1 6</t>
  </si>
  <si>
    <t>visible. (e) By t= 18 ns the shockwave that transited the</t>
  </si>
  <si>
    <t>(f) By t= 19 ns instability growth on the inside of the shell</t>
  </si>
  <si>
    <t>develops. (g) By t= 20 ns the amplitude of instability growth</t>
  </si>
  <si>
    <t>exceeds the thickness of the shell. (h) By t=2 1n st h es h e l l</t>
  </si>
  <si>
    <t>quency, !pe=p</t>
  </si>
  <si>
    <t>temperature is Tn=1000 K for Ti=Tn and Tn=600 K for</t>
  </si>
  <si>
    <t>a Maxwellian distribution at room temperature T=300 K.</t>
  </si>
  <si>
    <t>1.47 for Tn=1000 K and 1.57 for Tn=600 K, respectively.</t>
  </si>
  <si>
    <t>( ≡D⊥∕a2 , D⟂ = anomalous cross-field diffusivity, a = probe</t>
  </si>
  <si>
    <t>the same as that of molecular ions, i.e., TN=TM≡/u1D70FTi , and</t>
  </si>
  <si>
    <t>mN=mi , the unperturbed distribution functions of ions ( fi∞ )</t>
  </si>
  <si>
    <t>/u1D715v=St+Sa</t>
  </si>
  <si>
    <t>dy=1−n+kin−krn2,</t>
  </si>
  <si>
    <t>bration factor of K=1.3</t>
  </si>
  <si>
    <t>atomic neutral density, and quasi-neutrality ( ene=Zeni ) is</t>
  </si>
  <si>
    <t>dy=(M∞−M)[1−(1−/u1D6FC)n]− kinM,</t>
  </si>
  <si>
    <t>dy=M∞−2M−(M∞−M)(1−/u1D6FC)n+(1+krn)nM</t>
  </si>
  <si>
    <t>dy=1−n−M(M∞−M)[1−(1−/u1D6FC)n]+ kin(1−M2)−krn2</t>
  </si>
  <si>
    <t>dM=M∞−2M−(M∞−M)(1−/u1D6FC)n+(1+krn)nM</t>
  </si>
  <si>
    <t>dz=enE−kBTidn</t>
  </si>
  <si>
    <t>(12) n=n∞exp/parenleft.s3e/u1D719</t>
  </si>
  <si>
    <t>dx=M∞−2M</t>
  </si>
  <si>
    <t>dx=(M∗+1)/u1D70F∗</t>
  </si>
  <si>
    <t>dM=(M0−2M)N/u1D70F∗+/u1D70EN2(M0−2M)+/u1D70CN2(M0−M)</t>
  </si>
  <si>
    <t>Ω2=/u1D7162(1−/u1D6FC1)+/u1D6FC2√/u1D70F2,where /u1D6FC1≡N−1∕N1 and /u1D6FC2≡N−2∕N2 , which mean that the</t>
  </si>
  <si>
    <t>and ratio of negative ions to electrons, which are deduced by (28) Ω2=A2√</t>
  </si>
  <si>
    <t>the 3 3 P and the 3 3 D levels is 0.066 eV. For the n=4 level,</t>
  </si>
  <si>
    <t>△ E(4 1P=4 1 D) is only 0.006 eV while △ E(4 3P=4 3 D) is</t>
  </si>
  <si>
    <t>fications: maximum output power =25 mW at 668.61 nm</t>
  </si>
  <si>
    <t>(at a −85 mA laser current), line width =1 MHz, coarse</t>
  </si>
  <si>
    <t>tuning range =665−675 nm with a rotating grating, fine</t>
  </si>
  <si>
    <t>tuning range =0.34 nm with piezo-electric actuator control</t>
  </si>
  <si>
    <t>the magnetic axis near major radius R=45.5 cm, in the same region as the</t>
  </si>
  <si>
    <t>display. The three strongest lines shown are CIII =464.74 nm</t>
  </si>
  <si>
    <t>(line 1), OII =464.91 nm (line 2), and the CIII =465.025 nm</t>
  </si>
  <si>
    <t>(line 3). A fourth line (CIII =465.147 nm) is present just below</t>
  </si>
  <si>
    <t>ITOR=75.2 kA and a toroidal current gain 2.70 for channels</t>
  </si>
  <si>
    <t>plasma shots. Shot 190409014 (red) with ITOR=76.3 kA and</t>
  </si>
  <si>
    <t>for∆t=1.65−2.0 ms. Upper ﬁber array data (solid) is plot-</t>
  </si>
  <si>
    <t>0 cm) to the wall ( R=56 cm). The time window under con-</t>
  </si>
  <si>
    <t>sideration is ∆t=1.637−1.703 ms. . . . . . . . . . . . . . . . . 43</t>
  </si>
  <si>
    <t>compared against the Abel inverted, Nu=6, major radial</t>
  </si>
  <si>
    <t>axis ( R=0 cm) to the wall ( R=56 cm). Upper and lower</t>
  </si>
  <si>
    <t>∆t=1.2−2.0 ms for all. . . . . . . . . . . . . . . . . . . . . . . 44</t>
  </si>
  <si>
    <t>pared against the Abel-inverted, Nu=6, major radial pro-</t>
  </si>
  <si>
    <t>(R=0 cm) to the wall ( R=56 cm). A simulated radial pro-</t>
  </si>
  <si>
    <t>∆t=1.2−2.0 ms for all. . . . . . . . . . . . . . . . . . . . . . . 45</t>
  </si>
  <si>
    <t>of data points is N=10 and (N/S)max=20% . . . . . . . . . 47</t>
  </si>
  <si>
    <t>The radial error is reported as ∆f=f(R)−F(R). . . . . . . . 48</t>
  </si>
  <si>
    <t>5.1 CIII =465.18 nm and CIII =658.67 nm shown for time points</t>
  </si>
  <si>
    <t>∂y=α∇2T+Q0</t>
  </si>
  <si>
    <t>(5a) u=1,v=0,∂T</t>
  </si>
  <si>
    <t>∂x=0;0≤x≤1,y=1</t>
  </si>
  <si>
    <t>(5b) u=v=0,T=0;0≤y≤1,and x =0</t>
  </si>
  <si>
    <t>(5c) u=v=0,T=0;0≤y≤1,and x =1</t>
  </si>
  <si>
    <t>(5d) u=v=0,T=1;for0≤x≤1,y=0,and A (1−cos(2π/afii9838x))</t>
  </si>
  <si>
    <t>(5e) u=v=0,T=1</t>
  </si>
  <si>
    <t>(6) X=x</t>
  </si>
  <si>
    <t>U0,V=v</t>
  </si>
  <si>
    <t>U0,P=p</t>
  </si>
  <si>
    <t>∂Y=−∂P</t>
  </si>
  <si>
    <t>Re=U0L</t>
  </si>
  <si>
    <t>α , Ri=Gr</t>
  </si>
  <si>
    <t>Re2, Ha2=σB2</t>
  </si>
  <si>
    <t>h∗�T=−k∂T</t>
  </si>
  <si>
    <t>(11) Gr=gβ�TL3</t>
  </si>
  <si>
    <t>(12a) U=1,V=0,∂θ</t>
  </si>
  <si>
    <t>∂X=0;0≤X≤1,Y=1</t>
  </si>
  <si>
    <t>(12b) U=V=0,θ=0;0≤Y≤1,and X =0</t>
  </si>
  <si>
    <t>(12c) U=V=0,θ=0;0≤Y≤1,and X =1</t>
  </si>
  <si>
    <t>(12d) U=V=0,θ=1;0≤X≤1,Y=0,and A (1−cos(2π/afii9838x))</t>
  </si>
  <si>
    <t>(12e) U=V=0,θ=1</t>
  </si>
  <si>
    <t>(13) NuL=∂θ</t>
  </si>
  <si>
    <t>∂N|Sand Nuav=L∫</t>
  </si>
  <si>
    <t>(14) P=− γ(∂U</t>
  </si>
  <si>
    <t>k=1 as,</t>
  </si>
  <si>
    <t>To describe the appropriate grid shape for the current investigation at Ri = 1, Pr = 0.71, W = 0.40 and λ = 3. The</t>
  </si>
  <si>
    <t>k=1Ukδk(X,Y),V≈∑N</t>
  </si>
  <si>
    <t>k=1Vkδk(X,Y),θ≈∑N</t>
  </si>
  <si>
    <t>k=1θkδk(X,Y)</t>
  </si>
  <si>
    <t>k=1Uk�</t>
  </si>
  <si>
    <t>k=1Ukδk�</t>
  </si>
  <si>
    <t>k=1Vkδk�</t>
  </si>
  <si>
    <t>k=1Vk�</t>
  </si>
  <si>
    <t>k=1θkδk�</t>
  </si>
  <si>
    <t>k=1θk�</t>
  </si>
  <si>
    <t>k=1θk</t>
  </si>
  <si>
    <t>to the hetero-bilayers is reported as ε=a−a0</t>
  </si>
  <si>
    <t>−∞T(E,Vb)[fL(E−µL)−fR(E−µR)]dE=I(Vb) (1)</t>
  </si>
  <si>
    <t>∆ρ.ˆr=∆ρ</t>
  </si>
  <si>
    <t>Ez=−σ(z,t)</t>
  </si>
  <si>
    <t>Ez=−(σ(z,t)−σT)</t>
  </si>
  <si>
    <t>φ=−σ(z,t)[d1</t>
  </si>
  <si>
    <t>rational surfaces of safety factor q = m/n. Here, m and n are the poloidal</t>
  </si>
  <si>
    <t>m/n = 2/1 at the flux surface of q = 2 is also illustrated. Figure 1c shows</t>
  </si>
  <si>
    <t>q = 2 surface</t>
  </si>
  <si>
    <t>(CER) spectroscopy. The possible tearing instability of m /n = 2/1 is shown in orange. b, The heating, current drive and control actuators used in this work.</t>
  </si>
  <si>
    <t>βN = 2.3. However, at t = 2.6 s, a large tearing instability occurred, as</t>
  </si>
  <si>
    <t>dation of βN, eventually resulting in a disruption at t = 3.1 s. This indi -</t>
  </si>
  <si>
    <t>t = 2.6 s. Figure 3e depicts the post-experiment tearability prediction</t>
  </si>
  <si>
    <t>Fig. 3b , which targets βN = 1.7 under traditional control, represents a</t>
  </si>
  <si>
    <t>0.5 ( k = 0.5 in equation (1 )). As shown in the second and third rows of</t>
  </si>
  <si>
    <t>tively. In the cases of k = 0.5 and k = 0.7, the plasma is sustained without</t>
  </si>
  <si>
    <t>Nature | Vol 626 | 22 February 2024 | 749high-threshold controller (k = 0.7) tends to push βN harder, as shown</t>
  </si>
  <si>
    <t>after t = 3.5 s, and the increased tearability does not decrease after -</t>
  </si>
  <si>
    <t>wards. In contrast, the low-threshold controller (k = 0.2) is overly</t>
  </si>
  <si>
    <t>less than 0.2 until t = 5 s, but a large instability, difficult to be avoided,</t>
  </si>
  <si>
    <t>suddenly occurred at t = 5.5 s. As revealed in the post-analysis (Fig. 4b),</t>
  </si>
  <si>
    <t>the training of the controller. As k = 0.2 is a conservative setting, the</t>
  </si>
  <si>
    <t>the controller with a moderate threshold (k = 0.5) sustains the plasma</t>
  </si>
  <si>
    <t>for a long time. In Fig. 4c, the AI controller of k = 0.5 actively tries to</t>
  </si>
  <si>
    <t>(n = 1)Without</t>
  </si>
  <si>
    <t>(n = 1)193277 (k= 0.2)</t>
  </si>
  <si>
    <t>193280 (k= 0.5)</t>
  </si>
  <si>
    <t>193281 (k= 0.7)Shot 193277 (k= 0.2)</t>
  </si>
  <si>
    <t>Shot 193280 (k= 0.5)</t>
  </si>
  <si>
    <t>Shot 193281 (k= 0.7)Controlled powe r</t>
  </si>
  <si>
    <t>(k = 0.2), 193280 ( k = 0.5) and 193281 ( k = 0.7). b–d, The actual beam power and the contour of the predicted tearability for possible beam powers in the three</t>
  </si>
  <si>
    <t>for ITER to achieve fusion power of Pfusion = 500 MW and a fusion gain</t>
  </si>
  <si>
    <t>of Q ≡ Pfusion /Pexternal = 10 for a duration of longer than 300 s (ref. 12).</t>
  </si>
  <si>
    <t>instabilities19. This is because the tearing instability at the q = 2 surface</t>
  </si>
  <si>
    <t>was tearing-stable or not (0 or 1) based on the n = 1 Mirnov coil signal</t>
  </si>
  <si>
    <t>t = 3.1 s, q95 increased from 3 to 4, and the subsequent discharge did</t>
  </si>
  <si>
    <t>raised the tearability to exceed the threshold temporarily at t = 3.2 s,</t>
  </si>
  <si>
    <t>∂t=α∇2T+q(T),∀x∈Ω (1)</t>
  </si>
  <si>
    <t>where T=T(x, t) denotes a scalar and time-dependent field of a physical</t>
  </si>
  <si>
    <t>quantity, such as the part temperature in this work, α=α(x, t) the diffusivity</t>
  </si>
  <si>
    <t>tions on the boundary ∂Ω, e.g. Dirichlet boundary conditions T=T,∀x∈</t>
  </si>
  <si>
    <t>Γ⊂∂Ω or Neumann boundary conditions ∇T·n=hN,∀x∈∂ΩN=∂Ω\Γ,</t>
  </si>
  <si>
    <t>condition T(x, t= 0) = T0. The solution Tof the initial-boundary value</t>
  </si>
  <si>
    <t>∂ΩNαhNφdA= 0, (2)</t>
  </si>
  <si>
    <t>0denotes a Sobolev space in which φ= 0 on ∂Ω and φas well as</t>
  </si>
  <si>
    <t>approximate the solution T(x, t) =PNφ</t>
  </si>
  <si>
    <t>v=1Tv(t)ϕv(x) and the test function</t>
  </si>
  <si>
    <t>φ(x) =PNφ</t>
  </si>
  <si>
    <t>v=1ϕv(x), i.e.,</t>
  </si>
  <si>
    <t>v=1Φ∂Tv</t>
  </si>
  <si>
    <t>steps tn∈ {t0, ...tNt}with n= 0, .., N t. Subsequently, the integral over the</t>
  </si>
  <si>
    <t>e=1NφX</t>
  </si>
  <si>
    <t>v=1Φe</t>
  </si>
  <si>
    <t>system of PDEs, Equation (4) is solved only for the m= 1, .., N φ,Ftest func-</t>
  </si>
  <si>
    <t>v=Tn+1</t>
  </si>
  <si>
    <t>The MPN processes graphs G= (V,E,XV,XE,g) by updating the node fea-</t>
  </si>
  <si>
    <t>ε,gl),with ε= (u, v)∈ Eandu, v∈ V,</t>
  </si>
  <si>
    <t>ε=(v,u)∈Exl+1</t>
  </si>
  <si>
    <t>vof solutions for the next ˜ n= 1, ..., N TB</t>
  </si>
  <si>
    <t>of the edge xvu=xv−xuas well as the Euclidean distance |xvu|are added</t>
  </si>
  <si>
    <t>as edge features. In addition, the difference of the solution Tvu=Tn</t>
  </si>
  <si>
    <t>between the nodes of an edge ε= (u, v) are added. Additional node, edge</t>
  </si>
  <si>
    <t>FEM ,m=NeX</t>
  </si>
  <si>
    <t>,∀m= 1, ..., N φ,F, (6)</t>
  </si>
  <si>
    <t>0, ϕm= 0(7)</t>
  </si>
  <si>
    <t>for all m= 1, . . . , N φ,Fande= 1, . . . , N e.</t>
  </si>
  <si>
    <t>e=1ϵn+1</t>
  </si>
  <si>
    <t>FEM ,em,∀m= 1, ..., N φ,F. (8)</t>
  </si>
  <si>
    <t>˜n=1Nφ,FX</t>
  </si>
  <si>
    <t>for all time steps ˜ n= 1, ..., N TBof the temporal bundle, which enables a</t>
  </si>
  <si>
    <t>temporal bundle, containing the solutions of the next ˜ n= 1, ..., N TBtime</t>
  </si>
  <si>
    <t>v of the next time steps tn+˜n, where ˜ n= 1, ..., N TB. Using the</t>
  </si>
  <si>
    <t>100 time steps, starting from t0= 0 s and progress until tNt= 1 s is reached</t>
  </si>
  <si>
    <t>with a fixed time step ∆ t= 0.01 s. For evaluation, FEM-solutions from the</t>
  </si>
  <si>
    <t>n=1PNφ</t>
  </si>
  <si>
    <t>v=1˜Tn</t>
  </si>
  <si>
    <t>v=1|Tn</t>
  </si>
  <si>
    <t>data=1</t>
  </si>
  <si>
    <t>poloidal magnetic flux ψ. It is defined as as ˆ ρ=q</t>
  </si>
  <si>
    <t>g0=⟨(∇V)⟩ (5)</t>
  </si>
  <si>
    <t>have a zero-derivative boundary condition at ˆ ρ= 0. The</t>
  </si>
  <si>
    <t>ˆρ= 1, which are user-defined. The ψequation has a Neu-</t>
  </si>
  <si>
    <t>mann (derivative) boundary condition at ˆ ρ= 1, which</t>
  </si>
  <si>
    <t>Ip=∂ψ</t>
  </si>
  <si>
    <t>ofdˆρ= 1/N. The cell centers are denoted by ˆ ρi, where</t>
  </si>
  <si>
    <t>ˆρi±1/2. Both ˆ ρ= 0 and ˆ ρ= 1 are on the face grid.</t>
  </si>
  <si>
    <t>with N= 5 and ˆ ρ= 0.2. The cell volume centered at ˆ ρ= 0.5</t>
  </si>
  <si>
    <t>is defined with V=dˆρA, with arbitrary face area A. The corre-</t>
  </si>
  <si>
    <t>sponding cell faces are located at ˆ ρ= 0.4 and ˆ ρ= 0.6. In the 1D</t>
  </si>
  <si>
    <t>∂t+∇ ·Γ=S (10)</t>
  </si>
  <si>
    <t>∂t(Vixi) + (Γi+1/2·Ai+1/2−Γi−1/2·Ai−1/2) =ViSi,</t>
  </si>
  <si>
    <t>trary A, and the volumes Vi=dˆρiA. The area cancels</t>
  </si>
  <si>
    <t>dˆρ(Γi+1/2−Γi−1/2) =Si, (12)</t>
  </si>
  <si>
    <t>Γ =−D∂x</t>
  </si>
  <si>
    <t>xi+1/2=αi+1/2xi+ (1−αi+1/2)xi+1</t>
  </si>
  <si>
    <t>xi−1/2=αi−1/2xi+ (1−αi−1/2)xi−1(15)</t>
  </si>
  <si>
    <t>Pe=V dˆρ</t>
  </si>
  <si>
    <t>dt=F(x, t) (18)</t>
  </si>
  <si>
    <t>transport, and current diffusion. Then N= 25, # = 3,</t>
  </si>
  <si>
    <t>ple, for the Teequation, ˜T=ne, which makes the system</t>
  </si>
  <si>
    <t>following equation iteratively with k= 1,2, .., K :</t>
  </si>
  <si>
    <t>t+∆t=xt.</t>
  </si>
  <si>
    <t>Starting from an initial guess xt+∆t=x0</t>
  </si>
  <si>
    <t>t+∆t)δx=−R(xk</t>
  </si>
  <si>
    <t>With δx=xk+1</t>
  </si>
  <si>
    <t>∆tbase=(dˆρ)2</t>
  </si>
  <si>
    <t>where ∆ t=cdt</t>
  </si>
  <si>
    <t>jtor=R2</t>
  </si>
  <si>
    <t>q= 2πB0ρ∂ψ</t>
  </si>
  <si>
    <t>With q(ρ= 0) =2B0</t>
  </si>
  <si>
    <t>µ0jtot(ρ=0)R0.</t>
  </si>
  <si>
    <t>ni= (Zimp−Zeff)/(Zimp−1)ne (27)</t>
  </si>
  <si>
    <t>(r= 0) value and the boundary condition at ˆ ρ= 1 are</t>
  </si>
  <si>
    <t>nGW=Ip</t>
  </si>
  <si>
    <t>jtor=j0(1−ˆρ2)ν(with j0scaled to match Ip, and νis</t>
  </si>
  <si>
    <t>χGB=(Aimp)1/2</t>
  </si>
  <si>
    <t>R/L Ti,crit =4</t>
  </si>
  <si>
    <t>Qei=1.5ne(Ti−Te)</t>
  </si>
  <si>
    <t>τe=12π3/2ϵ2</t>
  </si>
  <si>
    <t>ln Λei= 15.2−0.5 lnne</t>
  </si>
  <si>
    <t>Pfus=Efus1</t>
  </si>
  <si>
    <t>where Efus= 17.6 MeV is the energy released per fusion</t>
  </si>
  <si>
    <t>⟨σv⟩=C1θs</t>
  </si>
  <si>
    <t>Pohm=jtor</t>
  </si>
  <si>
    <t>the QLKNN10D transport model, a gridsize of N= 25,</t>
  </si>
  <si>
    <t>transport, and current diffusion. A fixed ∆ t= 2sis</t>
  </si>
  <si>
    <t>t= 10 s for the Newton-Raphson, Predictor-Corrector (1 step),</t>
  </si>
  <si>
    <t>dp=∂Rk</t>
  </si>
  <si>
    <t>In MeshGraphNet, a mesh is treated as a graph G= (V, E),</t>
  </si>
  <si>
    <t>𝜕𝑡+∇·F(u)=s(u;x,𝑡) (1)</t>
  </si>
  <si>
    <t>ˆu𝑖(𝑡+Δ𝑡)=𝜙𝑑𝑒</t>
  </si>
  <si>
    <t>where𝑗=0,2,...,𝐿−1andΔ𝑡𝑘denotes the physical time step.</t>
  </si>
  <si>
    <t>h𝐿=h0+𝐿−1∑︁</t>
  </si>
  <si>
    <t>𝑗=0𝛼𝑗K𝑗s.t.𝐿−1∑︁</t>
  </si>
  <si>
    <t>Model 2D Burgers ( Δ𝑡=0.001s) 3D GS RD ( Δ𝑡=0.001s) 2D CF ( Δ𝑡=0.01s) 2D BS ( Δ𝑡=1day)</t>
  </si>
  <si>
    <t>-0.3-1.00.4Magnitude u, v uvSnapshots at t = 0.955 s</t>
  </si>
  <si>
    <t>0.0CiGNNMagnitude u, v Snapshots at t = 713.75 s</t>
  </si>
  <si>
    <t>uvpSnapshots at t = 8.55 s</t>
  </si>
  <si>
    <t>t = 0t = 80t = 160t = 1t = 69t = 137</t>
  </si>
  <si>
    <t>Time (day)Temperature at t = 1dTemperature at t = 69dTemperature at t = 137d</t>
  </si>
  <si>
    <t>1.0t = 0t = 80t = 160t = 1t = 69t = 137</t>
  </si>
  <si>
    <t>Time (day)m/sFlow velocity at t = 1dFlow velocity at t = 69dFlow velocity at t = 137d</t>
  </si>
  <si>
    <t>Task Method 2D Burgers ( Δ𝑡=0.001𝑠) 3D GS RD ( Δ𝑡=0.001𝑠) 2D CF ( Δ𝑡=0.01𝑠) 2D BS ( Δ𝑡=1𝑑𝑎𝑦)</t>
  </si>
  <si>
    <t>Model Rollout Step 2D Burgers ( Δ𝑡=0.001𝑠) 3D GS RD ( Δ𝑡=0.001𝑠) 2D CF ( Δ𝑡=0.01𝑠) 2D BS ( Δ𝑡=1𝑑𝑎𝑦)</t>
  </si>
  <si>
    <t>V(∇·F)𝑑V=∬</t>
  </si>
  <si>
    <t>𝑓𝑙𝑢𝑥𝑖=∑︁</t>
  </si>
  <si>
    <t>(∇𝑤𝑓)(𝑢𝑖,𝑢𝑗)=𝜕𝑢𝑗𝑓(𝑢𝑖). (S5)</t>
  </si>
  <si>
    <t>&lt;∇𝑤𝑓,𝐹&gt;H(𝐸)=&lt;𝑓,∇∗</t>
  </si>
  <si>
    <t>𝑑𝑖𝑣𝑤:=−∇∗</t>
  </si>
  <si>
    <t>𝜕𝑡=𝜈∇2𝑢−𝑢𝜕𝑢</t>
  </si>
  <si>
    <t>𝜕𝑡=𝜈∇2𝑣−𝑢𝜕𝑣</t>
  </si>
  <si>
    <t>a spatial domain of Ω=(0,1)2and a time duration of 𝑡∈[0,1].</t>
  </si>
  <si>
    <t>˜𝑢0(𝑥,𝑦)=𝑛𝑎∑︁</t>
  </si>
  <si>
    <t>𝑎𝑖=0𝑛𝑏∑︁</t>
  </si>
  <si>
    <t>˜𝑣0(𝑥,𝑦)=𝑛𝑎∑︁</t>
  </si>
  <si>
    <t>𝜕𝑡=𝐷𝑢∇2𝑢−𝑢𝑣2+𝛼(1−𝑢), (S15a)</t>
  </si>
  <si>
    <t>𝜕𝑡=𝐷𝑣∇2𝑣+𝑢𝑣2−(𝛽+𝛼)𝑣. (S15b)where𝑢(𝑥,𝑦,𝑧,𝑡)and𝑣(𝑥,𝑦,𝑧,𝑡)are the velocities. 𝐷𝑢and𝐷𝑣are</t>
  </si>
  <si>
    <t>ing initial-boundary value problem on Ω=[0,96]3with peri-</t>
  </si>
  <si>
    <t>B(u, t,x) = 0 , x∈∂Ω,</t>
  </si>
  <si>
    <t>I(u, t,x) = 0 , t= 0.(1)</t>
  </si>
  <si>
    <t>L=ωFLF+ωBLB+ωILI (2)</t>
  </si>
  <si>
    <t>i=1l(ˆu(ti,xi)t+F(xi,ˆu(ti,xi))−f(ti,xi)) (3)</t>
  </si>
  <si>
    <t>i=1l(B(ˆui, ti,xi)) (4)</t>
  </si>
  <si>
    <t>i=1l(I(ˆui, ti,xi)) (5)</t>
  </si>
  <si>
    <t>j=1aij(f(t0+ ∆t·cj)− F(u(t0+ ∆t·cj))), i= 1,2, ..., q</t>
  </si>
  <si>
    <t>j=1bj(f(t0+ ∆t·cj)− F(u(t0+ ∆t·cj)))(6)</t>
  </si>
  <si>
    <t>i=1q+1X</t>
  </si>
  <si>
    <t>j=1ui</t>
  </si>
  <si>
    <t>¯o(x) =α1·x+α2·σ(w·x+b)·</t>
  </si>
  <si>
    <t>¯o(x) =g0·x+σ(w·x+b)·</t>
  </si>
  <si>
    <t>gi=sigmoid (Gi) =1</t>
  </si>
  <si>
    <t>1 + exp( −Gi), i= 1,2, ..., n (12)</t>
  </si>
  <si>
    <t>i=0(gi−0.5)2(13)</t>
  </si>
  <si>
    <t>7epoch =epoch + 1</t>
  </si>
  <si>
    <t>conductivity, σis the electrical conductivity, Iis the current which is set to 200 A at t= 0and then 0 after that, gcis</t>
  </si>
  <si>
    <t>for the boundary condition, the temperature gradient is set to 0 at the symmetric center ( r= 0) and the temperature is</t>
  </si>
  <si>
    <t>set to a constant value of 2000 K at the cylindrical wall ( r=R).</t>
  </si>
  <si>
    <t>∂r(rρvr) = 0 ,</t>
  </si>
  <si>
    <t>weights obtained by NAS-PINN and NAS-PINNv2 in the case of Ar arc plasma with RK-PINN framework at t= 0.1</t>
  </si>
  <si>
    <t>t= 0.1NAS-PINNv2 [1, 0+150, 50+100, 50+250, 2] 4.15×10−43.39×10−3</t>
  </si>
  <si>
    <t>t= 0.5NAS- PINNv2 [1, 0+250, 50+400, 350+400, 150+350, 2] 6.09×10−48.51×10−3</t>
  </si>
  <si>
    <t>t= 0.9NAS-PINNv2 [1, 400, 400, 250, 2] 7.29×10−48.78×10−3</t>
  </si>
  <si>
    <t>∂t=∇ ·</t>
  </si>
  <si>
    <t>∇2V=−e(np−ne)</t>
  </si>
  <si>
    <t>Γe=γnpµp⃗E (20)</t>
  </si>
  <si>
    <t>t= 1NAS-PINNv2 [1, 100, 250, 50, 100, 50, 2] 3.45×10−51.85×10−3</t>
  </si>
  <si>
    <t>t= 3NAS- PINNv2 [1, 50, 100, 50, 50, 50, 2] 2.97×10−53.84×10−3</t>
  </si>
  <si>
    <t>t= 5NAS-PINNv2 [1, 100, 100, 100, 50, 50, 2] 1.27×10−46.33×10−3</t>
  </si>
  <si>
    <t>coll= 0,</t>
  </si>
  <si>
    <t>¯Ri= 2πR∞</t>
  </si>
  <si>
    <t>coll=1</t>
  </si>
  <si>
    <t>trajectory timesteps after t=200. This approach ensured that the dataset contained trajectories</t>
  </si>
  <si>
    <t>u=Gθ(a) =Lli ft◦K1◦K2◦...◦KT−1◦KT◦Lpro j(a) (2)</t>
  </si>
  <si>
    <t>(κ(a;φ)vt)(x) =F−1(F(κφ).F(vt))(x)whereFis the Fourier transform. This equation</t>
  </si>
  <si>
    <t>across the same grid. For the majority of this work, an input feed of Tin=20 time steps and a</t>
  </si>
  <si>
    <t>corresponding output of Tout=5 time steps were used, as it demonstrated the best performance</t>
  </si>
  <si>
    <t>reduced to Tin=5 time steps, due to only 10 consecutive timesteps being available for the</t>
  </si>
  <si>
    <t>Figure 2: Example rollout using surrogate with Tin=20 and Tout=5. For the initial rollout</t>
  </si>
  <si>
    <t>start. For the results presented here, unless stated otherwise, rollouts begin at t=20 for models</t>
  </si>
  <si>
    <t>evaluated on the JOREK datasets and t=200 for models evaluated on the STORM dataset.</t>
  </si>
  <si>
    <t>∂tUa(P) +∂ iJa i(P) = 0,(1)</t>
  </si>
  <si>
    <t>∂iBi= 0.(2)</t>
  </si>
  <si>
    <t>U= (D, ε, m i, Bi),(3)</t>
  </si>
  <si>
    <t>a, b= 1, . . . ,8 to index entries associated with conserva-</t>
  </si>
  <si>
    <t>P= (ρ, p, vi, Bi).(4)</t>
  </si>
  <si>
    <t>p= (Γ−1)u(5)whereuis the internal energy. Throughout this work</t>
  </si>
  <si>
    <t>tion∂ iBi= 0 which is crucial for proper time evolution.</t>
  </si>
  <si>
    <t>ab(P)∂ iPb= 0,(6)</t>
  </si>
  <si>
    <t>Mab=∂Ua</t>
  </si>
  <si>
    <t>ab=∂Ja i</t>
  </si>
  <si>
    <t>cally,M−1A=∂J</t>
  </si>
  <si>
    <t>at timest=0.0 (red),t=0.036 (purple) andt=0.10 (brown). The unweighted domain loss (blue) is also shown. The right panel</t>
  </si>
  <si>
    <t>whereγis the Lorentz factor andρh=ρ+ Γuis the</t>
  </si>
  <si>
    <t>(xµ)7−→ P(xµ) = (ρ(xµ), p(xµ), vi(xµ), Bi(xµ)).(11)wherexµ= (t, xi). In practice this is a fully connected</t>
  </si>
  <si>
    <t>Ltot=w 1Ldomain +w 2Ldata+w 3Lbdy,(12)</t>
  </si>
  <si>
    <t>ers. This includes the initial slice att= 0.0 which</t>
  </si>
  <si>
    <t>att= 0.0.</t>
  </si>
  <si>
    <t>just thet= 0.0 snapshot, helps drive the early training</t>
  </si>
  <si>
    <t>t= 0.0,0.036,0.1,(13)</t>
  </si>
  <si>
    <t>RMHD shock-tube att= 0.</t>
  </si>
  <si>
    <t>Bx= 5.0 (15)</t>
  </si>
  <si>
    <t>results att= 0.25 and the relation (9), we can estimate</t>
  </si>
  <si>
    <t>(∼1000 epochs). We see good fitting of data conditions att=0.036 (upper-left) and poor extrapolation tot=0.22 (upper-right).</t>
  </si>
  <si>
    <t>equation of state uses Γ = 4/3. Final time ist= 0.4.</t>
  </si>
  <si>
    <t>ange), the weighted data losses at timest=0.0 (red),t=0.080</t>
  </si>
  <si>
    <t>(purple) andt=0.20 (brown), and the unweighted PDE loss</t>
  </si>
  <si>
    <t>tion of the density att= 0.40. We refer to the RMHD-NN</t>
  </si>
  <si>
    <t>Model snapshots att=0.0(left),t=0.2(middle) andt=0.4</t>
  </si>
  <si>
    <t>dynamic problems in the absence of magnetism,B i= 0.</t>
  </si>
  <si>
    <t>ing∂ iBi= 0 constraint. We find that the constraint not only</t>
  </si>
  <si>
    <t>presses. Model snapshots att=0.0 (left),t=0.2 (middle) and</t>
  </si>
  <si>
    <t>t=0.4 (right).</t>
  </si>
  <si>
    <t>time is again set to 0.4, with training data att= 0, t=</t>
  </si>
  <si>
    <t>0.08 andt= 0.2. The details of the initial conditions</t>
  </si>
  <si>
    <t>(x, t)−→δP= (δρ(xµ), δp(xµ), δvi(xµ), δBi(xµ))</t>
  </si>
  <si>
    <t>b(P)δPb=Ra(P),</t>
  </si>
  <si>
    <t>bian, andS(P) =∂ tM(P) +∂ xAx(P). The correction</t>
  </si>
  <si>
    <t>constraints for evolution. In relativistic notation these are∂ µTµν=0,∂ µFµν=0 and∂ µ(ϵµνρσFρσ)=0, whereTµνis the</t>
  </si>
  <si>
    <t>relationship,Jµ=σµνFµνwhereσµνis the conductivity tensor. The equations simplify drastically in an ‘ideal’ MHD</t>
  </si>
  <si>
    <t>m=w tγ2v−b0b</t>
  </si>
  <si>
    <t>ε=w tγ2−b0b0−pt(A2)</t>
  </si>
  <si>
    <t>b0=γv·B</t>
  </si>
  <si>
    <t>b=B/γ+γ(v·B)v</t>
  </si>
  <si>
    <t>wt=ρh+b2</t>
  </si>
  <si>
    <t>pt=p+b2</t>
  </si>
  <si>
    <t>γ= 1/√</t>
  </si>
  <si>
    <t>The currents/fluxesJacorrespond to a 3×8 matrix, witha= 1, . . . ,8. For instance</t>
  </si>
  <si>
    <t>J1=Dv,J2=w tγ2vvx−bb x+ˆipt,J3=. . .(A4)</t>
  </si>
  <si>
    <t>etc. Recall thatγis the Lorentz factor of the plasma and thatbµ= (b0,b) is the magnetic field in such frame. This</t>
  </si>
  <si>
    <t>b2=B2/γ2+ (v·B)2(A5)</t>
  </si>
  <si>
    <t>∂t+ (u·∇)u=−∇p+Tˆz+√</t>
  </si>
  <si>
    <t>∂t+ (u·∇)T=1√</t>
  </si>
  <si>
    <t>∇·u= 0, (1c)</t>
  </si>
  <si>
    <t>R=αg(∆T)L3/νκand the Prandtl number P=ν/κ. Gravity acts in the −ˆzdirection and α,</t>
  </si>
  <si>
    <t>numberP= 1.</t>
  </si>
  <si>
    <t>conditions on the top ( z= 1) and bottom ( z= 0) boundaries satisfy the following relations</t>
  </si>
  <si>
    <t>∂z= 0, (2a)</t>
  </si>
  <si>
    <t>∂z= 0, (2b)</t>
  </si>
  <si>
    <t>uz= 0, (2c)</t>
  </si>
  <si>
    <t>T(z= 0) = 1, (2d)</t>
  </si>
  <si>
    <t>T(z= 1) = 0. (2e)</t>
  </si>
  <si>
    <t>uz(z= 0) = 0, (3a)</t>
  </si>
  <si>
    <t>uz(z= 1) = 0, (3b)</t>
  </si>
  <si>
    <t>ux(z= 0) =−U0, (3c)</t>
  </si>
  <si>
    <t>ux(z= 1) = U 0, (3d)</t>
  </si>
  <si>
    <t>In two dimensions, we perform simulations for Rayleigh numbers R= 106, 108, 1010and 1012,</t>
  </si>
  <si>
    <t>t = 22.5</t>
  </si>
  <si>
    <t>t = 49.75</t>
  </si>
  <si>
    <t>R = 106R = 108R = 1010 R = 1012</t>
  </si>
  <si>
    <t>early in the initial evolution ( t= 22.5 in the left column) and once the steady state has become established ( t= 49.75</t>
  </si>
  <si>
    <t>The simulations are evolved until a time t= 50, which our investigations have shown is</t>
  </si>
  <si>
    <t>state of convective rolls sooner, as is to be expected. At t= 50 the Dedalus model is restarted</t>
  </si>
  <si>
    <t>and evolved until t= 60 with the state of the ﬂuid checkpointed at a much higher cadence,</t>
  </si>
  <si>
    <t>∆t= 0.01, in order to provide the resolution in time required for the machine learning</t>
  </si>
  <si>
    <t>In three dimensions, we perform simulations for Rayleigh numbers R= 104, 105, 106and 107,</t>
  </si>
  <si>
    <t>here the simulations are evolved considerably further to a time of t= 150 in order to reach a</t>
  </si>
  <si>
    <t>statistically steady state, before restarting and evolving the simulation up to t= 175 in order</t>
  </si>
  <si>
    <t>to obtain snapshots of the ﬂuid state at the smaller interval of ∆ t= 0.01 to provide high</t>
  </si>
  <si>
    <t>We perform simulations for the Rayleigh number R= 108, principally to examine the capa-</t>
  </si>
  <si>
    <t>evolved up to t= 150 and then restarted in order to obtain ﬂuid data at the same smaller</t>
  </si>
  <si>
    <t>interval of ∆ t= 0.01, up tot= 160.</t>
  </si>
  <si>
    <t>∂tu=N∑</t>
  </si>
  <si>
    <t>l=0clfl(u,∂tu,∂2</t>
  </si>
  <si>
    <t>tu,∇u,∇2u,...) = 0 (5)</t>
  </si>
  <si>
    <t>q0,j=N∑</t>
  </si>
  <si>
    <t>n=1cn,jqn=Qcj (7)</t>
  </si>
  <si>
    <t>recover the governing equations. We enforce ∂tp= 0 by explicitly including instruction not to</t>
  </si>
  <si>
    <t>∂xux=−∂zuz, (9)</t>
  </si>
  <si>
    <t>5 forux, 6 foruz, 0 forpand 4 forT(target = 5,6,0,4). Reducing this beyond these “correct”</t>
  </si>
  <si>
    <t>test the hypothesis that the diﬀusive terms will be lost ﬁrst (with target = 3,4,0,2). Increasing</t>
  </si>
  <si>
    <t>L0={1,p,T,∇·u, ∂tp,p2,p3,∂tT,T2,T3,u2,u·∇p,u·∇T,∇2p,∇2T,</t>
  </si>
  <si>
    <t>L1={u,∂tu,∇p,∇T, pu, Tu,(u·∇)u,∇2u, ∂2</t>
  </si>
  <si>
    <t>libraries as deﬁned in Gurevich et al. (2024). We similarly start from a value of β= 8 in our</t>
  </si>
  <si>
    <t>work, scalar terms are found that correspond to the incompressibility condition ∇·u= 0</t>
  </si>
  <si>
    <t>condition has been identiﬁed, all the terms which involve ∇·u= 0 can be pruned from both</t>
  </si>
  <si>
    <t>Initially, we consider 2D Rayleigh-B´ enard convection at R= 106. In the ﬁrst three tests</t>
  </si>
  <si>
    <t>test, we have used divisions in xof (xdiv = 8,10,12,14,16,18,20,22,24), divisions in zof</t>
  </si>
  <si>
    <t>(zdiv = 3,6,10,13,16,20) and divisions in tof (tdiv = 8,10,12,16,20,24). For the other</t>
  </si>
  <si>
    <t>Figure 2. Results of the ﬁrst pySINDy test at R= 106for 2D Rayleigh-B´ enard convection. Sampling spatiotemporal</t>
  </si>
  <si>
    <t>2D Rayeigh B´ enard convection at a Rayleigh number of R= 106. Terms that are constrained by interlinking and have</t>
  </si>
  <si>
    <t>[12]. This dataset spans disk masses in the range 10−4–0.234M ⊙and mass ratios q= 0.77 –1.0. For</t>
  </si>
  <si>
    <t>total gravitational mass is defined as Mtot=M 1+M 2, and the mass ratio is given by q=M 1/M2&lt;1.0 .</t>
  </si>
  <si>
    <t>Mdisk,pred =a·f(C 1, M1) +b·g(C 2, M2) +c·h(q, ˜Λ) +d,(1)</t>
  </si>
  <si>
    <t>Mdisk,pred =a1f(q0, C1) +a 2g(C1,˜Λ) +a 3h(M 1, M2) +a 4t(q0) +a 5,(2)</t>
  </si>
  <si>
    <t>disk= 0.118824−(0.142985×sin(sin(40.896317×C 1)))(3)</t>
  </si>
  <si>
    <t>Mdisk= max</t>
  </si>
  <si>
    <t>whereα= 0.084,β= 0.127,γ= 567.1, andδ= 405.14.</t>
  </si>
  <si>
    <t>log10Mdisk= max</t>
  </si>
  <si>
    <t>wherea=−31.335,b=−0.9760,c= 1.0474, andd= 0.05957.</t>
  </si>
  <si>
    <t>Mdisk=M 1·max</t>
  </si>
  <si>
    <t>witha=−8.1324,c= 1.4820, andd= 1.7784.</t>
  </si>
  <si>
    <t>a=a 0+ ∆a·q si, b=b 0+ ∆b·q si,(8)</t>
  </si>
  <si>
    <t>where the coefficients are a0=−1.581 ,∆a=−2.439 ,b0=−0.538 ,∆b=−0.406 ,c= 0.953 ,</t>
  </si>
  <si>
    <t>d= 0.0417,β= 3.910, andQ trans= 0.9.</t>
  </si>
  <si>
    <t>log10Mdisk=αtanh(βC 1+γ) +δ,(10)</t>
  </si>
  <si>
    <t>whereα=−1.27,β= 68.01,γ=−11.72, andδ=−1.98.</t>
  </si>
  <si>
    <t>Mdisk=0.1126</t>
  </si>
  <si>
    <t>Mdisk=max [M 1(0.1750−C 1),0.00136]</t>
  </si>
  <si>
    <t>Mdisk= tanh</t>
  </si>
  <si>
    <t>Mdisk= min</t>
  </si>
  <si>
    <t>Mdisk= 18170.047C6.911347</t>
  </si>
  <si>
    <t>template = TemplateExpressionSpec(</t>
  </si>
  <si>
    <t>- The mass ratio q = M2 / M1, with lower values (more unequal masses) leading</t>
  </si>
  <si>
    <t>or rigid body). The node feature vector is defined asv i= (s i,ni).</t>
  </si>
  <si>
    <t>ij= (X i−X j,∥X i−X j∥,xt</t>
  </si>
  <si>
    <t>ij= (xt</t>
  </si>
  <si>
    <t>i=ϕV(vi),εM</t>
  </si>
  <si>
    <t>ˆyi=ϕD(εV</t>
  </si>
  <si>
    <t>i=1={τ 0+Linear(x i)}N</t>
  </si>
  <si>
    <t>i=1, to increase expressivity to learn relationships between nodes and</t>
  </si>
  <si>
    <t>j=1=(PN</t>
  </si>
  <si>
    <t>i=1wijxiPN</t>
  </si>
  <si>
    <t>i=1wij)P</t>
  </si>
  <si>
    <t>w= Softmax</t>
  </si>
  <si>
    <t>Q, K, V= Linear(z),z′= SoftmaxQKT</t>
  </si>
  <si>
    <t>i, where i= 1, . . . , N andb= 1, . . . , B . It is important that batch samples belong to the same</t>
  </si>
  <si>
    <t>i=1yb</t>
  </si>
  <si>
    <t>elastoplastic, with power-law hardening and Young’s modulus E= 210000 MPa. One single FE simulation took</t>
  </si>
  <si>
    <t>As a result, these constants are equal (i.e.,γ 1=γ 2=:γ) in the case where we take the optimal constants</t>
  </si>
  <si>
    <t>Givenu∈U, we define the residual representativer=r(u)∈Vas the unique solution to the following variational</t>
  </si>
  <si>
    <t>Now, let us defineδ=δ(r) as the unique solution of the following problem:</t>
  </si>
  <si>
    <t>(δ, w) U=b(w, r),∀w∈U.(7)</t>
  </si>
  <si>
    <t>∥rk∥V= sup</t>
  </si>
  <si>
    <t>∥v∥V= sup</t>
  </si>
  <si>
    <t>∥δk∥U= sup</t>
  </si>
  <si>
    <t>∥w∥U= sup</t>
  </si>
  <si>
    <t>∥v∥V=1</t>
  </si>
  <si>
    <t>∥w∥U=1</t>
  </si>
  <si>
    <t>elements are updated in the direction ofδk=δ(rk) =δ(r(uk)) with a step sizeρ &gt;0 as follows:</t>
  </si>
  <si>
    <t>uk+1=uk+ρδk=u0+ρkX</t>
  </si>
  <si>
    <t>j=0δj.(8)</t>
  </si>
  <si>
    <t>(Bu, v) V=b(u, v) = (u, B′v)U, u∈U, v∈V.(9)</t>
  </si>
  <si>
    <t>rk=B(u∗−uk) andδk=B′rk=B′B(u∗−uk).</t>
  </si>
  <si>
    <t>ek+1=u∗−uk+1=u∗−uk−ρδk= (I−ρB′B)(u∗−uk) = (I−ρB′B)ek.(10)</t>
  </si>
  <si>
    <t>optimal choice forρisρ∗:= 2/(∥B∥2+∥B−1∥−2), with optimal contraction rate given by</t>
  </si>
  <si>
    <t>∥I−ρ∗B′B∥=∥B∥2− ∥B−1∥−2</t>
  </si>
  <si>
    <t>∥I−ρB′B∥= max</t>
  </si>
  <si>
    <t>u̸=01−ρ∥Bu∥2</t>
  </si>
  <si>
    <t>U= maxn</t>
  </si>
  <si>
    <t>whose minimum (as a function ofρ), is attained exactly atρ∗= 2</t>
  </si>
  <si>
    <t>ek+1= (1−ρ)ek,(11)</t>
  </si>
  <si>
    <t>which yields the optimal choiceρ∗= 1 that reduces the iterative scheme to a single step.</t>
  </si>
  <si>
    <t>(δk, w)U=b(w, rk),∀w∈U;</t>
  </si>
  <si>
    <t>uk+1=uk+ρδk.(12)</t>
  </si>
  <si>
    <t>rk= arg min</t>
  </si>
  <si>
    <t>δk= arg min</t>
  </si>
  <si>
    <t>uk+1=u0+ρδ0+ρδ1+···+ρδk.(13)</t>
  </si>
  <si>
    <t>rk= arg min</t>
  </si>
  <si>
    <t>rk= arg min</t>
  </si>
  <si>
    <t>thatρ∗= 1 is an optimal choice in Uzawa.</t>
  </si>
  <si>
    <t>•The Ritz minimization forrkis unnecessary, asrkis explicitly available:rk=f−Buk.</t>
  </si>
  <si>
    <t>(Bδk,Bw)L2=b(w, rk)|{z}</t>
  </si>
  <si>
    <t>δk= arg min</t>
  </si>
  <si>
    <t>uk+1=u0+δ0+δ1+···+δk.(17)</t>
  </si>
  <si>
    <t>•U=Vare equipped with the inner product driven by the bilinear formb(·,·). Thus,Bis the identity</t>
  </si>
  <si>
    <t>operator, andUcan be read as equipped with the graph inner product (recall Remark 1). Then,ρ∗= 1.</t>
  </si>
  <si>
    <t>•We haveV∋rk=δk=u∗−uk∈U. Then, we can remove the formulations related toδkand directly</t>
  </si>
  <si>
    <t>rk= arg min</t>
  </si>
  <si>
    <t>rk= arg min</t>
  </si>
  <si>
    <t>In ultra-weak formulations,U=L2,b(u, v) = (u, B′v)L2andℓ(v) = (f, v) L2for allu∈L2and allv∈V. Under</t>
  </si>
  <si>
    <t>•By equippingVwith the inner product (·,·) V:= (B′·, B′·)L2, we obtainρ∗= 1 as the optimal step size</t>
  </si>
  <si>
    <t>•The Ritz minimization forδkis explicitly available asδk=B′rk, thus avoiding the need to compute it</t>
  </si>
  <si>
    <t>r= arg min</t>
  </si>
  <si>
    <t>Time (ms)010203040Isat (mA)Time series of Isat at x=0 (DR2)</t>
  </si>
  <si>
    <t>DR 09, z=1150 cm</t>
  </si>
  <si>
    <t>DR 17, z=639 cm</t>
  </si>
  <si>
    <t>DR 28, z=1022 cm</t>
  </si>
  <si>
    <t>M = 2M = 3</t>
  </si>
  <si>
    <t>051015202530Mirror M=3</t>
  </si>
  <si>
    <t>700 800 900 1000 1100051015202530Bmidplane=1000 G (M=1.5)</t>
  </si>
  <si>
    <t>700 800 900 1000 1100Bmiror=750 G (M=1.5)</t>
  </si>
  <si>
    <t>z position (cm)x position (cm)Effect on x-z profile when changing B in an M=3 mirror</t>
  </si>
  <si>
    <t>Total (x=r)</t>
  </si>
  <si>
    <t>x position (cm)x profile at z=1140 cm</t>
  </si>
  <si>
    <t>Red = testedWeakest</t>
  </si>
  <si>
    <t>Isat = anyWeakest</t>
  </si>
  <si>
    <t>1 kG flat field, x=0</t>
  </si>
  <si>
    <t>M = 3, t = 6 ms</t>
  </si>
  <si>
    <t>-Starting with simple SGD with momentum (beta = 0.5), learning rate 1e-4</t>
  </si>
  <si>
    <t>-Make fake data for zero isat at r=50cm</t>
  </si>
  <si>
    <t>density ( n) over a distance ( x) is described by the exponential differential equation dn = α(x)·n·dx.</t>
  </si>
  <si>
    <t>α(x)=n0∫∞</t>
  </si>
  <si>
    <t>f(ε)dε=2√</t>
  </si>
  <si>
    <t>α(Te)=4Mσi0</t>
  </si>
  <si>
    <t>Te=kT=ξλeE=ξλeU</t>
  </si>
  <si>
    <t>ε=0.8eEλ√</t>
  </si>
  <si>
    <t>dx=1 (6)</t>
  </si>
  <si>
    <t>0α(x)dx=10.5 (7)</t>
  </si>
  <si>
    <t>was possible to install 1, 2 or 3 identical cylindrical Alnico magnets of induction Br = 1 ,2 T (cylindrical</t>
  </si>
  <si>
    <t>R = 10 mm and a height of N = 10 mm (shown as detail in Figure 2 ). These magnets created a magnetic</t>
  </si>
  <si>
    <t>1, 2 or 3 identical cylindrical Alnico magnets of induction Br = 1,2 T (cylindrical magnets with the</t>
  </si>
  <si>
    <t>strongest induction value that was available for the experiment), with a radius of R = 10 mm and a</t>
  </si>
  <si>
    <t>height of N = 10 mm (shown as detail in Figure 2). These magnets created a magnetic ﬁeld collinear</t>
  </si>
  <si>
    <t>the spectrum for k = 0.96 ; marked black : without cylindrical magnets in the cathode; marked red : with</t>
  </si>
  <si>
    <t>cylindrical magnets in the cathode ; (b) the complete spectrum and the Maxwell distribution; p = 5</t>
  </si>
  <si>
    <t>Pam, p = 5000 Pa ; marked black : without cylindrical magnets in the cathode; marke d red : with</t>
  </si>
  <si>
    <t>the spectrum for k = 1.05; marked black : without cylindrical magnets in the cathode; marked red : with</t>
  </si>
  <si>
    <t>spectrum for k = 0.96; marked black: without cylindrical magnets in the cathode; marked red: with</t>
  </si>
  <si>
    <t>cylindrical magnets in the cathode; ( b) the complete spectrum and the Maxwell distribution; p = 5 Pam,</t>
  </si>
  <si>
    <t>p = 5000 Pa; marked black: without cylindrical magnets in the cathode; marked red: with cylindrical</t>
  </si>
  <si>
    <t>spectrum for k = 1.05; marked black: without cylindrical magnets in the cathode; marked red: with</t>
  </si>
  <si>
    <t>p = 50,000 Pa; marked black: without cylindrical magnets in the cathode; marked red: with cylindrical</t>
  </si>
  <si>
    <t>Pam, p = 50000 Pa ; marked black : without cylindrical magnets in the cathode; marked red: with</t>
  </si>
  <si>
    <t>the spectrum for k = 1.16; marked black : without cylindrical magnets in the cathode ; marked red : with</t>
  </si>
  <si>
    <t>cylindrical magnets in the cathode ; (b) the complete spectrum and the Maxwell distribution; p = 105</t>
  </si>
  <si>
    <t>Pam, p = 105000 Pa ; marked black : without cylindrical magnets in the cathode; marked red : with</t>
  </si>
  <si>
    <t>spectrum for k = 1.16; marked black: without cylindrical magnets in the cathode; marked red: with</t>
  </si>
  <si>
    <t>cylindrical magnets in the cathode; ( b) the complete spectrum and the Maxwell distribution; p = 105</t>
  </si>
  <si>
    <t>Pam, p = 105,000 Pa; marked black: without cylindrical magnets in the cathode; marked red: with</t>
  </si>
  <si>
    <t>distance of 0. 5 mm; the best fitting para meter is d = 0.61 mm; the value calculated by Equation (A.2.10)</t>
  </si>
  <si>
    <t>is d = 0.58 mm ; Gas: He; the m agnetic induction was 0.58 T on the surface of the cathode.</t>
  </si>
  <si>
    <t>distance of 0.5 mm; a best fitting parameter of d = 0.58 mm ; the value calculated by Equation (A.2.10)</t>
  </si>
  <si>
    <t>was d = 0.56 mm ; Gas: He; the m agnetic induction was 0.58 T on t he surface of the cathode.</t>
  </si>
  <si>
    <t>of 0.5 mm; the best ﬁtting parameter is d = 0.61 mm; the value calculated by Equation (A16) is d = 0.58</t>
  </si>
  <si>
    <t>of 0.5 mm; a best ﬁtting parameter of d = 0.58 mm; the value calculated by Equation (A16) was d =</t>
  </si>
  <si>
    <t>i=0ciPi(X) (1)</t>
  </si>
  <si>
    <t>For the function Y=fX(x), the expansion coefficient ωkand the ordinate</t>
  </si>
  <si>
    <t>k=1Y(xk)Pi(xk)ωk (2)</t>
  </si>
  <si>
    <t>i=2E[P2</t>
  </si>
  <si>
    <t>number of dimensions d:N= (d+p)!/p!·d!</t>
  </si>
  <si>
    <t>i= 1−V[E[Y|X−i]]</t>
  </si>
  <si>
    <t>E= SEM[ y] =σ[y]/√nefffor a sample of observations Yeff, each taken in an</t>
  </si>
  <si>
    <t>σ2(x∗) =K(x∗, x∗)−K(x∗,X)⊤</t>
  </si>
  <si>
    <t>K= (k(xi, xj))i,j=1..N(7)</t>
  </si>
  <si>
    <t>k(xi, xj) =σ2</t>
  </si>
  <si>
    <t>(a) Calculate the Auto-Correlation Time: tA= ACT[ y(t)] = min t∗:</t>
  </si>
  <si>
    <t>t=t∗(y(t)−¯y)·(y(t−t∗)−¯y)&lt;1</t>
  </si>
  <si>
    <t>t=t1y2(t)·e−1</t>
  </si>
  <si>
    <t>j=i·tAyjfor an effective time</t>
  </si>
  <si>
    <t>j=i·tAj</t>
  </si>
  <si>
    <t>(b) Standard deviation: σ[y] =</t>
  </si>
  <si>
    <t>(c) Standard Error of the Mean: SEM[ y] =σ[y]/√neff</t>
  </si>
  <si>
    <t>autocorrelation time windows, n=90, len=38</t>
  </si>
  <si>
    <t>statistics for average ion and electron heat flux y= (Qi(ρ), Qe(ρ)) were esti-</t>
  </si>
  <si>
    <t>mated using a PCE method with Hermite polynomials of order p= 2 applied</t>
  </si>
  <si>
    <t>gradients: x=Ti(ρ), Te(ρ),∇Ti(ρ),∇Te(ρ).</t>
  </si>
  <si>
    <t>simulation length, n=150</t>
  </si>
  <si>
    <t>papersofDanielsson [10]andSherman [11]. L=Vr=~x(E)(M~/M~) , (1)</t>
  </si>
  <si>
    <t>tardation lengthatflg=1019m3.Butthisagreement of~(E)iseithertoohighortoolow.Thiscanberuled</t>
  </si>
  <si>
    <t>evenatng=1019m3forthoseinteractions which tionsofDanielsson andBrenning [7]haveestablished</t>
  </si>
  <si>
    <t>ratio=1.Intheseinteractions thesamegaswasused than100eVwouldonlyaccentuate thediscrepancy</t>
  </si>
  <si>
    <t>Neon 1.0 4.5 12.0 26.0 flg=1019m3.Foracalculation ofthemomentum</t>
  </si>
  <si>
    <t>asnewlyformedions.Suchaprocesswouldaddto ng=2X1017m3.Thecontribution fromallother</t>
  </si>
  <si>
    <t>ofthestream.Atflg=1019m3additional momen- thanthediameter ofthedeviceD,isnotobserved to</t>
  </si>
  <si>
    <t>Online order: http://www.ntis.gov/help/ordermethods.asp?loc=7-4-0#online</t>
  </si>
  <si>
    <t>That moment is taken as t=0. The quality of the plasma comp ression can be seen to be very</t>
  </si>
  <si>
    <t>Devices c= b/a a</t>
  </si>
  <si>
    <t>ii. The radial pinch speed vp itself is closely correlated to the value of va and c=b/a ; so</t>
  </si>
  <si>
    <t>parameters are obtained: fm=0.1, f c=0.7, f mr=0.12, f cr=0.68.</t>
  </si>
  <si>
    <t>The anode ’s aspect ratio A¼L=2a, where Lis the effective</t>
  </si>
  <si>
    <t>[/C0(x/C0μ)2=(2σ2)]</t>
  </si>
  <si>
    <t>cm and 0.5 cm, respectively. The cathode is represented by a conducting boundary at r = 1.5 cm.</t>
  </si>
  <si>
    <t>Figure 6 shows the ion energy distribution inside the z = 4 to 6 cm region for the hybrid and fully kinetic</t>
  </si>
  <si>
    <t>We recorded the local Ezfield in the simulations at r = .05 cm, z = 5 cm every two time stepsto look for</t>
  </si>
  <si>
    <t>19. Haines, M.G., Ion-Beam Formation in an M = O Unstable Z-Pinch.Nuclear Instruments &amp;</t>
  </si>
  <si>
    <t>is centered at z = 4.5. The region behind the sheath is vacuum. In front of the sheath is neutral</t>
  </si>
  <si>
    <t>frame shows the pinch, when the plasmareaches r = 0 and implodes.</t>
  </si>
  <si>
    <t>both positive and negative Ezfields. The pinch region is near r = 0 cm.</t>
  </si>
  <si>
    <t>Figure 7: (Color online) Frequency decomposition of Ezfield at r = 0.05 cm, z = 5 cm for a fully kineticand</t>
  </si>
  <si>
    <t>The cathodes (outer electrodes) are represented by conducting boundaries at r = 1.5 cm and r = 3.0 cm</t>
  </si>
  <si>
    <t>Plasma sheath of both ions and electrons is centered at z = 4.5. The region behind the sheath is vacuum.</t>
  </si>
  <si>
    <t>allowed to move is marked as t=0. Minor current oscil lations in the pulsed power/circuit simulation</t>
  </si>
  <si>
    <t>7. Haines, M.G., Ion-Beam Formation in an M = O Unstable Z -Pinch. Nuclear Instruments &amp;</t>
  </si>
  <si>
    <t>at present (1 Q = 1.05*10~' J) . The expected world energy requirement</t>
  </si>
  <si>
    <t>(2) hS = -$xt = A A A</t>
  </si>
  <si>
    <t>(8) ν(φψ) = ψνψ + ψνψ</t>
  </si>
  <si>
    <t>(9) ν.(ψί) = ψν.Ϊ + ί.νψ</t>
  </si>
  <si>
    <t>(10) ν χ(φί) = ψνχΙ + (νψ) x Î</t>
  </si>
  <si>
    <t>(16) ?χ(νφ) = 0</t>
  </si>
  <si>
    <t>(17) (v.v) φ = ν*φ</t>
  </si>
  <si>
    <t>(19) $cr = 0</t>
  </si>
  <si>
    <t>(20) ^r = r/r</t>
  </si>
  <si>
    <t>(22) v.(r/r3) = -v2(1/r) = 4π δ(?)</t>
  </si>
  <si>
    <t>(23) ί φ ñ dS = ί (νψ) dV</t>
  </si>
  <si>
    <t>(26) i Φ (νψ) . ñ dS = [ [ψν2ψ + (νψ) . (νψ)] dV (Green's first identity) S</t>
  </si>
  <si>
    <t>(27) J&gt; (ψνψ - ψνψ). ñ dS = (ψν ψ - ψν ψ) dV (Green's second identity or</t>
  </si>
  <si>
    <t>(29) l Φ dî = f n x ($φ)</t>
  </si>
  <si>
    <t>(31) v. ( ΦΤ) = φ(ν.Τ) + (7φ) . T</t>
  </si>
  <si>
    <t>(32) i T . ñ dS = I (v.T) dV [»·■-«■{</t>
  </si>
  <si>
    <t>7 ψ 2 -·- = iÜ + ÍL± + Í_Í</t>
  </si>
  <si>
    <t>ψ = 1 -L p !* + -L- l!i + »fi</t>
  </si>
  <si>
    <t>V.Î = i- ± (r2A) + ? — (Αθ sin Θ) + ]- -1 Α φ</t>
  </si>
  <si>
    <t>Pressure: 1 coulomb = 2.998 x 109 statcoulomb</t>
  </si>
  <si>
    <t>1 ampere = 1 coul/sec = 2.998 x 109 statampere</t>
  </si>
  <si>
    <t>1 volt = (2.998 x 102)'1 statvolt</t>
  </si>
  <si>
    <t>1 volt/m = (2.998 x 10T1 statvolt/cm</t>
  </si>
  <si>
    <t>1 weber/m2 Ξ 1 tesla = 101* gauss</t>
  </si>
  <si>
    <t>1 ohm = (2.998)"2 x 10*11 sec/cm</t>
  </si>
  <si>
    <t>1 mho/m = (2.998)2 x 109 sec"1</t>
  </si>
  <si>
    <t>1 farad = (2.998)2 x 1011 cm</t>
  </si>
  <si>
    <t>1 weber = 108 gauss . cm2 (or maxwells)</t>
  </si>
  <si>
    <t>1 ampere-turn/m = 4π x 10"3 oersted</t>
  </si>
  <si>
    <t>1 newton = 105 dyne</t>
  </si>
  <si>
    <t>1 joule = 107 erg</t>
  </si>
  <si>
    <t>1 ev = kT, where k is Boltzmann's constant, for</t>
  </si>
  <si>
    <t>T = 1.160 x 10* K</t>
  </si>
  <si>
    <t>1 Rydberg = 13.61 ev</t>
  </si>
  <si>
    <t>1 atm = 760 mm Hg = 1.013 x 105 newton/m2</t>
  </si>
  <si>
    <t>1 torr = 1 mm Hg</t>
  </si>
  <si>
    <t>e o = 56.5 n l/2 rad/sec (n e in m"3)</t>
  </si>
  <si>
    <t>XD = ε k T u/2 r T W2</t>
  </si>
  <si>
    <t>m = B = B</t>
  </si>
  <si>
    <t>Nn = - π λ* n = 1.37 x 106 ,D"3 D e~ „ ei/*</t>
  </si>
  <si>
    <t>Λ = 12 π n e x3</t>
  </si>
  <si>
    <t>D = 9 N D</t>
  </si>
  <si>
    <t>vûn = 2.60 x 10* σ2 nn T l/2 sec"1</t>
  </si>
  <si>
    <t>difference conditions div B=0 and div A=0.</t>
  </si>
  <si>
    <t>q = (47rr3/3) (^ - n e)e (2.1)</t>
  </si>
  <si>
    <t>Φ = _Ι_£ = ] e_ (2β2)</t>
  </si>
  <si>
    <t>(2.2) yields φ = 6 x 103 Volts. Recalling that 1 eV = 1.602 x 10"19 joule, we</t>
  </si>
  <si>
    <t>find that kT = 1 eV when T = 11 600K, where k is Boltzmann's constant</t>
  </si>
  <si>
    <t>have λρ = 10'4m. For the Earth's ionosphere typical values can be taken as</t>
  </si>
  <si>
    <t>n = 1012 electrons/m3 and T = 1000K, which give A D=10~3m. In the interstellar</t>
  </si>
  <si>
    <t>(2.4) 4„,3r. 4π ND = 7XDne = 3 ε kT o</t>
  </si>
  <si>
    <t>g = 1/(neAg) (2.7)</t>
  </si>
  <si>
    <t>ne = Jn. (2.8)</t>
  </si>
  <si>
    <t>V = tnee2/(meeo)]l/2 (2'9)</t>
  </si>
  <si>
    <t>where v A = ω /2π. Otherwise, the electrons will not be able to behave in an pe pe</t>
  </si>
  <si>
    <t>Te s 5 x 10% B = 5 x 10"9 Tesla and drift velocity 3 x 105m/s.</t>
  </si>
  <si>
    <t>v ■* it and 3/at ■&gt; -ΐω. Substituting (3.1) into Maxwell equation v x t =</t>
  </si>
  <si>
    <t>ilc x ΐ = ΐω S'</t>
  </si>
  <si>
    <t>where 3Ê /3t = 0, since S is constant. Therefore, oo</t>
  </si>
  <si>
    <t>fl· = (lc x Ϊ)/ω (3.6)</t>
  </si>
  <si>
    <t>From Ohm's law, 3 = σ ΐ, we identify the following expression for the DC</t>
  </si>
  <si>
    <t>σο = (ne e2/me vQ) (4.4)</t>
  </si>
  <si>
    <t>ye = - e/m e vc = - σ0/ηβ e (4.6)</t>
  </si>
  <si>
    <t>3 = σ0 (t + ue x S0) (4.9)</t>
  </si>
  <si>
    <t>t + ue x tQ = 0 (4.10)</t>
  </si>
  <si>
    <t>this case, there is an electric current (assuming n = n.) we &lt;"e</t>
  </si>
  <si>
    <t>îi = ene (Î.A - \) (4.13)</t>
  </si>
  <si>
    <t>3 = σ . t (4.14)</t>
  </si>
  <si>
    <t>with the z axis parallel to the magnetic field, t = B Q z. Replacing ue in</t>
  </si>
  <si>
    <t>J = σο Î - (σο BQ/ene) (3 x i) (4.15)</t>
  </si>
  <si>
    <t>y= Jy = °oEy+Uce/vc)Jx (4·18)</t>
  </si>
  <si>
    <t>z": J z = a 0Ez (4.19)</t>
  </si>
  <si>
    <t>J = - σ E c ce σ Ε (4.20)</t>
  </si>
  <si>
    <t>σ„ = σ0 = ne e«/(m e νς) (4.26)</t>
  </si>
  <si>
    <t>Note that in the absence of a magnetic field (ω = 0), (4.24), (4.25) and</t>
  </si>
  <si>
    <t>(4.26) give οχ = σ,, = σ and σ„ = 0, so that the plasma becomes isotropic.</t>
  </si>
  <si>
    <t>ue = ye · t (4.27)</t>
  </si>
  <si>
    <t>Since J = - βηΛ uÄ = σ · E, we find that e e</t>
  </si>
  <si>
    <t>- i ω m e ue = - e (t + ue x ΐ0) - me vc ue (5.1)</t>
  </si>
  <si>
    <t>0 = - e (t + ue x îo) - me (vc - 1ω) ue (5.2)</t>
  </si>
  <si>
    <t>σ, = σ Λ (5.3)</t>
  </si>
  <si>
    <t>σΗ = £ ψ- οη (5.4)</t>
  </si>
  <si>
    <t>When the electron-neutral collisions can be neglected (v =0), the</t>
  </si>
  <si>
    <t>σμ = ÇÊ—o n (5.7)</t>
  </si>
  <si>
    <t>σ„ = σ ο = i (n e e2/me ω) (5.8)</t>
  </si>
  <si>
    <t>m (8u /3t) = q (t + u x ÎJ - m v u α α Ό a 0 a Ca a (6.1)</t>
  </si>
  <si>
    <t>3 = T n q u = I 3 = fy σ 1 · (6.2)</t>
  </si>
  <si>
    <t>σ. = ε 1 o ω2 (v - ΐω) ω* . (v . - ΐω)</t>
  </si>
  <si>
    <t>σ,. = ε H O pe ce y pj cj</t>
  </si>
  <si>
    <t>5 = ε ΐ o (7.1)</t>
  </si>
  <si>
    <t>v x Î = M0 (Î+ ε 0 dt/dt) (7.3)</t>
  </si>
  <si>
    <t>}= σ - ? (7.4)</t>
  </si>
  <si>
    <t>V X §" = yQ σ · ΐ - 1ω \iQ eQ ΐ (7.5)</t>
  </si>
  <si>
    <t>7 X S = - ΐω u ε (T + ΐσ/ωε ) · ΐ (7.6)</t>
  </si>
  <si>
    <t>V X $ = - ΐω y ë · E (7.7)</t>
  </si>
  <si>
    <t>ε = ε0 (ϊ + ΐσ/ωε 0) (7.8)</t>
  </si>
  <si>
    <t>ε = εο &amp;1 °2</t>
  </si>
  <si>
    <t>ε3 = 1 + 0/ωε 0) oQ (7.13)</t>
  </si>
  <si>
    <t>3n¿/3t + no V-Íe = 0 (1.2)</t>
  </si>
  <si>
    <t>$.? = ρ/ε ο = - (β/ε ο) n¿ (1.5)</t>
  </si>
  <si>
    <t>32n¿/at2 - (en o/me) $.f = 0 (1.6)</t>
  </si>
  <si>
    <t>V = (no e2/me εο)ΐ/2 (1·8)</t>
  </si>
  <si>
    <t>n¿ = - (i/ω) n o V · u Q (1.10)</t>
  </si>
  <si>
    <t>ne = " (ηοΘ/α)2ν ^ (1J2)</t>
  </si>
  <si>
    <t>(1 - ω^/ω2) V-f = 0 (1.13)</t>
  </si>
  <si>
    <t>which shows that a nontrivial solution requires ω = ω . Therefore, all</t>
  </si>
  <si>
    <t>V x ΐ = i ω ί (1.14)</t>
  </si>
  <si>
    <t>V X t = μ ο (J - i ω ε ο î) (1.15)</t>
  </si>
  <si>
    <t>3 = - en Q ue = (i n o e2/u&gt;me) ΐ (1.16)</t>
  </si>
  <si>
    <t>V x § = - i ω y ε ε ρ? (1.17)</t>
  </si>
  <si>
    <t>εΓ = 1 - ω^/ω2 (1.18)</t>
  </si>
  <si>
    <t>For the electron plasma oscillations we have ω = ω , so that ε = 0, and</t>
  </si>
  <si>
    <t>S = V ψ (1.20)</t>
  </si>
  <si>
    <t>V. (νψ) = ν2ψ =0 (1.21)</t>
  </si>
  <si>
    <t>infinity, is ψ = constant, so that S = 0. Hence, there is no magnetic</t>
  </si>
  <si>
    <t>the electrostatic potential vanhishes so that n = n. = n . Since this is a r e i o</t>
  </si>
  <si>
    <t>p(r) = - enQ { exp [ e&lt;j&gt;(r)/kT ] - exp [ - e φ(?)/kT ] } + Q 6(r) (2.5)</t>
  </si>
  <si>
    <t>V.f(r) = ρ(Γ)/ε 0 (2.6)</t>
  </si>
  <si>
    <t>exp [± e φ(?)ΛΤ] = 1 ± e φ(?)ΛΤ (2.9)</t>
  </si>
  <si>
    <t>V2 φ(?) - (2/λ*) φ(?) = - (Q/c0) 6(r) (2.10)</t>
  </si>
  <si>
    <t>(_L) A[r2A Φ(Γ)1 - 1· φ(ρ) =0; (r * 0) (2.12)</t>
  </si>
  <si>
    <t>Φε(Γ) =—]— -S- (2.14)</t>
  </si>
  <si>
    <t>F(r) = A exp (/Γ r/λρ) + B exp (- /? r/Xp) (2.17)</t>
  </si>
  <si>
    <t>The condition that φ(τ) vanishes for large values of r requires A = 0.</t>
  </si>
  <si>
    <t>B = 1. Therefore, the solution of (2.12) is</t>
  </si>
  <si>
    <t>Φ(Γ) = φ (r) exp (- /Tr/Xp) = —— -£- exp (- /Tr/Xp) (2.18)</t>
  </si>
  <si>
    <t>p(r) = - 2nQe2 φ(ΐτ)/|ςΤ + Q 6(r) (2.19)</t>
  </si>
  <si>
    <t>% = p(?) d3r = £— f J- exp (- /Tr/Aj 4πΗ dr +</t>
  </si>
  <si>
    <t>+ Q ill 6(r) d3r = 0 (2.21)</t>
  </si>
  <si>
    <t>(φ0 = /?0/4πε ολ„). Φ(Γ)</t>
  </si>
  <si>
    <t>consequently of (2.18), note that using (2.18) with Q = e we have</t>
  </si>
  <si>
    <t>with only the electric field t = - ^φ in the Lorentz force term,</t>
  </si>
  <si>
    <t>v · Vf e + (e/m e) (V&lt;f&gt;) - Vv fe = 0 (3.1)</t>
  </si>
  <si>
    <t>v · V^ - (e/m 1 ) (νφ) . vv fi = 0 (3.2)</t>
  </si>
  <si>
    <t>ε o (fe - ^) d3v = --5L6(r) (3.5)</t>
  </si>
  <si>
    <t>Substituting (3.6), with a = e,i, into (3.5), yields</t>
  </si>
  <si>
    <t>n = Í f (v) d3v a = e, i (3.8)</t>
  </si>
  <si>
    <t>ν2Φ ("exp (e φ/kT) - exp (- e φ/kT)] = - JL ô(r) (3.9)</t>
  </si>
  <si>
    <t>that the wall bounding the plasma is an infinite plane surface at x = 0,</t>
  </si>
  <si>
    <t>&lt;ν&gt;α= (8/π)ι/2 (kTa/ma)l/2 (4.2)</t>
  </si>
  <si>
    <t>Γ = n (kT /2πηι )l/2 (4.3)</t>
  </si>
  <si>
    <t>m.j/me = 1836. Therefore, the wall in contact with the plasma rapidly</t>
  </si>
  <si>
    <t>potential φ(χ) at the wall (x = 0) be given by</t>
  </si>
  <si>
    <t>ne(r) = n 0 exp [θφ(ΐτ)ΑΤ] (4.6)</t>
  </si>
  <si>
    <t>conditions there must be no charge build up at the wall (x = 0), so that</t>
  </si>
  <si>
    <t>(1/me)l/2 exp (e &lt;j&gt; w/kT) = (1^)ι/2 exp (- e φ^/kl) (4.9)</t>
  </si>
  <si>
    <t>which, for T e = T.¡, agree qualitatively with the one given in (4.11),</t>
  </si>
  <si>
    <t>|e&lt;J&gt;J/kT = (1/4)*η(ιη./ιιι θ) (4.12)</t>
  </si>
  <si>
    <t>Vp = V2</t>
  </si>
  <si>
    <t>V x ί = μ ο 3 (1.4)</t>
  </si>
  <si>
    <t>3 = σ (ΐ + u x f )</t>
  </si>
  <si>
    <t>P = Pi</t>
  </si>
  <si>
    <t>P = Pi 1 + (p.. - pA) ß ß</t>
  </si>
  <si>
    <t>V · p = V Pi + (Î - V) [(p„ - Pi) Ê/B2] (1.14)</t>
  </si>
  <si>
    <t>Î x Î = (V x §) x §/μ ο (1.15)</t>
  </si>
  <si>
    <t>3 x § = (1/μ ο) (S · V)S - V (B2/2yo) (1.16)</t>
  </si>
  <si>
    <t>^ (3p/2) + (3p/2) V-S + (p - V) - u = 0 (1.18)</t>
  </si>
  <si>
    <t>p = (2Pi + p„)/3 (1.19)</t>
  </si>
  <si>
    <t>^ (2p 1+pll)+ (p„+4p 1) V · u + 2(p„ - pA) (B B-V) · u = 0 (1.21)</t>
  </si>
  <si>
    <t>Dp„/Dt + p„ V · u + 2 p„(B B - V) · u = 0 (1.22)</t>
  </si>
  <si>
    <t>Dp^Dt + 2 PjL $ . S - Pi (B B · $) - u = 0 (1.23)</t>
  </si>
  <si>
    <t>t + u x t = 0 (1.25)</t>
  </si>
  <si>
    <t>3Í/3t = V x (u x S) (1.26)</t>
  </si>
  <si>
    <t>-§(V · u)-(u · ^)S + u(^ · §), and noting that V · S = 0, we obtain</t>
  </si>
  <si>
    <t>DS/Dt = (§ · V) u - t (V - u) (1.27)</t>
  </si>
  <si>
    <t>(1/2B2) D(B2)/Dt = S · (B · V) u - V · u (1.28)</t>
  </si>
  <si>
    <t>(1/B) DB/Dt = (6 ß · V) · u - V · u (1.29)</t>
  </si>
  <si>
    <t>(1/p„) Dp„/Dt - (3/pm) Dpm/Dt + (2/B) DB/Dt = 0 (1.31)</t>
  </si>
  <si>
    <t>(1/Pl) DPl/Dt - (1/pm) Dpm/Dt - (1/B) DB/Dt = 0 (1.32)</t>
  </si>
  <si>
    <t>— (p„ B2/P!J = 0 (1.33)</t>
  </si>
  <si>
    <t>— (P ρΙγ) = 0 (1.35)</t>
  </si>
  <si>
    <t>uniform, and directed along the z axis. Thus, B = B = 0 and È = B z, as</t>
  </si>
  <si>
    <t>well as 8/8x = 8/9y = 0. In this case, we find</t>
  </si>
  <si>
    <t>(8 B · $) · Ü = 3uz/8z = V · u (1.36)</t>
  </si>
  <si>
    <t>DB/Dt = 0, then yields</t>
  </si>
  <si>
    <t>Tx = constant (1.42)</t>
  </si>
  <si>
    <t>along the z axis (B = B = 0, Ê = B z) and variations only in the transverse x y z</t>
  </si>
  <si>
    <t>direction (a/8z=0) we find that</t>
  </si>
  <si>
    <t>(6 B · V) · u = (z 3/3z) · u = 0 (1.43)</t>
  </si>
  <si>
    <t>Dpn/Dt - (p../P m) Dpm/Dt = 0 (1.44)</t>
  </si>
  <si>
    <t>Dp^/Dt - (2ρχ/Ρηι) Dpm/Dt = 0 (1.45)</t>
  </si>
  <si>
    <t>3 Dp/Dt - (5p/p m) Dpm/Dt = 0 (1.51)</t>
  </si>
  <si>
    <t>which is the familiar adiabatic equation (1.35) of gas dynamics, with γ = 5/3.</t>
  </si>
  <si>
    <t>pm Du/Dt = (V x 5) x t/u Q - $ p (1.53)</t>
  </si>
  <si>
    <t>p'Y (Dp/Dt) - γ p ρ"(γ+1) (Dpm/Dt) = 0 (1.57)</t>
  </si>
  <si>
    <t>9p/3t + u · V p + γ p V-u = 0 (1.59)</t>
  </si>
  <si>
    <t>9p/3t + (1-γ) u-Vp+yV*(pu)=0 (1.60)</t>
  </si>
  <si>
    <t>- 1 ) 2y, ;] d3r = constant (1.65)</t>
  </si>
  <si>
    <t>U = P +il</t>
  </si>
  <si>
    <t>with the energy conservation law K + U = constant. In these equations the</t>
  </si>
  <si>
    <t>V x 3 = σ [V x ΐ + V x (u x S)]</t>
  </si>
  <si>
    <t>dt/dt = V x (u x S) + n mV2$ m (2.1)</t>
  </si>
  <si>
    <t>V x (V x Î) = μ σ [-3§/8t + V x (u x $)] (2.2)</t>
  </si>
  <si>
    <t>Making use of the following identity (with ^ · t = 0)</t>
  </si>
  <si>
    <t>■Vi = ul/\ (2·8)</t>
  </si>
  <si>
    <t>Du = ? „ J_ $ p + ^ c v2 ¡J + _^_ $ tf . ΐ}] (2β9)</t>
  </si>
  <si>
    <t>R = uL/nk (2.12)</t>
  </si>
  <si>
    <t>dê/dt = n m V2§ (R m « 1) (3.1)</t>
  </si>
  <si>
    <t>(p = 0 and 3=0) may be written as</t>
  </si>
  <si>
    <t>V - t = 0 (1.1)</t>
  </si>
  <si>
    <t>and noting that V · t = 0 in free space, we obtain</t>
  </si>
  <si>
    <t>propagation of such waves is c = 1/^ρΓεΙ. Since these equations are satisfied</t>
  </si>
  <si>
    <t>ν2ψ - (l/c2)a2Vat2 = 0 (1.10)</t>
  </si>
  <si>
    <t>v = x a/ax + y a/ay + z a/az = R ζ/Ζζ (2.1)</t>
  </si>
  <si>
    <t>32ψ/8ζ2 - (1/C2) 92i|V3t2 = 0 (2.2)</t>
  </si>
  <si>
    <t>ψ(ζ,ΐ) = fU - ct) + gU + ct) (2.3)</t>
  </si>
  <si>
    <t>negative ζ direction, the velocity of propagation being c = 1//μ ε-1.</t>
  </si>
  <si>
    <t>ψ(ζ,ΐ) = A cos [k(c - ct)] = A cos (1&lt;ζ - u)t) (3.1)</t>
  </si>
  <si>
    <t>where ω = kc is the angular frequency of the oscillation and k is the wave</t>
  </si>
  <si>
    <t>λ = 2ir/k ; T = 2π/ω = 1/v (3.2)</t>
  </si>
  <si>
    <t>R · r = (k/k) · r = ζ (3.3)</t>
  </si>
  <si>
    <t>ψ(?,ί) = A cos (k · r - oat) (3.4)</t>
  </si>
  <si>
    <t>k · r - u)t = kc - u)t = constant (3.5)</t>
  </si>
  <si>
    <t>vph = ω/k (3.6)</t>
  </si>
  <si>
    <t>ψ(?,ΐ) = A cos (t · r + cot) (3.7)</t>
  </si>
  <si>
    <t>Ψ(Γ,Ϊ) = A exp [i(t · r - ωΐ)] (3.8)</t>
  </si>
  <si>
    <t>V = i 1c ; 3/3t = - ΐω (3.9)</t>
  </si>
  <si>
    <t>1c · t = 0 (3.10)</t>
  </si>
  <si>
    <t>t - fi = 0 (3.11)</t>
  </si>
  <si>
    <t>1c x E = ωΒ (3.12)</t>
  </si>
  <si>
    <t>t x fi = - (ω/c2) ΐ (3.13)</t>
  </si>
  <si>
    <t>Î(r,t) = t exp [i(lt - r - cot)] = t Q exp [i(kç - ωΐ)] (4.1)</t>
  </si>
  <si>
    <t>S(r,t) = 5 o exp [i(î - r - ωθ] = t Q exp [i(kç - u&gt;t)] (4.2)</t>
  </si>
  <si>
    <t>îi(r.t) = êi Ei exp [i(le · r - ωΐ)] (4.3)</t>
  </si>
  <si>
    <t>Î2(r,t) = ê2 E2 exp [i(îc · r - ωθ] (4.4)</t>
  </si>
  <si>
    <t>Si(r,t) = (1/ω) t x Îitr.t) (4.5)</t>
  </si>
  <si>
    <t>S2(r,t) = (1/ω) le x t2(r,t) (4.6)</t>
  </si>
  <si>
    <t>î(r,t) = [é\ E? exp (iai) + ê2 E2 exp (ia2)] exp [i(l&lt; · r - ωΐ)] (4.10)</t>
  </si>
  <si>
    <t>If Ex and E 2 have the same phase (αχ = α2), then (4.10) represents a linearly</t>
  </si>
  <si>
    <t>E = (Ei + El)1/2 (4.11)</t>
  </si>
  <si>
    <t>differ by π/2, that is, on = 0 and α 2 = ± π/2. Then, the wave (4.10) becomes</t>
  </si>
  <si>
    <t>[since exp (±ΐπ/2) = ±i],</t>
  </si>
  <si>
    <t>z direction, R = z, with ix = x and i 2 = y. Then, taking the real part of (4.13)</t>
  </si>
  <si>
    <t>ΐχ(ζ,ΐ) = E° x cos (kz - ωΐ) (4.14)</t>
  </si>
  <si>
    <t>At a fixed plane z = constant, the fields are such that the ΐ vector has a</t>
  </si>
  <si>
    <t>This result shows that at a fixed plane z = constant the electric field vector</t>
  </si>
  <si>
    <t>For the case when ax = 0 and a 2 = π/2, (4.20) becomes, at the plane z = 0,</t>
  </si>
  <si>
    <t>l y J = cos2(-ü)t) + cos2(-o)t + π/2) = 1</t>
  </si>
  <si>
    <t>since for any angle φ we have cos (φ + π/2) = - sin (φ). In this case, the x</t>
  </si>
  <si>
    <t>For the case when αχ = 0 and a 2 = - π/2, the electric field vector rotates</t>
  </si>
  <si>
    <t>(οΐχ = 0, α 2 = π/2), rotating in the clockwise direction for an</t>
  </si>
  <si>
    <t>plane z = 0, for the case when E° = E°. The angle Φ indicates the phase</t>
  </si>
  <si>
    <t>difference, ψ = (α 2 - aj. In the figures shown, the sense of rotation of the</t>
  </si>
  <si>
    <t>(αχ = 0,α2= - ττ/2), rotating in the counterclockwise direction</t>
  </si>
  <si>
    <t>Maxwell equation ^ · ΐ = ρ/ε requires that t · ? * 0. Nevertheless, the</t>
  </si>
  <si>
    <t>Fig. 10 - Various wave polarizations for the case when E = E and (α 2 - αι) = φ,</t>
  </si>
  <si>
    <t>obtained from (4.18) and (4.19) at the plane z = 0.</t>
  </si>
  <si>
    <t>ppm"Y = constant (1.1)</t>
  </si>
  <si>
    <t>Vs = (YP/P m)1/2 = (YkT/m)1/2 (1.3)</t>
  </si>
  <si>
    <t>V. = (Tension/Density)1/2 = (ßj/μ p)1/2 (1.4)</t>
  </si>
  <si>
    <t>V(p + Β2/2μ ο) = V2 ^ρ (1.5)</t>
  </si>
  <si>
    <t>V2 = v2 + -5- (Β2ρ2/2μ p2 ) = V2 + V2</t>
  </si>
  <si>
    <t>E+uxS=0 Vp + J x B (2.2)</t>
  </si>
  <si>
    <t>Pmo aÏÏx/at + V^ νΡ|Πι + Bo x (V x Bi)/y Q = 0 (2.13)</t>
  </si>
  <si>
    <t>Ui(r,t) = L¡! exp {it . r - ΐωΐ) (2.18)</t>
  </si>
  <si>
    <t>-ω2 Ui + V2 (t . uj t - V A x {k x[t x (Ui x VA)]} = 0 (2.19)</t>
  </si>
  <si>
    <t>have £ . ^ A = 0, and (2.21) simplifies to</t>
  </si>
  <si>
    <t>-ω2 ÏÏx + (V2 + V2) (k . ïïj k = O (3.1)</t>
  </si>
  <si>
    <t>ui = (V2 + V2) (k . ux) k/ω2 (3.2)</t>
  </si>
  <si>
    <t>Therefore, u1 is parallel to k, so that k . ui = kul9 and the solution for u x</t>
  </si>
  <si>
    <t>(ω/k) = (V2 + V2)l/2 (3.3)</t>
  </si>
  <si>
    <t>-ωΒι - 1c x (ui x §o) = 0 (3.5)</t>
  </si>
  <si>
    <t>Using the vector identity (2.20), and noting that k . B = 0, we find</t>
  </si>
  <si>
    <t>pressure, the effect of the magnetic field is negligible, so that ω/k = V and</t>
  </si>
  <si>
    <t>(k2 V2 - ω2) U! + (V2/V2 - 1) k2 (ϋχ . V A) VA = 0 (4.1)</t>
  </si>
  <si>
    <t>(ω/k) = Vs (4.2)</t>
  </si>
  <si>
    <t>(ω/k) = VA (4.3)</t>
  </si>
  <si>
    <t>îi = - ΒΩ Jíi- (4.4)</t>
  </si>
  <si>
    <t>t = k (x sin Θ + z cos Θ) (5.1)</t>
  </si>
  <si>
    <t>VA = VA z- (5.2)</t>
  </si>
  <si>
    <t>Ui=u x+u y + uz 1 ix iyJ iz</t>
  </si>
  <si>
    <t>£ . ^A = k VA cos Θ (5.3)</t>
  </si>
  <si>
    <t>k . Ui = k (ux sin θ + u i eos Θ)</t>
  </si>
  <si>
    <t>uix (- ω2 + k2 V2 + k2 V2 sin2 Θ) + u l2 (k2 V2 sin Θ cos Θ) = 0 (5.7)</t>
  </si>
  <si>
    <t>uix (k2 V2 sin Θ cos Θ) + u iz (-ω2 + k2 V2 cos2 Θ) = 0</t>
  </si>
  <si>
    <t>(ω/k) = V A cos Θ (5.10)</t>
  </si>
  <si>
    <t>the magnetostatic field (0=0) Eq. (5.10) gives ω/k = V., while for propagation</t>
  </si>
  <si>
    <t>across the magnetostatic field (0 = 90°) this wave disappears, since ω/k = 0.</t>
  </si>
  <si>
    <t>(ω/k)4 - (V2 + V2) U/k)2 + V2 V2 cos20 = 0 (5.12)</t>
  </si>
  <si>
    <t>(ω/k)2 = (V2 + V2)/2 ± (1/2) [(V2 + V2)2-4V2 V2 cos2e]1/2 (5.13)</t>
  </si>
  <si>
    <t>V-S = 0 (2.4)</t>
  </si>
  <si>
    <t>$xî = μ (3 + ε 3t/3t) (2.6)</t>
  </si>
  <si>
    <t>le x Ê = ω Si (3.5)</t>
  </si>
  <si>
    <t>i t x S x = μ (-e n ¡Î - i ω ε ΐ) (3.6)</t>
  </si>
  <si>
    <t>propagation in a cold isotropic plasma with S= 0.</t>
  </si>
  <si>
    <t>In the absence of an externally applied magnetic field (S = 0) the Langevin</t>
  </si>
  <si>
    <t>- k2 t = K Lt ΐωμΑθ n„ 2</t>
  </si>
  <si>
    <t>pe = 0; (Ê £ *0) (4.9)</t>
  </si>
  <si>
    <t>(u)2-kV) (1 + iv/ω) - ω2 = 0; (Êt*0) (4.10)</t>
  </si>
  <si>
    <t>of collisions. Thus, for v = 0 the dispersion relation (4.9) for longitudinal</t>
  </si>
  <si>
    <t>u = - (ie/ηΐω) tQ (4.13)</t>
  </si>
  <si>
    <t>From (4.4) and (3.5) it is clear that ίλ = 0, so that there is no magnetic</t>
  </si>
  <si>
    <t>k = 3 + ia, where 3 and a are real quantities, it is seen, from (4.12), that</t>
  </si>
  <si>
    <t>for ω &gt; ω (k = 3; α = 0) the transverse wave propagates with a phase velocity</t>
  </si>
  <si>
    <t>vph = ωΑ = c/(1 + ωρθ/ω2)1/2 (ω &gt; ωρβ) (4J4)</t>
  </si>
  <si>
    <t>v = 3ü)/8k = c2/v . (ω &gt; ω ) (4.15)</t>
  </si>
  <si>
    <t>For ω &lt; ω , k is imaginary (k = ia) and the transverse wave is exponentially</t>
  </si>
  <si>
    <t>E. « exp (ike - io)t) = exp (- αζ) exp (- loot) (4.16)</t>
  </si>
  <si>
    <t>α = Im(k) = (ω* - Ü)2)1/2/C (ω &lt; ωρΘ) (4.17)</t>
  </si>
  <si>
    <t>V, = vg = c (ω &gt;y V) (4'20)</t>
  </si>
  <si>
    <t>From the relation v = 8u)/3k we notice that at a given point in the a)(k)</t>
  </si>
  <si>
    <t>^ = t x Ε/(μοω) (4.21)</t>
  </si>
  <si>
    <t>&lt; ? &gt; = (1/2) Re (î x îï?) = Re [î x (î* x ?*)]/2μ οω</t>
  </si>
  <si>
    <t>&lt; ? &gt; = ñ (Ε2/2μ0ω) Re {k* exp [i(k - k*)c]} (4.23)</t>
  </si>
  <si>
    <t>&lt; 5 &gt; = n (ε0Ε2/2) vg for ω &lt; pe</t>
  </si>
  <si>
    <t>k = β + ia (4.27)</t>
  </si>
  <si>
    <t>A = Re(k2) = 82 - a2 (4.28)</t>
  </si>
  <si>
    <t>B = Im(k2) = 2 8a (4.29)</t>
  </si>
  <si>
    <t>exp (ike - loot) = expí-αζ) exp(i'8C- ΐωΐ) (4.30)</t>
  </si>
  <si>
    <t>ω2 = C + iD (4.31)</t>
  </si>
  <si>
    <t>k2c2 = pe ΐω2</t>
  </si>
  <si>
    <t>are damped for all frequencies. A plot of the attenuation factor a = Im(k),</t>
  </si>
  <si>
    <t>1c x (f x Ê) + U2/c2) t = (iu)en^/c2e0) u</t>
  </si>
  <si>
    <t>(1 + iv/ω) u + (ie/ωπι) (u x Î ) = - (ie/ωΐη) £ (5.1)</t>
  </si>
  <si>
    <t>k = k±x + k„z = k sin θ x + k eos θ ζ (5.4)</t>
  </si>
  <si>
    <t>where for the electrons a = e, 3 = i, and for the ions a = i, $ = e. These</t>
  </si>
  <si>
    <t>each species (a = e,i),</t>
  </si>
  <si>
    <t>where γ = 1 + 2/N is the adiabatic constant and N denotes the number of</t>
  </si>
  <si>
    <t>law p = n k D T , we can rewrite (2.3) in the form</t>
  </si>
  <si>
    <t>vp = γ kR T vn (2.4)</t>
  </si>
  <si>
    <t>n (r,t) = η Λ + n' exp (iî.r - ΐωΐ) In1I &lt;&lt; η Λ (2.5)</t>
  </si>
  <si>
    <t>n' /n = (ic.u )/ω (2.9)</t>
  </si>
  <si>
    <t>- i ω u = (q /m ) t - V* it (η' /n ) - v 0(u - u fi) (2.10)</t>
  </si>
  <si>
    <t>where V = (yknT /m ) is the adiabatic sound speed for the type a parti-</t>
  </si>
  <si>
    <t>ω u = iü)(q /m ) ΐ + V„ t (î.u ) - im v fl (u - u 0) (2.11)</t>
  </si>
  <si>
    <t>t X t = ω S (2.12)</t>
  </si>
  <si>
    <t>i t X S = μ 0 J - (Ιω/C2) t (2.13)</t>
  </si>
  <si>
    <t>J = n n I q u = n e (u. - u J. (2.14) 0 L α α O N 1 e7 x ' α</t>
  </si>
  <si>
    <t>ft = ί1θηο/ωεο) (íet - "it)/(1 " k" °2/ω2) (2J6)</t>
  </si>
  <si>
    <t>ei = vie = 0)· F°r longitudinal waves the determinant of the coefficients</t>
  </si>
  <si>
    <t>(ω2 - ω2 - k2 V2 }(ω2 - ω2· - k2 Y* J - ω2 ω2. = 0 (2.21)</t>
  </si>
  <si>
    <t>θ - ω^.} = O (2.22)</t>
  </si>
  <si>
    <t>gradient terms are ignored (i. e. V = V . = 0), (2.22) gives ω2= ω2 + ω2. ,</t>
  </si>
  <si>
    <t>β) = 0 (2.23)</t>
  </si>
  <si>
    <t>ω2 = ω2 + k2 V2 (2.24)</t>
  </si>
  <si>
    <t>Now, V2 = γ k 0TJm* and since for a plane wave the compression is one-se D e e</t>
  </si>
  <si>
    <t>dimensional we have γ = 3, so that</t>
  </si>
  <si>
    <t>ω2 =ω2</t>
  </si>
  <si>
    <t>dinal electron plasma wave. This relation shows a reflection point (k = 0)</t>
  </si>
  <si>
    <t>for ω = ω . For very high frequencies (ω » ω ) the phase velocity is</t>
  </si>
  <si>
    <t>ω/k = V , which represents an electron acoustic wave.</t>
  </si>
  <si>
    <t>e (ω*. - ω*} + ω2( ω2 - ω^ . ω2.) = o (2.26)</t>
  </si>
  <si>
    <t>At ^ery high frequencies (ω &gt;&gt; ω J we still have ω/k = V__, but now (2.26)</t>
  </si>
  <si>
    <t>pe o o 1 /2 shows a reflection point (k = 0) at ω = (ω2 + ω2 )</t>
  </si>
  <si>
    <t>ω2 V2. = (T./T ) ω2. Y2 (2.27)</t>
  </si>
  <si>
    <t>+ ω2 (ω2 - ω2β - ω2.) = 0 (2.28)</t>
  </si>
  <si>
    <t>k" Vse Vsi " k2 ^se + Vsi} + ω2 (ω2 " "pe " ωρι&gt; = ° &lt;2·29)</t>
  </si>
  <si>
    <t>(k* V2 $. - ω2) ( k2 V2se - ω2+ ω^ + ω 2.) = 0 (2.30)</t>
  </si>
  <si>
    <t>ω2 = k2 γ|. (2.31)</t>
  </si>
  <si>
    <t>ω2 = ωηΩ + ωηή + k* VL (2·32)</t>
  </si>
  <si>
    <t>^ VL V|. + k2 V2 ω2,0+Τ./Τ ) -ω2 ω2 = 0 (2.33)</t>
  </si>
  <si>
    <t>(ω/k)2 = V2</t>
  </si>
  <si>
    <t>ω2 = k2 V2</t>
  </si>
  <si>
    <t>k2 C2 = ω2 - (ω2 + ω2,)</t>
  </si>
  <si>
    <t>ionized isotropic (f = 0) warm plasma. The curves for the</t>
  </si>
  <si>
    <t>ω2Ϊ = ΐω (q /m )(? + U x ffj + V2 t[t.u ) - ΐω v 0 (u - uj (3.1)</t>
  </si>
  <si>
    <t>{ x (t x Î) + (u&gt;2/c2) E = - (ΐω en o/e0 c2)^. - u e) (3.2)</t>
  </si>
  <si>
    <t>So = Bn Z</t>
  </si>
  <si>
    <t>k = k„ + k i = k sin 0x + k cos0 z (3.4)</t>
  </si>
  <si>
    <t>. (sin θ x + cos θ z) + ιω v aB (ua - u$) = iw(qa/ma) t (3.5)</t>
  </si>
  <si>
    <t>à . E = - (ίθη0/ωεο) (¡^ - ue) (3.6)</t>
  </si>
  <si>
    <t>a = r Ί _ k2c2</t>
  </si>
  <si>
    <t>-i = since (ä)~ . ï = T, where T is the unit dyad.</t>
  </si>
  <si>
    <t>Eq. (3.8) can be used to replace ? in (3.5). For the electrons we take a=e</t>
  </si>
  <si>
    <t>and 3= i in (3.5), whereas for the ions a = i and 3= e. We obtain therefore a</t>
  </si>
  <si>
    <t>- e *f (v) d3v = 0 (3.6)</t>
  </si>
  <si>
    <t>- 1ωΜ.ν) + it . vf,(v) - ?- Ê.v f (v) = 0 (3.19)</t>
  </si>
  <si>
    <t>waves as being the x direction, that is, t = k ¿-Therefore, ¡t . v = kv and</t>
  </si>
  <si>
    <t>componentof the wave electric field is t = Ex, whereas the transverse</t>
  </si>
  <si>
    <t>j = Vx[tVo(v)]</t>
  </si>
  <si>
    <t>v (ω - 1&lt;ν χ) V dv d3v = 0 (for j=y,z) (3.24)</t>
  </si>
  <si>
    <t>since the integrand is an odd function of v., for j = y^z. Consequently, the</t>
  </si>
  <si>
    <t>i k x x t = ioÄ (3.28)</t>
  </si>
  <si>
    <t>i k x x S = μ ο3 (ΐω/c2) ΐ (3.29)</t>
  </si>
  <si>
    <t>0 = y 0Jx - (ίω/c2) Εχ (3.33)</t>
  </si>
  <si>
    <t>- i k B z = yQJy - (iu)/c2) Ey (3.34)</t>
  </si>
  <si>
    <t>i k By = yQJz - (i w/c2) Ez (3.35)</t>
  </si>
  <si>
    <t>I¥ (KV X -ω) 3V X v 3vx L(kv x - «) + 1 d3v =</t>
  </si>
  <si>
    <t>U dV = UV V dU (4-6)</t>
  </si>
  <si>
    <t>U = (νχ - «/k)'</t>
  </si>
  <si>
    <t>V = f0(v) .1 dU = - (νχ - «/kf dvx</t>
  </si>
  <si>
    <t>(νχ - ω/k) νχ = + .</t>
  </si>
  <si>
    <t>Vv) = no δ(νχ} 6(V *^z* (4.10)</t>
  </si>
  <si>
    <t>6(x) = 0 for x = 0; δ(χ) dx = 1 (4.11)</t>
  </si>
  <si>
    <t>f(x) δ(χ - x0) dx = f(xQ) (4.12)</t>
  </si>
  <si>
    <t>(ω^/ω2) &lt; (1 - Κνχ/ω)' &gt;Q = 1</t>
  </si>
  <si>
    <t>Since the plasma is considered to be stationary, we have &lt; v &gt; = u = 0, so</t>
  </si>
  <si>
    <t>degree of approximation we obtain ω2= ω2 , which is again the cold plasma</t>
  </si>
  <si>
    <t>γ = (2 + N)/N (4.20)</t>
  </si>
  <si>
    <t>we see that γ = 3 corresponds to the case when the electron gas has one degree</t>
  </si>
  <si>
    <t>of freedom (N =1), so that the electrons move only in the direction of wave</t>
  </si>
  <si>
    <t>ω2 = ω£ θ (1 + 3 k2X2) C 4.21)</t>
  </si>
  <si>
    <t>stationary equilibrium plasma (u = 0), important case when f Q(v) is the Maxwellian distribution function for a</t>
  </si>
  <si>
    <t>C = (ω/k)</t>
  </si>
  <si>
    <t>k2 λ2 + 1(C) = 0 It is (4.23)</t>
  </si>
  <si>
    <t>singularity at q = C, since for real o)(k) the denominator vanishes on the</t>
  </si>
  <si>
    <t>KO = i+lf mL·^! dq (4.31)</t>
  </si>
  <si>
    <t>- i (ω - O) f 2(v) - (e/m e)(v~ x î o) . \ fi(v) =</t>
  </si>
  <si>
    <t>νχ = Vx cos φ ; v = Vx sin φ ; v 2 = v„ (2.9)</t>
  </si>
  <si>
    <t>Using the electron cyclotron frequency ω = e B /ra , (2.11) can be rewritten</t>
  </si>
  <si>
    <t>S = {t x Ϊ)/ω (2.13)</t>
  </si>
  <si>
    <t>where we have taken t . v = k v„ and t . v = k 3/av„, since we are</t>
  </si>
  <si>
    <t>t = x Ε χ +y E y + z E„ (2.15)</t>
  </si>
  <si>
    <t>t = FÍl±Jñ+ £ Il^jlUzE., (2.16)</t>
  </si>
  <si>
    <t>,ΐΦ -Ίφν Ev cos φ + E w sin φ = (Ε. e1(p + Ε e~1(p)//F χ y + -</t>
  </si>
  <si>
    <t>dφ fi(v) =</t>
  </si>
  <si>
    <t>αφ fi(v) = F +(v) +F_(v) +F„(v) (2.18)</t>
  </si>
  <si>
    <t>Integrating both sides of this equation with respect to &lt;j&gt;, from φ = -~ to an</t>
  </si>
  <si>
    <t>arbitrary value of ψ, and noting that the exponential term vanishes at ψ = -~,</t>
  </si>
  <si>
    <t>V*&gt; = - F +(v„ ,0e1* + C + exp ψ (2;</t>
  </si>
  <si>
    <t>of v. This requirement can be satisfied only if C = 0. Therefore, we obtain</t>
  </si>
  <si>
    <t>fi„ (v) = fi„ (v„ ,vj = 1 ω</t>
  </si>
  <si>
    <t>v^-L-v.e-1« v =4-v,e+i*</t>
  </si>
  <si>
    <t>In cylindrical coordinates we have d^ = v x dv x dv„ dφ . Evaluating the</t>
  </si>
  <si>
    <t>integrals with respect to Φ, from Φ = 0 to Φ = 2π »yields the following simple</t>
  </si>
  <si>
    <t>J+ = - θπ v£ vi dv A fl+(v,i ,V X) dv„</t>
  </si>
  <si>
    <t>θ±ιηφ dφ = 0; for n = 1, 2, 3, (2.51)</t>
  </si>
  <si>
    <t>kz x ΐ = ω ff</t>
  </si>
  <si>
    <t>i k Z X ! = μ 3 - (ΐω/C2) ΐ (2.52)</t>
  </si>
  <si>
    <t>ω B y = k Ε χ (2.55)</t>
  </si>
  <si>
    <t>ω Β„ =0 (2.56)</t>
  </si>
  <si>
    <t>- i kB y = μ 0 Jx - (Wc2) Ε χ (2.57)</t>
  </si>
  <si>
    <t>i kB x = μ 0 Jy - (ίω/c2) E y (2.58)</t>
  </si>
  <si>
    <t>B± =; i (k/ω) E ± (2.61)</t>
  </si>
  <si>
    <t>;kB± = - μ 0 J± + (Wc2) E± (2.63)</t>
  </si>
  <si>
    <t>since in cylindrical coordinates d3v = v ± dvd dv„ οΙΦ and J 2π (2.66)</t>
  </si>
  <si>
    <t>(ω - kv„ - ω ςθ dv„ =</t>
  </si>
  <si>
    <t>Since 2π = dφ and d3v = v ± dv À dv„ dφ , we obtain the following</t>
  </si>
  <si>
    <t>k2 C2 = ω2 pe (ω - kv„) (k2v£)/2</t>
  </si>
  <si>
    <t>k2 C2 = ω2 . ω2 (_e_) I</t>
  </si>
  <si>
    <t>k2 c2 = ω2 + ω2β β± I(e±)</t>
  </si>
  <si>
    <t>dp/dt = t = q(í + v x t) (1.1)</t>
  </si>
  <si>
    <t>p = ymv (1.2)</t>
  </si>
  <si>
    <t>γ = (1 - Wc2)'l/2 (1.3)</t>
  </si>
  <si>
    <t>(U = ymc2) is given by dU/dt = q(v . Î) and that dp/dt = d(Uv/c2)/dt.</t>
  </si>
  <si>
    <t>negligible compared to unity. For v2/c2 « 1 we have γ = 1 and m can be</t>
  </si>
  <si>
    <t>m dv/dt = q (Ê + v x S) (1.5)</t>
  </si>
  <si>
    <t>m dv/dt = q(v x Î) (2.1)</t>
  </si>
  <si>
    <t>(v x S) . v = 0 for any vector v, we obtain</t>
  </si>
  <si>
    <t>Since V x t = 0, we can express the electrostatic field in terms of the</t>
  </si>
  <si>
    <t>electrostatic potential according to t = -νψ, so that</t>
  </si>
  <si>
    <t>A (mv2/2) = - q(fy) . v = - ς(νφ) . 4ϋ - - q 44 (2.4)</t>
  </si>
  <si>
    <t>-4- (mv2/2 + ςφ) = 0 (2.5)</t>
  </si>
  <si>
    <t>gradient of a scalar function. But since V . t = 0, we can define a magnetic</t>
  </si>
  <si>
    <t>vector potential t by B = V x Ä, and write (1.5.2) as</t>
  </si>
  <si>
    <t>v x ΐ + aS/at = vx? + a(v x Â)/at = vx (t + aÂ/at) = o (2.6)</t>
  </si>
  <si>
    <t>t = -νφ - dt/dt (2.7)</t>
  </si>
  <si>
    <t>L = mv2/2 - U (2.8)</t>
  </si>
  <si>
    <t>U = ς(φ - v . t) (2.9)</t>
  </si>
  <si>
    <t>dp/dt = q ? (3.1)</t>
  </si>
  <si>
    <t>where p = p(t = 0) denotes the initial particle momentum. Using the</t>
  </si>
  <si>
    <t>p = mv = m dr/dt (3.3)</t>
  </si>
  <si>
    <t>m dv/dt = q(v x Î) (4.1)</t>
  </si>
  <si>
    <t>v = v„ + v x (4.2)</t>
  </si>
  <si>
    <t>dv„/dt + dvx/dt = (q/m) (vx x S) (4.3)</t>
  </si>
  <si>
    <t>dv„/dt = 0 (4.4)</t>
  </si>
  <si>
    <t>dfydt = (q/m) (vx x Í) (4.5)</t>
  </si>
  <si>
    <t>dvx/dt = - ν Αχ ω = ω x ν χ (4.6)</t>
  </si>
  <si>
    <t>(q &gt; 0). Its magnitude ω_ is always positive (ωΓ = |q| B/m). The unit</t>
  </si>
  <si>
    <t>Since ω is constant and (from conservation of kinetic energy) νχ = |νΑ|</t>
  </si>
  <si>
    <t>(4.6) directly, noting that ω is constant and taking v ± = dr /dt, to</t>
  </si>
  <si>
    <t>a = sin"1 (v1/v) = tan"1 (vi/v„) (4.9)</t>
  </si>
  <si>
    <t>but vx * 0, we have α = π/2 and the particle trajectory is a circle in the</t>
  </si>
  <si>
    <t>plane normal to t. On the other hand, when vx = 0 but v„ * 0, we have a = 0</t>
  </si>
  <si>
    <t>and m = 9.109 x 10"31 kg, so that</t>
  </si>
  <si>
    <t>m = 1.673 x 10~27 kg, so that</t>
  </si>
  <si>
    <t>rc = vA/a)</t>
  </si>
  <si>
    <t>c = mvi/M B (4·13)</t>
  </si>
  <si>
    <t>Brc = mvA/|q| = Pl/|q| (4.14)</t>
  </si>
  <si>
    <t>(x,y,z) such that S = Bz. In this case, the cross product between v and t</t>
  </si>
  <si>
    <t>v x s = V V V</t>
  </si>
  <si>
    <t>dv/dt = (qB/m) (v x - v y</t>
  </si>
  <si>
    <t>y * ) = (d ως) (vy x - ν χ y) (4.16)</t>
  </si>
  <si>
    <t>is always positive (ω = |q| B/m). In what follows we shall consider a</t>
  </si>
  <si>
    <t>dvx/dt = u)c vy</t>
  </si>
  <si>
    <t>dvy/dt = - ω 0 νχ</t>
  </si>
  <si>
    <t>dvz/dt = 0 (4.17)</t>
  </si>
  <si>
    <t>d2vx/dt2 + ω2 νχ = 0 (4.20)</t>
  </si>
  <si>
    <t>x(t) = - (v^) cos ( ω&lt;Λ + θο) + Xo (4.24)</t>
  </si>
  <si>
    <t>The vector r =xx + yy + zz gives the initial particle position. From</t>
  </si>
  <si>
    <t>ΔΝα = Ufa/6t)coll d3r d3v dt (2.1)</t>
  </si>
  <si>
    <t>It is convenient to separate ΔΝ into two parts ΔΝ = ΔΝ+ - ΔΝ" (2.2)</t>
  </si>
  <si>
    <t>Γβ = yr.Vi.t) d3</t>
  </si>
  <si>
    <t>r0 b db de dt = f0(f,"vi,t) d3vx g b db de dt (2.4)</t>
  </si>
  <si>
    <t>ΔΝ" = f (r,v,t) d3r d3v dt Y</t>
  </si>
  <si>
    <t>ΔΝα = f</t>
  </si>
  <si>
    <t>de =σ(Ω) dfi, we obtain the following expression for the Boltzmann collision</t>
  </si>
  <si>
    <t>f = f (r.v.t)</t>
  </si>
  <si>
    <t>fßi=fß(r,Vl,t)</t>
  </si>
  <si>
    <t>—- + v . vf + a.vw f = I (f' f¿ -f f0 ) d3viga(n) dn (2.14)</t>
  </si>
  <si>
    <t>The external force t = m a, in the case of a plasma, includes also the</t>
  </si>
  <si>
    <t>electromagnetic Lorentz force f = qa(t+v x fi) due to externally applied</t>
  </si>
  <si>
    <t>J = K_</t>
  </si>
  <si>
    <t>{ mi m dc dq = dc dq ox yx ox yx (2.20)</t>
  </si>
  <si>
    <t>vi = v{ s 0 (4.4)</t>
  </si>
  <si>
    <t>nn = f„ d' Vl (4.7)</t>
  </si>
  <si>
    <t>f'e = fe(?.v',t) = f00(?.v',t) +!_ll£ foi(?,»',t)</t>
  </si>
  <si>
    <t>that v = g and v' = g* [see (4.4)], and since g = g* (see (20.2.16)] we</t>
  </si>
  <si>
    <t>have v = v'. Note, however, that v Φ ν'. Therefore, from (4.9) and</t>
  </si>
  <si>
    <t>(ν' - v) . vz = g' . vz - g . vz</t>
  </si>
  <si>
    <t>d3v d3vi = d3cQ d3g (2.21)</t>
  </si>
  <si>
    <t>simple rotation of coordinates, we must have d3g = d3g'. Consequently,</t>
  </si>
  <si>
    <t>d3v d3Vi = d3v' d3v{ (2.23)</t>
  </si>
  <si>
    <t>Σ | [ ( fá f¿! x g σ(Ω) αΩ d3vi d3v =</t>
  </si>
  <si>
    <t>—(na &lt; x &gt; a)l = l f í Í f a f0 (χ' - x)g σ(η) an d3</t>
  </si>
  <si>
    <t>ÍÜ = Γ í Í (i+£nf) (f' f{ - f fi)g σ(Ω) dß d3Vi d3v (3.8)</t>
  </si>
  <si>
    <t>σ(η) and g = |vi - v| are also invariants. Thus, (3.8) can be written as</t>
  </si>
  <si>
    <t>M = 1 Í f f</t>
  </si>
  <si>
    <t>that d3v' d3vi = d3v d3Vi and g = g'. Consequently, (3.10) may be written as</t>
  </si>
  <si>
    <t>then an (f fi/f'fj) &gt; 0 and, again, aH/at &lt; 0. When f'fj = f fi, both</t>
  </si>
  <si>
    <t>factors are zero and aH/at = 0.</t>
  </si>
  <si>
    <t>uo = 1 v fQ(v) d3v = 0 (2.13)</t>
  </si>
  <si>
    <t>In spherical coordinates (v, θ, φ) in velocity space (Fig. 1), we have d3v =</t>
  </si>
  <si>
    <t>v. v. sin θ de dφ = — v2 &lt;s..</t>
  </si>
  <si>
    <t>with i, j = x, y, z t we find that</t>
  </si>
  <si>
    <t>i 4π e σ =</t>
  </si>
  <si>
    <t>ηΛ = 4π ( f (v) v2 dv (2.21)</t>
  </si>
  <si>
    <t>E(r,t) = E(r) exp (- i ω t) (3.2)</t>
  </si>
  <si>
    <t>fx(v,t) = fx(v) exp (- 1 ω t)</t>
  </si>
  <si>
    <t>3f x(v,t)/9t - (e/me) [Ê(r,t) + v x ít(r.t)] . νγ [fQ(v) + f^v.t)] =</t>
  </si>
  <si>
    <t>[vr(v) - ΐω] fx(v) - (e/me) (v x t Q) · ν γ f^v) =</t>
  </si>
  <si>
    <t>(v x Bo) - vv fx(v) = - α^(ν)/αΦ (3.7)</t>
  </si>
  <si>
    <t>where we have used the notation ωςθ = e BQ/me, which represents the electron</t>
  </si>
  <si>
    <t>cyclotron frequency. Notice that the speed v does not depend on ψ, since v2 =</t>
  </si>
  <si>
    <t>Εί=(Εχΐ1Εγ)/^ (3.10)</t>
  </si>
  <si>
    <t>v = (v : iv )/y? + x + y</t>
  </si>
  <si>
    <t>since v = y ± cos φ, v = ν λ sin φ and exp (+ ιψ) = cos Φ ΐ i sin ψ. Thus,</t>
  </si>
  <si>
    <t>t - v = E + v_ + E_ v + + E„ v„</t>
  </si>
  <si>
    <t>fx(v) = Ίω ce F (v) 1ωΛ ce</t>
  </si>
  <si>
    <t>equilibrium state (u = 0), we can write for the electric current density,</t>
  </si>
  <si>
    <t>coordinates (v, θ, φ) in velocity space (Fig. 1), so that va = v sin Θ, v„ =</t>
  </si>
  <si>
    <t>Therefore, writing 5 = σ · ΐ, where σ is the conductivity tensor, we obtain,</t>
  </si>
  <si>
    <t>°+ = i 4π e</t>
  </si>
  <si>
    <t>αχ = (σ + aj'/Z (3.35)</t>
  </si>
  <si>
    <t>σΗ = ι(σ+ - oJ/2 (3.36)</t>
  </si>
  <si>
    <t>σ = - me (ω + lvr ; u,ce 0 (3.37)</t>
  </si>
  <si>
    <t>σ„ = i n e o</t>
  </si>
  <si>
    <t>Λ e ω„Λ σΗ = 2 £S (3β40)</t>
  </si>
  <si>
    <t>6B = r |VB|, where ^B is the gradient of the magnitude of B. It is assumed</t>
  </si>
  <si>
    <t>Any of the three components of the magnetic flux density, B = B x + B 5 +</t>
  </si>
  <si>
    <t>VB = (x y z) 3Βχ/3χ</t>
  </si>
  <si>
    <t>v · B = aB/ax + aByay + aB /az = 0 x y z (2.2)</t>
  </si>
  <si>
    <t>If in the region where the particle is moving the condition J = 0 is</t>
  </si>
  <si>
    <t>In regions where an electric current density exists, we have v x B = μ J and</t>
  </si>
  <si>
    <t>5(0,0,0) = t Q = Bo£ (2.5)</t>
  </si>
  <si>
    <t>ds = dx x + dy y + dz z (2.7)</t>
  </si>
  <si>
    <t>ds x B = 0 (2.8)</t>
  </si>
  <si>
    <t>dx/Bx = dy/By = dz/Bz (2.9)</t>
  </si>
  <si>
    <t>Bx(Xl&gt;0,0) = Bx(Q,0,0) + (-^) Xl = (-^) Xl (2.10)</t>
  </si>
  <si>
    <t>By(0,ylsO) = By(0,0,0) + (^) Yl = (-^) Yl (2.11)</t>
  </si>
  <si>
    <t>origin B = B = 0. Therefore, the magnetic field line crossing the z = 0 x y</t>
  </si>
  <si>
    <t>plane at the point (xi,yi,0), when projected on the x - z plane (y = 0) and on</t>
  </si>
  <si>
    <t>the y - z plane (x = 0), satisfies the following differential equations,</t>
  </si>
  <si>
    <t>dz = Bz " B z Sx ; Xl (y=0) (2.12)</t>
  </si>
  <si>
    <t>dz B z B z KdyJ yi (x=0) (2.13)</t>
  </si>
  <si>
    <t>Î = B zz = B (1 + ax) z (2.14)</t>
  </si>
  <si>
    <t>(see Fig. 4). We must note however that in a region where J = 0 this vector</t>
  </si>
  <si>
    <t>field does not satisfy the Maxwell equation v x t = 0, so that we must add to</t>
  </si>
  <si>
    <t>(2.14) a term of curvature, given by B x = B az x. Therefore, a magnetic field</t>
  </si>
  <si>
    <t>having gradient and curvature, and which satisfies V x B = 0, is</t>
  </si>
  <si>
    <t>B = BQ [aZX + (1 + ax) £] (2.15)</t>
  </si>
  <si>
    <t>satisfy v x S = 0.</t>
  </si>
  <si>
    <t>3(0,0,0) Ξ Bo = BQi (3.1)</t>
  </si>
  <si>
    <t>όΒ = |r . (νβ) | « |So| (3.3)</t>
  </si>
  <si>
    <t>m dv/dt = q (v x ÍQ) + q v x [r · (vî)] (3.5)</t>
  </si>
  <si>
    <t>m dv/dt = q (v x ΐ 0) + q v(o) x [?(o) · ($3)] (3.10)</t>
  </si>
  <si>
    <t>f = q ν"(θ)χ [?(e) - (H)2 (4.1)</t>
  </si>
  <si>
    <t>ϊ(β) Of the three components of B = B rr + B Θ + B z, B θ is parallel to vv ' and</t>
  </si>
  <si>
    <t>Note that if q &gt; 0 we have v x r = v 'z, whereas if q &lt; 0 we have</t>
  </si>
  <si>
    <t>rv = vv J/uc = mvv 7(| q |B ) (4.5)</t>
  </si>
  <si>
    <t>&lt; ΐλ &gt; = - 2 | m | 3BM</t>
  </si>
  <si>
    <t>Note that from V · B = 0 we have, in cylindrical coordinates,</t>
  </si>
  <si>
    <t>Since at r = 0 we have B = 0, and since near the origin B changes only very</t>
  </si>
  <si>
    <t>the origin. | z = - | m | δ/Β, and where the derivatives are evaluated at</t>
  </si>
  <si>
    <t>(x,y) in the perpendicular plane, such that x = r cos Θ and y = r sin Θ (see</t>
  </si>
  <si>
    <t>r = cos Θ x + sin Θ y (4.20)</t>
  </si>
  <si>
    <t>(V x Î) x S = (Î - V) β - V (B2/2) (4.26)</t>
  </si>
  <si>
    <t>vp = (m/q)(*t x/n)/B2</t>
  </si>
  <si>
    <t>m dvj/dt + m dv /dt = q vj x § (2.5)</t>
  </si>
  <si>
    <t>m dvi/dt = q vi x S (2.9)</t>
  </si>
  <si>
    <t>vE = (t ± x S)/B2 (2.10)</t>
  </si>
  <si>
    <t>vp = m(atA/at)/(q B2) (2.11)</t>
  </si>
  <si>
    <t>3p = (1/ΔΥ) I qi vpi = [(1/AV) l m.] (aÊ 1/at)/B2 = pm(8Î1/at)/B2 (2.12)</t>
  </si>
  <si>
    <t>eo(aí1/8t) + (pm/B2)(9t/at) = ε0(ΗΡπ/ε0Β2) at/at = E(at/at) (2.14)</t>
  </si>
  <si>
    <t>ε = εοεΓ = εο(1+ρηΛοΒ2) (2J5)</t>
  </si>
  <si>
    <t>high; for a number density of 1020 particles/m3 and B = 1 Tesla we have</t>
  </si>
  <si>
    <t>PP = -(prr/B2) Ϋβίι ^2·17)</t>
  </si>
  <si>
    <t>P = P0 + Pp (2.18)</t>
  </si>
  <si>
    <t>V-t= (Ρ0 + Ρρ)/ε0 = Ρ0/ε0-(Ρηι/ε0Β2) V.Ê (2.19)</t>
  </si>
  <si>
    <t>WE = εο Ε2/2 (2.21)</t>
  </si>
  <si>
    <t>Ar = v At = {m/q*2)(dt x/dt) At = (m/qB2) άΐ χ (2.22)</t>
  </si>
  <si>
    <t>AW = q t1-Ar = (m/B2) ΐΑ·&amp;ΐλ = A(mEÎ/2B2) (2.23)</t>
  </si>
  <si>
    <t>AW = A(mv2/2) (2.24)</t>
  </si>
  <si>
    <t>ΔΗγ- A(pmv2/2) = ¿(pmEÎ/2B2) (2.25)</t>
  </si>
  <si>
    <t>WE + Wv = e 0E2/2+P^/2</t>
  </si>
  <si>
    <t>m dv/dt = q (E Q e'iu)t</t>
  </si>
  <si>
    <t>v = vm + νΛ e m e (3.3)</t>
  </si>
  <si>
    <t>m dvm/dt = q v m x § (3.5)</t>
  </si>
  <si>
    <t>- m iü&gt;ve = q (t Q + ve x i) (3.6)</t>
  </si>
  <si>
    <t>C-Ιω + (q/m) t x] veI = (q/m) tQX (3.8)</t>
  </si>
  <si>
    <t>ως = - qB/m (3.9)</t>
  </si>
  <si>
    <t>(ΐω + ως x) vel = - (q/m) £ol (3.10)</t>
  </si>
  <si>
    <t>(ΐω - u) c Χ)(ΐω + ω ς x) V Q± = (iu&gt;)2Vel - ω ς X (ω ς X V eJ</t>
  </si>
  <si>
    <t>V = ^Μ (ΐω - ω ς Χ) Ε 0Α/(ω2 - ω2) (3.12)</t>
  </si>
  <si>
    <t>V = Vm + (q/m)[(i/tu) t 0„ + (ΐω - : c X) ΕΟΙ/(ω2 - ω2)] e'Íwt (3.13)</t>
  </si>
  <si>
    <t>Re {to„ e"1(A)t} = t0„ cos(ωθ (3.15)</t>
  </si>
  <si>
    <t>where B = S/B is a unit vector pointing in the direction of the magnetic field.</t>
  </si>
  <si>
    <t>tR = toR e-ia)t = (Eox/2)(x + iy) e"ia,t (3.20)</t>
  </si>
  <si>
    <t>tL = toL e"iwt = (E01/2)(x - iy) e"iu,t (3.21)</t>
  </si>
  <si>
    <t>(U - Z Q x) toR = (i "c X)(V + i B x V)/2</t>
  </si>
  <si>
    <t>(iu&gt; - ω x) ΐ , = ΐ(ω + qB/m) t .</t>
  </si>
  <si>
    <t>a negatively charged particle, since ω = |q| B/m is always positive. Thus,</t>
  </si>
  <si>
    <t>oR vR = i(q/m) , u" .</t>
  </si>
  <si>
    <t>The expression for v = v „ + v R + v, can be written in a compact form</t>
  </si>
  <si>
    <t>ve = 5.t 0 (3.30)</t>
  </si>
  <si>
    <t>3 = - η Λ e v + n e v. = -n e μ . É + n e μ,. · E o e o i o e o i (3.33)</t>
  </si>
  <si>
    <t>ω = ω . This phenomenon is called cyclotron resonance. To investigate the</t>
  </si>
  <si>
    <t>original equations of motion and solve the problem for the case when ω = ω .</t>
  </si>
  <si>
    <t>vanishes, that is, fH = 0. Hence, we take</t>
  </si>
  <si>
    <t>with ω = |q| B/m. In view of this assumption, the particle velocity along</t>
  </si>
  <si>
    <t>d^(t)/dt = (q/m) [t01 e-V + vx(t) x fi]</t>
  </si>
  <si>
    <t>dt Γ + ω^ι = * iw</t>
  </si>
  <si>
    <t>d2vx/dt2 + ω2νχ = 0 (3.43)</t>
  </si>
  <si>
    <t>r = xx + yy + zz (2.1)</t>
  </si>
  <si>
    <t>v = dr/dt xvx + yvy + zvz (2.2)</t>
  </si>
  <si>
    <t>v = dz/dt. with v = dx/dt, v = dy/dt and x y</t>
  </si>
  <si>
    <t>d3r = dx dy dz. This differential element of volume should not be taken</t>
  </si>
  <si>
    <t>z + dz, that is, inside the voluire element d3r = dx dy dz situated around</t>
  </si>
  <si>
    <t>the terminal point of the position vector r = xx + yy + zz. It is important</t>
  </si>
  <si>
    <t>Fig. 2 - (a) The element of volume d3r = dx dy dz around the terminal point</t>
  </si>
  <si>
    <t>where a = t/m is the particle acceleration, and m its mass.</t>
  </si>
  <si>
    <t>[fa(r\v\t + dt) - fa(r,v,t)] d3r d3v = 0 (5.7)</t>
  </si>
  <si>
    <t>á - a a - a V=x— +y— +z-2_</t>
  </si>
  <si>
    <t>af /at + v· vf + a· ^ f =0</t>
  </si>
  <si>
    <t>Vf /Vt = 0</t>
  </si>
  <si>
    <t>v/vt = a/at + ν· Φ + a· vw (5.14)</t>
  </si>
  <si>
    <t>v-i i = vv» vw&gt; V7- Tne symbo1 δτΊ· is tne Kronecker delta. The matrix i ,j x y z i j</t>
  </si>
  <si>
    <t>where the («7").'s, with i = 1, 2, 3, 4, represent the following 3x3</t>
  </si>
  <si>
    <t>[fa(r', v', t + dt) - fa(r\v,t)] d3r d3v = (öfa/6t)coll d3r d3v dt (5.26)</t>
  </si>
  <si>
    <t>3f /3t + v· $f + a· $ f = (of /ót) in (5.27)</t>
  </si>
  <si>
    <t>Pfa/Pt = (6fa/6t)coll (5.28)</t>
  </si>
  <si>
    <t>According to this expression for the collision term, when f = f we 3 r ' a oa</t>
  </si>
  <si>
    <t>time at a rate governed by the relaxation collission frequency v = 1/τ.</t>
  </si>
  <si>
    <t>&lt;x(r,t)&gt; a = Xa(r,t) (2.2)</t>
  </si>
  <si>
    <t>c = v" - u (2.3)</t>
  </si>
  <si>
    <t>of type a. When u vanishes we have c = v.</t>
  </si>
  <si>
    <t>d3r = d$. v dt = n · v dS dt (3.2)</t>
  </si>
  <si>
    <t>f (r,v,t) d3r d3v = f (r,v,t) n - v dS dt d3v (3.3)</t>
  </si>
  <si>
    <t>Fig. 2 - Prism of volume d3r = dS · v dt = n · v dS dt containing the particles</t>
  </si>
  <si>
    <t>Φαη(χ) = J x(?,v,t) η·ν fa(r,v,t) d3v (3.5)</t>
  </si>
  <si>
    <t>φαη = na(?&gt; t} &lt;xtf.v,t) fi.v\ = n a &lt;xvn&gt;a (3.6)</t>
  </si>
  <si>
    <t>Φαη(χ) = Β··α(χ) (3.7)</t>
  </si>
  <si>
    <t>5α(χ) = η α&lt;χν&gt;α (3.9)</t>
  </si>
  <si>
    <t>v = c + Ü in (3.6) gives</t>
  </si>
  <si>
    <t>where c = n-c and u = η·Ϊ</t>
  </si>
  <si>
    <t>x = \ v · j = m a Vj (5.1)</t>
  </si>
  <si>
    <t>where pM = n m denotes the density of the type a particles. Thus, the</t>
  </si>
  <si>
    <t>normal is oriented along ñ. Since v = c + u , we obtain 3 α α</t>
  </si>
  <si>
    <t>P = (x y z) P P P</t>
  </si>
  <si>
    <t>p = pm &lt;c c &gt; (6.2)</t>
  </si>
  <si>
    <t>p = P - Pm Ü Ü (6.3)</t>
  </si>
  <si>
    <t>"V* = "RPaXX - yPayX - ^αΖΧ (6·6)</t>
  </si>
  <si>
    <t>Pa = 1 Σ Paij6ij = ΐ ξ Paii = i (Paxx + Payy + PaZ2) (6-9)</t>
  </si>
  <si>
    <t>where 6.. is the Kronecker delta, such that 6.. = 1 for i = j and 6.. = 0 for</t>
  </si>
  <si>
    <t>i * j. The pressure elements Pail·» with i = x,y,z, are just the hydrostatic</t>
  </si>
  <si>
    <t>pressures normal to the surfaces described by i = constant. Using (6.1),</t>
  </si>
  <si>
    <t>P = Pm &lt;c\ + c\, + c%&gt;/3 (6.10)</t>
  </si>
  <si>
    <t>p = p &lt;c2&gt;/3 (6.11)</t>
  </si>
  <si>
    <t>P=P =P =P = p &lt;C2.&gt; (6.13)</t>
  </si>
  <si>
    <t>p = n k T (6.14)</t>
  </si>
  <si>
    <t>Pa = (xx + yy + zz) p a 1 P (6.15)</t>
  </si>
  <si>
    <t>Pa = XX Paxx + yy Payy + ZZ PaZZ (6.18)</t>
  </si>
  <si>
    <t>Pa = axx</t>
  </si>
  <si>
    <t>q M = q ·η = p m &lt;c2 c ·η&gt;/2 ^αη ^α met α α (7.1)</t>
  </si>
  <si>
    <t>q = pm &lt;c2 c &gt;/2</t>
  </si>
  <si>
    <t>Q = pm &lt;c c c &gt;</t>
  </si>
  <si>
    <t>Q=Q x + Ö y+Q z</t>
  </si>
  <si>
    <t>where each of the dyads Q , with n = x,y,z, can be expressed in matrix formas</t>
  </si>
  <si>
    <t>system (F ext = 0) and that the particles are uniformly distributed in space.</t>
  </si>
  <si>
    <t>Under these conditions, the distribution function is homogeneous (Vf = 0) and,</t>
  </si>
  <si>
    <t>is also time-independent (af/at =0). Therefore, it can be denoted by f(v).</t>
  </si>
  <si>
    <t>(6f/6t) coll = 0 (1.1)</t>
  </si>
  <si>
    <t>f = f(v') and f{ = f(vi). According to the principle of detailed balance, in</t>
  </si>
  <si>
    <t>f fi d3v'd3vi = f fxd3v d3vi (1.2)</t>
  </si>
  <si>
    <t>Since d3v'd3vi = d3v d3vx (see section 2, Chapter 21), (1.2) yields</t>
  </si>
  <si>
    <t>Fig. 1 - (a) Direct collision and (b) inverse collision. Here g = v\ - v and</t>
  </si>
  <si>
    <t>X = m, x = mv and χ = mv2/2. Denoting the masses of the two colliding</t>
  </si>
  <si>
    <t>m + mi = m + mi (1.5)</t>
  </si>
  <si>
    <t>mv + miVi = mv + mivi</t>
  </si>
  <si>
    <t>in f = m(a 0 + ai · v - a2v2/2) = m[a Q + 3 1χ νχ + a ly v y + a lz v z -</t>
  </si>
  <si>
    <t>where a , a"i = a x x + a y + a 12 z and a 2 are constants. The negative sign</t>
  </si>
  <si>
    <t>An f = m [a 0 + (l/2a 2) (a2</t>
  </si>
  <si>
    <t>y - a ly/a2)2 + (v 2 - a lz/a2)2J = m(a Q + a2/2a 2-</t>
  </si>
  <si>
    <t>in C = m (a Q + a2/2a 2) (1.11)</t>
  </si>
  <si>
    <t>v = ai/a2 0 -12)</t>
  </si>
  <si>
    <t>f = C exp[-(ma 2/2) (v - vQ)2] (1.13)</t>
  </si>
  <si>
    <t>n = C Í exp [-(ma 2/2) (v - vQ)2] d3v (1.15)</t>
  </si>
  <si>
    <t>If we use the notation A = ma2/2 and ξ. = (v. - v .), with i = x, y, z, (1.15)</t>
  </si>
  <si>
    <t>n = C [ [ [ exp [- A (ξ2 + ξ2</t>
  </si>
  <si>
    <t>n = C (π/Α) = C (2π/ΐϊΐ2 2) (1.17)</t>
  </si>
  <si>
    <t>u = (C/n) J v exp [-(ma 2/2)(v - vQ)2] d3v (1.19)</t>
  </si>
  <si>
    <t>u = (C/n) | J J (C x5 + çyy + C zz)exp [-A (?* + Ç y+ φ] &lt;1ξ χ d? y dç, z +</t>
  </si>
  <si>
    <t>u=vo (1.21)</t>
  </si>
  <si>
    <t>the peculiar (random) velocity c and the average velocity u, that is v = c + Ü.</t>
  </si>
  <si>
    <t>If the system has no transiational motion as a whole, then v = u = 0.</t>
  </si>
  <si>
    <t>function (1.13), noting that c = v - u and d3v = d3c, we obtain</t>
  </si>
  <si>
    <t>kT = (C/na 2)(27T/ma 2) (1.24)</t>
  </si>
  <si>
    <t>C = n (-^-) (1.25)</t>
  </si>
  <si>
    <t>consequently, we have c = v in (1.27). The equilibrium distribution function</t>
  </si>
  <si>
    <t>for each particle species, but not necessarily f fßi= f fl[aH)- This</t>
  </si>
  <si>
    <t>equilibrium having no average (flow) velocity, u = 0. If, however, this average</t>
  </si>
  <si>
    <t>velocity LJ of the gas; thus, in either case, v = c. According to the</t>
  </si>
  <si>
    <t>f(v) d3v = n (-^-)3/2 exp (-mv2/2kT) d3v (4.1)</t>
  </si>
  <si>
    <t>m ^ ' «™ (_ my,Z/1\,T\ Ay, I ûvr» I _ mu 2 &gt; g(v v) dv v = n(-i-) e xp (-mv Y/2kT) dv Y exp (-mv5/2kT) dv</t>
  </si>
  <si>
    <t>symmetric about the average value &lt; v^ &gt; = 0, i = x, y, z. The distribution</t>
  </si>
  <si>
    <t>| g(v x) dvx = n (4.5)</t>
  </si>
  <si>
    <t>2πΙ&lt;Τ exp (-mv2/2kT) vi dvi = 0 (4.6)</t>
  </si>
  <si>
    <t>&lt;v.S = 0 ; X&gt;= I, «5, 3, ... (4.7)</t>
  </si>
  <si>
    <t>&lt;v?&gt; = -L g(v.¡) v? dv i = kT/m (4.8)</t>
  </si>
  <si>
    <t>for i = x, y, z. The voot-mean-square width of the Gaussian distribution</t>
  </si>
  <si>
    <t>velocity components lie between v. and v. + dv., for i = x, y, z, that is</t>
  </si>
  <si>
    <t>d3v = v2 sin Θ de dφ dv (4.12)</t>
  </si>
  <si>
    <t>F(v) dv = f(v) v2 sin Θ d0 dcj&gt; dv (4.13)</t>
  </si>
  <si>
    <t>| x(3f a/at) d3v + | xv . v f a d3v + j xa.v vfad3v = J x(«f e/6t) coll</t>
  </si>
  <si>
    <t>f x(3f /at) d3v = (-*-)[ xf d3v - f f (3X/3t) d3v (2.3)</t>
  </si>
  <si>
    <t>f χν-ν f d3v = v.f v x f d3v - [ f v-.vx d3v - [ f xv-v d3v (2.5)</t>
  </si>
  <si>
    <t>|vXHfad3v = (vV(^fa)d3v-( f</t>
  </si>
  <si>
    <t>Va = (1/m</t>
  </si>
  <si>
    <t>component v.¡, for i = x,y,z. Note that this restriction dos not exclude the</t>
  </si>
  <si>
    <t>force due to a magnetic field, f = q v x S, since in this case F. is still</t>
  </si>
  <si>
    <t>-oo X dv dv (a Y f y zv λ a ) = 0 (2.11)</t>
  </si>
  <si>
    <t>A („ β &lt;χ&gt;α) + $.(„e &lt;x^&gt;a) . na &lt;î.*vx&gt;o = C ~ K &lt;x&gt;a)]Coll (2J3)</t>
  </si>
  <si>
    <t>vvx=v vma=0 (3.1c)</t>
  </si>
  <si>
    <t>Sa S ma lv(4V6t)coll d3v = (5&lt;&gt;mc/6t)coll (3'3)</t>
  </si>
  <si>
    <t>When Sa = 0 the continuity equation reduces to</t>
  </si>
  <si>
    <t>wherep = n q is the charge density and 3 = p u is the charge current</t>
  </si>
  <si>
    <t>¿ n u -dS = f v.(n Ü ) d3r (3.11)</t>
  </si>
  <si>
    <t>| [an a/3t + v . (na uj] d3r = 0 (3.12)</t>
  </si>
  <si>
    <t>Se=me(ki ne « kr ne - ka ne} (3·13)</t>
  </si>
  <si>
    <t>m v in the general transport equation (2.13). Taking v = c + u and noting</t>
  </si>
  <si>
    <t>aï vpma *vV = pma ΤΓ + Ua "5F 9 (P m &lt;v&gt; )=P m„-^ + S -5* (4.1a)</t>
  </si>
  <si>
    <t>D/Dt = 3/3t + ua - v (4.7)</t>
  </si>
  <si>
    <t>pm Du /Dt = n q (E+u x B) + o g - V · p + A - u S (4.9) Kma a a Λχ v a ' m 3 ra a a a v ' a</t>
  </si>
  <si>
    <t>we have p = 1 p , and the force per unit volume becomes - V · p = - Vp ,</t>
  </si>
  <si>
    <t>production or loss of particles (S =0), the momentum equation becomes</t>
  </si>
  <si>
    <t>pm Du /Dt = n q (E+u x B) + p m g - ?p + A (4.10)</t>
  </si>
  <si>
    <t>and therefore, in this case, A = 0. However, for a fluid composed of particles</t>
  </si>
  <si>
    <t>n &lt;Y&gt; = p &lt;v2&gt; /2 = p &lt;c2&gt;/2 + p u2/2 α λ a Hma a ' μπια a ' μπια V</t>
  </si>
  <si>
    <t>Vv x = ma Vv (v * v)/2 = ma (v ' V v = ma v (5'2)</t>
  </si>
  <si>
    <t>V -(η α &lt; χ ν &gt; α) = V · [ Ρ^ &lt; (ν · 7) ν &gt; α/2 ] (5.3b)</t>
  </si>
  <si>
    <t>v = c + u , the quantity &lt; (v · v) v &gt; can be expanded as</t>
  </si>
  <si>
    <t>+ ν·(ρ · u ) + V · q - n &lt; F · v &gt; = M ΝΓα α7 ^α α α α (5.8)</t>
  </si>
  <si>
    <t>pm = Y p m = y n m (1.1) Km L Kma L a a a a</t>
  </si>
  <si>
    <t>P = I n q (1.2)</t>
  </si>
  <si>
    <t>pm u = y p m u (1.3) Km L Kma a a</t>
  </si>
  <si>
    <t>w =u -u=u - (1/pm) Y pm u (1.4) a a a m L ma a a</t>
  </si>
  <si>
    <t>J=ynmu=p mu (1.5) m L a a a Km v ' a</t>
  </si>
  <si>
    <t>3=ynqu=pu+ynqw (1.6)</t>
  </si>
  <si>
    <t>Note that in (1.5) we have y p m w = 0, in virtue of (1.4), which defines</t>
  </si>
  <si>
    <t>p=p m&lt;cc&gt; (1.7)</t>
  </si>
  <si>
    <t>where c = v - u is the peculiar or random velocity of the type a</t>
  </si>
  <si>
    <t>p = 5 p m &lt; c c &gt; (1.9) r L ma ao ao ' a</t>
  </si>
  <si>
    <t>c = c + w (1.10)</t>
  </si>
  <si>
    <t>P = 1 Pm &lt; (c + w )(c + w ) &gt; (1.11) r L ma a a a a ' a</t>
  </si>
  <si>
    <t>p=Yp(&lt;c c &gt;+&lt;c w &gt;+&lt;w c &gt;+&lt;w w &gt;) (1.12) r Δ m α α aa aa a a a a</t>
  </si>
  <si>
    <t>variable and therefore &lt;c w&gt; = &lt;c&gt;w =0. Thus, (1.12) becomes</t>
  </si>
  <si>
    <t>p = yp + y p m w w (1.13)</t>
  </si>
  <si>
    <t>p = (1/3) y p.. = y y (p /3) &lt; c . c . &gt; = Y (p /3) &lt; c2 &gt; (1.14) μ vl/o; 4· Hn 4 L VMma' ' aoi aoi L VMma' J ao v ;</t>
  </si>
  <si>
    <t>P = I P. + I (P™ /3) w2 (1.15)</t>
  </si>
  <si>
    <t>q = Y (p m ID &lt; C2 C Λ &gt; (1.16) ^ L Kma ao ao v ' a</t>
  </si>
  <si>
    <t>q = ( Pm ID &lt; c2 c &gt; (1.18)</t>
  </si>
  <si>
    <t>q = Y(p /2) Γ &lt; c2 c &gt; + w2 &lt; c &gt; + 2 &lt; (w · c ) c &gt; + ^ L Kma a a a a a a a a L.</t>
  </si>
  <si>
    <t>Using (1.18), (1.7) and the relation p = p m &lt; c2 &gt;/3, we can write (1.20)</t>
  </si>
  <si>
    <t>q = Y (q + w · p + 3p w /2 + p m w2 w /2) (1.21)</t>
  </si>
  <si>
    <t>In particular, for the isotropic case in which p = p 1, we have</t>
  </si>
  <si>
    <t>w · p = w p , so that (1.21) becomes</t>
  </si>
  <si>
    <t>q = Y (q + 5p w /2 + p m w2 w /2) (1.22)</t>
  </si>
  <si>
    <t>interest to note that, using the total time derívate D/Dt = 3/3t + Ü · V,</t>
  </si>
  <si>
    <t>Dp/Dt + Pm V· u = 0 (2.3)</t>
  </si>
  <si>
    <t>I Pm 3u /3t + (u · V) u = y n q t + Y n qjj x S + J p m g - L ma a a a L a Λχ L a^a a L ma 3</t>
  </si>
  <si>
    <t>Σ pma Í9V8t + ("a ' ^ "J = p * + 3 X S + pm 9 " ^ ' P +</t>
  </si>
  <si>
    <t>U S =í¡ \dp m /at + V. (p m u )] (3.3) L α α L a Kma NKma a x ' a a L J</t>
  </si>
  <si>
    <t>I Pm W = I Pm (U - U) = Pm U - Pm U = ° (3-5) L ma a L ma a Km Km a a</t>
  </si>
  <si>
    <t>pm Du/Dt = pî + Jx?+ P[i) g. ν·ρ (3.7)</t>
  </si>
  <si>
    <t>where we have used the definition (1.17) and the fact that ) o w =0.</t>
  </si>
  <si>
    <t>since c = c + w and &lt; c &gt; = 0. Therefore,</t>
  </si>
  <si>
    <t>have (v x Î) · v = 0, we obtain gravitational fields. Since &lt; v &gt; = u and since, for any vector v, we</t>
  </si>
  <si>
    <t>V. (p.u) - J.Ê - 3m.g = 0 (4.8)</t>
  </si>
  <si>
    <t>Î = y n q Ü = Y n q w + Y n q u = 3' + pu (4.12)</t>
  </si>
  <si>
    <t>-5- (3p/2) + (3p/2) V· u + V· q + (p · V) · u = 3' · P (4.14)</t>
  </si>
  <si>
    <t>Vx¡= y o(3 + εο dî/dt) (5.2)</t>
  </si>
  <si>
    <t>V-Ê = ρ/ε ο (5.5)</t>
  </si>
  <si>
    <t>V· 3 + ε ο 3(ν· t)/3t = 0 (5.6)</t>
  </si>
  <si>
    <t>3(V-?)/3t = 0 (5.7)</t>
  </si>
  <si>
    <t>v" · S = constant (5.8)</t>
  </si>
  <si>
    <t>V.S = 0 (5.9)</t>
  </si>
  <si>
    <t>can be considered as an initial condition for (5.1), since if we take V-S=0</t>
  </si>
  <si>
    <t>Y n q (au /dt) + j" n q (u-V)u =Vn (q /m ) &lt; ? &gt; -L ora a L a Ό a a L a Ό a a a a a</t>
  </si>
  <si>
    <t>p=(q/m)p=nq&lt;cc&gt; (5.11)</t>
  </si>
  <si>
    <t>PE=IPE+Inqww (5.12) r L ra L a na a a a a</t>
  </si>
  <si>
    <t>- V-[y (q /m ) p J = - V· pE + V· (Y n q w w) (5.13) \ L Λχ α ra r Δ a ^a a a La J a</t>
  </si>
  <si>
    <t>- I (q /m ) u S = - I w 9(n q )/3t - Y w |$ · (n q w ) 1 - L Λχ α α α L a ora L a a Ό a a a a L J</t>
  </si>
  <si>
    <t>Hall¼E=B/C25vc. Alfv /C19en’s original line of argument, also</t>
  </si>
  <si>
    <t>posed by Haerendel,10Ðnndz&gt;vc=ki;max, is fulﬁlled with a</t>
  </si>
  <si>
    <t>both to the macroscopic E=Bvalue, and to the critical velocity</t>
  </si>
  <si>
    <t>21theE/C2B=B2drift speed of an ionizing front moving along the</t>
  </si>
  <si>
    <t>c;Al¼6.54, vc;Kr¼5.68, and vsp;Al=Kr¼5:460:3k m / s ,</t>
  </si>
  <si>
    <t>vsp;Cu=Kr¼4:260:15 km/s. For the remaining combinations,</t>
  </si>
  <si>
    <t>obtained: fm = 0.1, fc = 0.7, fmr = 0.12, fcr = 0.68.</t>
  </si>
  <si>
    <t>A measured current trace of the PF1000 with C0 = 1332 μF, operated at 27 kV, 3.5 torr deuterium,</t>
  </si>
  <si>
    <t>has been published [25], with cathode/anode radii b = 16 cm, a = 11.55 cm and anode length</t>
  </si>
  <si>
    <t>stray resistance r0 = 6.1 mΩ (damping factor RESF = r0/(L0/C0)0.5 = 1.22). The fitted model parameters</t>
  </si>
  <si>
    <t>are: fm = 0.13, fc = 0.7, fmr = 0.35 and fcr = 0.65. The computed current trace [21,24,26] agrees very well</t>
  </si>
  <si>
    <t>fm = 0.13, fc = 0.7, fmr = 0.35 and fcr = 0.65. The measured curre nt trace was for the PF1000</t>
  </si>
  <si>
    <t>with corresponding adjustment to b to maintain a constant c = b/a = 1.39 and in order to keep the peak</t>
  </si>
  <si>
    <t>peak2(L0 + Lafc 2) = 0.5 Ipinch2 (L0/ fc2 + La + Lp) + δcap + δplasma (1)</t>
  </si>
  <si>
    <t>where we have taken fc = 0.7 and approximated fc 2 as 0.5.</t>
  </si>
  <si>
    <t>Ti me i n mi c r o s e cCurrent in M ALo=100nH</t>
  </si>
  <si>
    <t>Lo=30nH</t>
  </si>
  <si>
    <t>Lo=5nH</t>
  </si>
  <si>
    <t>Lo=5nH 40cm</t>
  </si>
  <si>
    <t>Yb-t = C n ni Ipinch 2zp 2(ln (b/r p))σ /U 0.5 (3)</t>
  </si>
  <si>
    <t>using U = 3V max. This fit was tested by using U equal to various multiples of Vmax. A reasonably good</t>
  </si>
  <si>
    <t>Cn = 2.7 × 107 obtained by calibrating the yield [21 −23,26], at an experimental point of 0.5 MA.</t>
  </si>
  <si>
    <t>The optimum pressure for this series of num erical experiments is 10 torr and the ratio c = b/a is</t>
  </si>
  <si>
    <t>Yn = 3.2 × 1011 Ipinch4.5 and</t>
  </si>
  <si>
    <t>Yn = 1.8 × 1010 Ipeak3.8</t>
  </si>
  <si>
    <t>Yn = 3.2 × 1011Ipinch4.5 ; Yn = 1.8 × 1010Ipeak3.8; Ipeak (0.3 to 5.7), Ipinch (0.2 to 2.4) in MA.</t>
  </si>
  <si>
    <t>y = 10-12x4.5</t>
  </si>
  <si>
    <t>y = 7x10-12x3.8</t>
  </si>
  <si>
    <t>region than at the center region (Fig. 2 (b)). The ratio isabout 0.6 at the center ( X=0 cm), whereas, at the edge</t>
  </si>
  <si>
    <t>measured with the electron temperature shown in Fig. 2.Since the dielectric tube of the ISP is located just behindthe LP as shown in Fig. 1 (c), the front side of the pro-jected area of the LP is used as the collection area fordensity evaluation of the LP. The result of the LP is al-most constant at X=0-−4.2 cm and decreases signiﬁ-</t>
  </si>
  <si>
    <t>I ISP slightly rises at X=0-−1.8 cm and decreases at</t>
  </si>
  <si>
    <t>of the upper surface of the guard electrode is used in theevaluation. The density obtained by the Type-I ISP is verysmall with respect to the LP (ratio =0.06 - 0.2). The den-</t>
  </si>
  <si>
    <t>ment position. In our set up, Bmax=3 T and B=1.1T ,</t>
  </si>
  <si>
    <t>X=0-−6.1 cm (Fig. 1 (c)). Therefore, there is a stronginﬂuence of the parallel component of temperature at the</t>
  </si>
  <si>
    <t>(A=0.1∼0.4 mm2) (Fig. 4 (a)). The X-direction depen-</t>
  </si>
  <si>
    <t>using Eq. (2) is A=1-1 . 8m m2(Fig. 4 (b)). There is not</t>
  </si>
  <si>
    <t>sponding to a magnetic field of B = 106 gauss,</t>
  </si>
  <si>
    <t>Taking a marginal value of E=5X105 volts/cm, one</t>
  </si>
  <si>
    <t>obtains an energy density ue= KX 10-2 joules/ cm3,</t>
  </si>
  <si>
    <t>ue=KE2/87r (2)</t>
  </si>
  <si>
    <t>satisfying the condition K = 106. A popular choice of</t>
  </si>
  <si>
    <t>titanate approach K = 104, but in this material the</t>
  </si>
  <si>
    <t>vw= c/ (K)!, (6)</t>
  </si>
  <si>
    <t>capacitor [Fig. 2(b)] with K=101o, for instance, will</t>
  </si>
  <si>
    <t>EXB v=c--,</t>
  </si>
  <si>
    <t>Pe=(Bz/c) fIdtfrdr</t>
  </si>
  <si>
    <t>that the two quantities Q=CV and U=!CP, which</t>
  </si>
  <si>
    <t>circuit with series inductance L= L.+ Lh and damping</t>
  </si>
  <si>
    <t>resistor R=R.+Rh are shown in Fig. 4. When the full</t>
  </si>
  <si>
    <t>T= Cs ~</t>
  </si>
  <si>
    <t>Ve= (c/Bz)(Er+mvNre)=cEr/B.+Ave. (17)</t>
  </si>
  <si>
    <t>jeBz/c=pvNr. (19)</t>
  </si>
  <si>
    <t>Vo=Eor logr2/rl'</t>
  </si>
  <si>
    <t>Voo= Eoc/ Bo. (20)</t>
  </si>
  <si>
    <t>Co= (47rpoc2/B02) [l/2 log (r2/rl)]. (23)</t>
  </si>
  <si>
    <t>B/ p= Bo/ Po= const.</t>
  </si>
  <si>
    <t>Vo= (Bo/ po)(Q/27rl) (l/r); (24)</t>
  </si>
  <si>
    <t>!CV2=Q2/2C=7rl Jr2</t>
  </si>
  <si>
    <t>p= poif; (r), (28)</t>
  </si>
  <si>
    <t>n 210gh/rl) C=Co ----- (30) Jr2</t>
  </si>
  <si>
    <t>distance X=VdT. Assuming unit spacing for the plates,</t>
  </si>
  <si>
    <t>c= (KEmaN8)[(X+a)La2]</t>
  </si>
  <si>
    <t>true for T= I Jl.sec, a= I cm. On the other hand, for</t>
  </si>
  <si>
    <t>T=0.1 Jl.sec, a=lO cm, it is quite practical to have</t>
  </si>
  <si>
    <t>reduced to the expression for the one-dimensional case, and the choice K = 106 permits almost ten times as</t>
  </si>
  <si>
    <t>onds after the collapse, the pinch starts to break up due tom=0andm=linstabilities. At this time, the plasma column</t>
  </si>
  <si>
    <t>outside the pinch core (around m=0necks) might provide this</t>
  </si>
  <si>
    <t>1−2×107V/m. Over a typical ∼1-mm scale for m=0necks,</t>
  </si>
  <si>
    <t>them=0 mode having the shortest wavelength (k−1)should</t>
  </si>
  <si>
    <t>grow at a rate ω=(v2</t>
  </si>
  <si>
    <t>examined the formation of ion beams in m=0 necks, showed</t>
  </si>
  <si>
    <t>regions between m=0 necks by large vr×Bθelectric ﬁelds,</t>
  </si>
  <si>
    <t>G= 10log10(P2/P1).</t>
  </si>
  <si>
    <t>Euler-Mascheroni constant1γ= 0.57722</t>
  </si>
  <si>
    <t>Γ(1/2) = 1.7725 =√πΓ(1) = 1.0</t>
  </si>
  <si>
    <t>Binomial Theorem (good for |x|&lt;1 orα= positive integer):</t>
  </si>
  <si>
    <t>(1 +x)α=∞∑</t>
  </si>
  <si>
    <t>n=−∞(−1)nJα−γn(z)Jβ+γn(z)</t>
  </si>
  <si>
    <t>(1)A·B×C=A×B·C=B·C×A=B×C·A=C·A×B=C×A·B</t>
  </si>
  <si>
    <t>(2)A×(B×C) = (C×B)×A= (A·C)B−(A·B)C</t>
  </si>
  <si>
    <t>(6)∇(fg) =∇(gf) =f∇g+g∇f</t>
  </si>
  <si>
    <t>(7)∇ ·(fA) =f∇ ·A+A· ∇f</t>
  </si>
  <si>
    <t>(8)∇ ×(fA) =f∇ ×A+∇f×A</t>
  </si>
  <si>
    <t>(9)∇ ·(A×B) =B· ∇ ×A−A· ∇ ×B</t>
  </si>
  <si>
    <t>(10)∇ ×(A×B) =A(∇ ·B)−B(∇ ·A) + (B· ∇)A−(A· ∇)B</t>
  </si>
  <si>
    <t>(11)A×(∇ ×B) = (∇B)·A−(A· ∇)B</t>
  </si>
  <si>
    <t>(12)∇(A·B) =A×(∇ ×B) +B×(∇ ×A) + (A· ∇)B+ (B· ∇)A</t>
  </si>
  <si>
    <t>(13)∇2f=∇ · ∇f</t>
  </si>
  <si>
    <t>(14)∇2A=∇(∇ ·A)− ∇ × ∇ × A</t>
  </si>
  <si>
    <t>(15)∇ × ∇f= 0</t>
  </si>
  <si>
    <t>(16)∇ · ∇ × A= 0</t>
  </si>
  <si>
    <t>(17)T=∑</t>
  </si>
  <si>
    <t>(18) (∇·T)i=∑</t>
  </si>
  <si>
    <t>(19)∇ ·(AB) = (∇ ·A)B+ (A· ∇)B</t>
  </si>
  <si>
    <t>(20)∇ ·(fT) =∇f·T+f∇·T</t>
  </si>
  <si>
    <t>Letr=ix+jy+kzbe the radius vector of magnitude r, from the origin to</t>
  </si>
  <si>
    <t>(21)∇ ·r= 3</t>
  </si>
  <si>
    <t>(22)∇ ×r= 0</t>
  </si>
  <si>
    <t>(23)∇r=r/r</t>
  </si>
  <si>
    <t>(24)∇(1/r) =−r/r3</t>
  </si>
  <si>
    <t>(25)∇ ·(r/r3) = 4πδ(r)</t>
  </si>
  <si>
    <t>(26)∇r=I</t>
  </si>
  <si>
    <t>IfVis a volume enclosed by a surface SanddS=ndS, where nis the unit</t>
  </si>
  <si>
    <t>VdV∇f=∫</t>
  </si>
  <si>
    <t>VdV∇ ·A=∫</t>
  </si>
  <si>
    <t>VdV∇·T=∫</t>
  </si>
  <si>
    <t>VdV∇ ×A=∫</t>
  </si>
  <si>
    <t>VdV(f∇2g−g∇2f) =∫</t>
  </si>
  <si>
    <t>SdS× ∇f=∮</t>
  </si>
  <si>
    <t>SdS· ∇ ×A=∮</t>
  </si>
  <si>
    <t>S(dS× ∇)×A=∮</t>
  </si>
  <si>
    <t>SdS·(∇f× ∇g) =∮</t>
  </si>
  <si>
    <t>(∇f)r=∂f</t>
  </si>
  <si>
    <t>∂r; (∇f)φ=1</t>
  </si>
  <si>
    <t>∂φ; (∇f)z=∂f</t>
  </si>
  <si>
    <t>(∇ ×A)r=1</t>
  </si>
  <si>
    <t>(∇ ×A)φ=∂Ar</t>
  </si>
  <si>
    <t>(∇ ×A)z=1</t>
  </si>
  <si>
    <t>(∇2A)r=∇2Ar−2</t>
  </si>
  <si>
    <t>(∇2A)φ=∇2Aφ+2</t>
  </si>
  <si>
    <t>(∇2A)z=∇2Az</t>
  </si>
  <si>
    <t>△t=vn+1/2</t>
  </si>
  <si>
    <t>Eis discretized on a periodic domain zi=i△z∈Lz, wherei= 0...N z−1and△z=Lz/Nz.</t>
  </si>
  <si>
    <t>system for the correct values at t= (n+ 1)△tusing Newton’s method. That approach requires to</t>
  </si>
  <si>
    <t>δEk=−G(Ek) (2)</t>
  </si>
  <si>
    <t>at each Newton iteration k. Here we denote the iterative solution as δEk=Ek+1−Ek. Probing</t>
  </si>
  <si>
    <t>Neglecting preconditioning, the number of GMRES iterations required to solve a system Ax=b</t>
  </si>
  <si>
    <t>x=naug∑</t>
  </si>
  <si>
    <t>j=1αjvj+˜x, (3)</t>
  </si>
  <si>
    <t>wherexv=∑</t>
  </si>
  <si>
    <t>jαjvj∈V and˜x⊥V andV= span(</t>
  </si>
  <si>
    <t>recovered by inserting the decomposition x=xv+˜xintoAx=b, forming the scalar products</t>
  </si>
  <si>
    <t>j=1, and then solving the resulting system for αj.</t>
  </si>
  <si>
    <t>Forming˜b=b−∑naug</t>
  </si>
  <si>
    <t>j=1αjAvjwe then proceed to solve</t>
  </si>
  <si>
    <t>and reconstruct x=˜x+∑naug</t>
  </si>
  <si>
    <t>j=1αjAvj. This projection into a space perpendicular to V, the solution</t>
  </si>
  <si>
    <t>j=1. In particular,</t>
  </si>
  <si>
    <t>positions of 32,768electrons is sampled from proﬁles of the form ne(z,t= 0) =A·f(kz)with</t>
  </si>
  <si>
    <t>evaluated on a grid with Nz= 64 andLz= 4π. These 16 reference simulations are advanced with a</t>
  </si>
  <si>
    <t>timestep of△t= 1fromT= 0toT= 30 . This yields 480training proﬁles.</t>
  </si>
  <si>
    <t>δEk=1}</t>
  </si>
  <si>
    <t>L= arg min</t>
  </si>
  <si>
    <t>ˆy∈span( v1...,vnaug)∥ˆy−δEk=1∥2</t>
  </si>
  <si>
    <t>∥δEk=1∥2+λ∥triu(</t>
  </si>
  <si>
    <t>To calculate the projection, the output of the model Vis subject to a QRfactorization, Q,R = qr (V)</t>
  </si>
  <si>
    <t>[20] and the projection is calculated as ˆy=Q·Q′·δEk=1. Additionally, the last term penalizes</t>
  </si>
  <si>
    <t>fornaug= 8,16. From this scan we identify ReLU activation functions, convolutional ﬁlters of</t>
  </si>
  <si>
    <t>width 3, a Dropout probability of 0.2,λ= 10−4, as ideal parameters and optimize using the ADAM</t>
  </si>
  <si>
    <t>(a)ne,t=0(z) = 10−2[0.1 cos(2 z) + 0.9 sin( z)].</t>
  </si>
  <si>
    <t>(b)ne,t=0(z) = 3×10−3[0.5 sin( z) + 0.5 cos(2 z)].</t>
  </si>
  <si>
    <t>of the electrons are sampled from ne,t=0(z) =A[a1f1(k1z) +a2f2(k2z)]. Ions are again sampled</t>
  </si>
  <si>
    <t>using the trained amortized for naug= 8,16,32,48. Usingnaug= 8the average residuals of the</t>
  </si>
  <si>
    <t>amortized solver are only slightly smaller than those of plain GMRES. For naug= 16 , the average</t>
  </si>
  <si>
    <t>same tolerance as plain GMRES. For naug= 32 andnaug= 48 , the amortized solver requires two</t>
  </si>
  <si>
    <t>− ∇⋅F⋅ ∇ v+gv=s ( 1 )</t>
  </si>
  <si>
    <t>n⋅F⋅∇ v+α v=β(onΓ)( 2 )</t>
  </si>
  <si>
    <t>Here,∇=[∂/∂x∂/∂y]denotestheCartesian"Del"operator,whichappliestoeverything</t>
  </si>
  <si>
    <t>n⋅ F⋅∇ v=β(onΓ)</t>
  </si>
  <si>
    <t>v=β /α (onΓ),</t>
  </si>
  <si>
    <t>A⋅ V=b (3)</t>
  </si>
  <si>
    <t>xmin, xmax = 0., 1.</t>
  </si>
  <si>
    <t>ymin, ymax = 0., 1.4</t>
  </si>
  <si>
    <t>N = 101</t>
  </si>
  <si>
    <t>grid = reg2tri.rect2criss((xmin, ymin, xmax, ymax), nx1, ny1)</t>
  </si>
  <si>
    <t>db = DirichletBound()</t>
  </si>
  <si>
    <t>y = grid.y(i*nx1)</t>
  </si>
  <si>
    <t>equ = ellipt2d.ellipt2d(grid, F, g, s)</t>
  </si>
  <si>
    <t>v = amat.CGsolve(b, v0, 1.e-6, 2*len(b))</t>
  </si>
  <si>
    <t>Laplaceequationwithimposedsinefunctiononthewest,v=0onthenorthand</t>
  </si>
  <si>
    <t>−∇⋅(1/x)∇ v= F(v)x+G(v)/x (v=0on</t>
  </si>
  <si>
    <t>−∇ ⋅ (1/x)∇ v−[F'(u)x+G'(u)/x]v=[F(u) − uF'(u)]x+[G(u) − uG'(u)]/x.</t>
  </si>
  <si>
    <t>x)*exp(−κ/(v+δ)),F0=1600,G 0=100,κ =0.1,and δ =0.1.Thegraphicswas</t>
  </si>
  <si>
    <t>Convergedsolutionafter6iterationsforcentralvaluesofF=1600andG=100</t>
  </si>
  <si>
    <t>0],[0,x]],g=n2xands=0.Atthevacuumtoplasmainterface,inhomogeneous</t>
  </si>
  <si>
    <t>cm and 0.5 cm, respectively. The cathode is repres ented by a conducting boundary at r = 1.5 cm.</t>
  </si>
  <si>
    <t>We recorded the local E z field in the simulations at r = .05 cm, z = 5 cm every two time steps to look for</t>
  </si>
  <si>
    <t>19. Haines, M.G., Ion-Beam Formation in an M = O Unstable Z-Pinch. Nuclear Instruments &amp;</t>
  </si>
  <si>
    <t>is centered at z = 4.5. The region behind the sh eath is vacuum. In front of the sheath is neutral</t>
  </si>
  <si>
    <t>frame shows the pinch, when the plasma reaches r = 0 and implodes.</t>
  </si>
  <si>
    <t>both positive and negative E z fields. The pinch region is near r = 0 cm.</t>
  </si>
  <si>
    <t>Figure 7: (Color online) Fr equency decomposition of E z field at r = 0.05 cm, z = 5 cm for a fully kinetic and</t>
  </si>
  <si>
    <t>byp = Process(&lt;callable object&gt;, *args) , started using the start method p.start() , and</t>
  </si>
  <si>
    <t>(Te), ion temperature ( Ti), and magnetic field ( B) were ni=2–4.5</t>
  </si>
  <si>
    <t>×1014cm−3,Te=5–8 eV, Ti=9–15 eV, and B=500–870 G,</t>
  </si>
  <si>
    <t>with the hollow cathode in jet mode with Ic=20 A at 20 SCCM.</t>
  </si>
  <si>
    <t>velocity limit at the Alfv ´en velocity, vA=B(μ0ρ)−1/2, whereρis the</t>
  </si>
  <si>
    <t>Bmax=189 G and mirror ratio Rm=Bmax/Bmin=1.67. The area of</t>
  </si>
  <si>
    <t>Rm=1.6–3.6 as higher values decrease the uniform region of the</t>
  </si>
  <si>
    <t>FIG. 2. FEM contour map of magnetic flux density for currents corresponding to the Bmax=189 G and Rm=1.67 configuration. Bminis coincident with the axis and chamber</t>
  </si>
  <si>
    <t>the mirror ratio was constant at Rm=1.67, the gas fill pressure was 62 μTorr at 20</t>
  </si>
  <si>
    <t>radial distance from the center axis of r=7.5 cm. The outer flux sur-</t>
  </si>
  <si>
    <t>glass wall at r=48.2 cm.</t>
  </si>
  <si>
    <t>sion currents. The magnetic field configurations are Bmax=126 G</t>
  </si>
  <si>
    <t>andBmax=189 G both with Rm=1.67. The two cathode currents are</t>
  </si>
  <si>
    <t>Ic=3 A and Ic=12 A. All cases were taken on the chamber mid-</t>
  </si>
  <si>
    <t>range of neutral pressures P=55–200μTorr and magnetic field</t>
  </si>
  <si>
    <t>strengths B=70–300 G presented in Table I. The chamber pres-</t>
  </si>
  <si>
    <t>of several accuracy improving methods, such as a DC compensationTABLE I. Range of measured plasma parameters for Ic=3–12 A, Rm=1.67, and</t>
  </si>
  <si>
    <t>parameters are extrapolated to operating conditions given by P=55–200μTorr and</t>
  </si>
  <si>
    <t>B=70–300 G to estimate various other quantities in the volume.</t>
  </si>
  <si>
    <t>ni=2Ii,s</t>
  </si>
  <si>
    <t>Vp=Vf+kBTe</t>
  </si>
  <si>
    <t>Vc=152 V, Ic=12 A, Vkeeper=16.8 V, Ikeeper=1 A, p=5×10−5Torr, Bmax</t>
  </si>
  <si>
    <t>the chamber axis (r=0)are shown in Fig. 6. For reference, the</t>
  </si>
  <si>
    <t>radius of the chamber wall is r=61 cm. Error bars reflect uncertain-</t>
  </si>
  <si>
    <t>indistinguishable except for the Bmax=189 G and Ic=3 A case.</t>
  </si>
  <si>
    <t>The mean temperatures in the VCL ( r≤7.5 cm) are Te=12.4 eV</t>
  </si>
  <si>
    <t>forIc=12 A and Te=8.3 eV for Ic=3 A. Inside the plasma rota-</t>
  </si>
  <si>
    <t>tion volume (7.5 cm &lt;r), the mean temperatures are Te=8.6 eV for</t>
  </si>
  <si>
    <t>Ic=12 A and Te=7.0 eV for Ic=3 A. No data could be col-</t>
  </si>
  <si>
    <t>lected on-axis for the Bmax=189 G, Ic=12 A case due to I–V curve</t>
  </si>
  <si>
    <t>wall is at rw=61 cm.</t>
  </si>
  <si>
    <t>with this method can be as low as Tw/e=0.2 V,37where Twis</t>
  </si>
  <si>
    <t>each with a cathode current Ic=12 A and an argon gas flow rate of</t>
  </si>
  <si>
    <t>r=10 cm, indicating a constant radial electric field. There is also a</t>
  </si>
  <si>
    <t>rw=61 cm.</t>
  </si>
  <si>
    <t>bore radius of rp=0.25 cm, much smaller than the ion Larmor radius</t>
  </si>
  <si>
    <t>to determine the Mach number M=vϕ/cs. The current ratio for</t>
  </si>
  <si>
    <t>Jdown=exp(KM), (4)</t>
  </si>
  <si>
    <t>where the constant of proportionality K=1.34 was chosen26for the</t>
  </si>
  <si>
    <t>TABLE II. Several RMP quantities at radial location r =44.5 cm for two cases of</t>
  </si>
  <si>
    <t>different magnetic field strengths and Ic=12 A for both cases.</t>
  </si>
  <si>
    <t>Parameters Bmax=126 G Bmax=189 G</t>
  </si>
  <si>
    <t>volume for two of the four previous cases, Bmax=126 G and</t>
  </si>
  <si>
    <t>Bmax=189 G, where Ic=12 A for both. The plasma parameters at this</t>
  </si>
  <si>
    <t>and−22 V for the B=126 G case and B=189 G case, respectively.</t>
  </si>
  <si>
    <t>Ic=12 A and B=189 G case. Using the midpoint between the</t>
  </si>
  <si>
    <t>ofvϕ=6.6±0.85 km/s and a value of K=0.94 by Eq. (5). In con-</t>
  </si>
  <si>
    <t>implemented, K=1.5 given the values presented in Table II.III. RESULTS</t>
  </si>
  <si>
    <t>slightly reduced radial electric field for the Ic=12 A cases.</t>
  </si>
  <si>
    <t>Note; The table gives approximate values of the average radial ratio Rr=r0 A^i me centrifugal confinement factor pr= 1 - Rf2, the average mirror ratio</t>
  </si>
  <si>
    <t>Rm = Bw/B 0 . the radial extensions r02 and r 01 in the midplane. the effective longitudinal length LM = VAtr 02</t>
  </si>
  <si>
    <t>p(t) and velocity w =dp/dt, is</t>
  </si>
  <si>
    <t>at;B = curl A(1)</t>
  </si>
  <si>
    <t>+ qr 0A = const.</t>
  </si>
  <si>
    <t>with r = (r, 0, 0), ft = z£2, and z representing the</t>
  </si>
  <si>
    <t>and £2 by = 27rrBdL i and is related to</t>
  </si>
  <si>
    <t>to mirror ratios close to unity where B = const./r2</t>
  </si>
  <si>
    <t>w = w 0 cos Ugt - w x0 sinijgt +(E 0/B)cos ugt - E/B</t>
  </si>
  <si>
    <t>w =w 0 cosu t+w osinu t+(E 0/B) sinw t</t>
  </si>
  <si>
    <t>Subscript (0) refers to initial values at timet = 0.</t>
  </si>
  <si>
    <t>(a) In a constant electric field E =E 0 and with a</t>
  </si>
  <si>
    <t>finite initial velocity W o = (w x0 , w 0 , 0) of gyration,</t>
  </si>
  <si>
    <t>uE = E X B/B2 in the negative y direction, in the</t>
  </si>
  <si>
    <t>uE =E(t) X B/B2. A sketch of the corresponding 2.2.4. Orbits in rotating fieldswhere u E = E" X B/B2 is the lowest order electric</t>
  </si>
  <si>
    <t>monotonically starts from the initial value E o = 0,</t>
  </si>
  <si>
    <t>where XJ = EU yk is the total thermal energy and</t>
  </si>
  <si>
    <t>nj«n e= n and the space charge density a is small</t>
  </si>
  <si>
    <t>the gyrofrequencies u^eB/mj and u e = eB/m e of</t>
  </si>
  <si>
    <t>v = (m ivi + m eve)/m and current density f of the</t>
  </si>
  <si>
    <t>plasma and introduce the notations m =irii +m e,</t>
  </si>
  <si>
    <t>?=?i+fj, U=U i+U e,q* = q i+q e, d/dt=3/9t +v- V ,</t>
  </si>
  <si>
    <t>7 = mjin e(i/e - fj/em, and rj=m</t>
  </si>
  <si>
    <t>div TX V = Vp ydiv \ v (26)— + div (nv) = n^= nn nf</t>
  </si>
  <si>
    <t>e2m dt= 65.3 (lnAj/T3/2</t>
  </si>
  <si>
    <t>(31) ill /16"i =o O/O 9</t>
  </si>
  <si>
    <t>as one entity by= 1.7Xl(f40n2Z2Te1/2(39)</t>
  </si>
  <si>
    <t>temperatures Tj and T e and write Uj = f kT {,</t>
  </si>
  <si>
    <t>Ue = I kT e and p = p, + pe = nk (Tj + Te ) = f nU with</t>
  </si>
  <si>
    <t>(35)C=820a gk(2e/ 7rm e)1^(W/e)3/2x3/2(l+l/2 x)exp(-l/x)</t>
  </si>
  <si>
    <t>where MKSA units are used, kj= 3.39 X 10"48,</t>
  </si>
  <si>
    <t>ization by electrons, with x = kT e/W and a g being a</t>
  </si>
  <si>
    <t>of n = 102im"3 and B = l V-s-m"2, the following</t>
  </si>
  <si>
    <t>|vxVjJ = v ±/Lv perpendicular to the magnetic field,</t>
  </si>
  <si>
    <t>collisions, as given by |T t -T e | /Te= 8X KT9AT e/(lnA).</t>
  </si>
  <si>
    <t>fully ionized parts of the plasma we have T i «T e = T,</t>
  </si>
  <si>
    <t>n=nnOin the region x&lt;0. The neutral</t>
  </si>
  <si>
    <t>region and £ n = vin/nn. Usually £ «? n in the cold</t>
  </si>
  <si>
    <t>in ' in in in in n(42)I/A = I/A + I/A .;' e 'en ' ei</t>
  </si>
  <si>
    <t>A = 1 /f a n : A.=</t>
  </si>
  <si>
    <t>Tl 105 °K and a wall temperature Tw = 300 °K.</t>
  </si>
  <si>
    <t>for nw= 1021m"3. Even in cases where the mean</t>
  </si>
  <si>
    <t>System, found at https://dpcld.defense.gov/Portals/49/Documents/Privacy/SORNs/OSDJS/DUSDA-14.pdf?ver=KO2ZkLWhxB3QCZoRTElMFA%3d%3dDISCLOSURE: Voluntary; however, failure to provide the requested information may result in SMART scholar being non-compliant with SMART policy, and</t>
  </si>
  <si>
    <t>1. List courses by term, using one table per term. Start and End Dates = Month and Year</t>
  </si>
  <si>
    <t>R=Required/No Substitution Allowed</t>
  </si>
  <si>
    <t>ED=Elective Necessary to Meet Degree RequirementsP=Prerequisite</t>
  </si>
  <si>
    <t>END = Elective NOT Necessary to Meet Degree Requirements 6. The final Phase 1 Annual Report does not require an advisor's signature.</t>
  </si>
  <si>
    <t>𝑌𝑖𝑒𝑙𝑑=න𝑁𝑏𝑒𝑎𝑚𝑛𝑡𝑎𝑟𝑔𝑒𝑡𝐿𝑡𝑎𝑟𝑔𝑒𝑡fEσ𝐸𝑑𝐸Target</t>
  </si>
  <si>
    <t>N = number</t>
  </si>
  <si>
    <t>n = number densityPhysics of neutron generation during z -pinch</t>
  </si>
  <si>
    <t>Dx,Dz= 100-400 m m</t>
  </si>
  <si>
    <t>Dt= 0.25-250 fs</t>
  </si>
  <si>
    <t>3.1 Temporal evolution at a ﬁxed position x=50.0 c/ωp(a) and spatial proﬁle at the time instant</t>
  </si>
  <si>
    <t>t=100.0ω−1</t>
  </si>
  <si>
    <t>including a positron species. (a), (b) and (c) correspond to mp=me,mp= 10meand</t>
  </si>
  <si>
    <t>mp= 100merespectively. The more massive the heavy positrons become the closer we</t>
  </si>
  <si>
    <t>3.5 Temporal evolution at a ﬁxed position x= 50.0c/ωpofEx,EyandEz( (a), (c) and (e) )</t>
  </si>
  <si>
    <t>and spatial proﬁle at the time instant t= 100.0ω−1</t>
  </si>
  <si>
    <t>corresponding to ωc= 0.5ωp(a) andωc= 2.0ωp(b). The red curve corresponds to</t>
  </si>
  <si>
    <t>3.7 FFT of Ey, forB0corresponding to ωc= 0.5ωp(a) andωc= 2.0ωp(b). The red curve</t>
  </si>
  <si>
    <t>and reaches the end of the plasma (x = 590[c/ωp]) a little earlier. . . . . . . . . . . . . . . 26</t>
  </si>
  <si>
    <t>3.15 Temporal evolution at a ﬁxed position x= 5.0c/ωpofEx,EyandEz( (a), (c) and (e) ) and</t>
  </si>
  <si>
    <t>spatial proﬁle at the time instant t= 100.0ω−1</t>
  </si>
  <si>
    <t>the external magnetic ﬁeld for the case ωc= 0.5ωp. Since the theoretical lines sometimes</t>
  </si>
  <si>
    <t>3.17 FFT of Eywhen: (a) ωc= 0.5ωp; (b)ωc= 2.0ωp. No waves are allowed in (a) for</t>
  </si>
  <si>
    <t>3.18 Index of refraction ˜n2as a function of frequency. For the wave frequency ω0= 2.3ωp0</t>
  </si>
  <si>
    <t>3.19 Propagation of the electromagnetic wave with frequency ω0= 2.3ωp0. At the plasma</t>
  </si>
  <si>
    <t>3.20 Polarization of the wave in the y0z plane when ωc= 2.0ωp0. Each color corresponds to</t>
  </si>
  <si>
    <t>3.21 Index of refraction ˜n2as a function of frequency when ωc= 0.5ωp0andn= 0.21n0. Both</t>
  </si>
  <si>
    <t>of the wave we launch in this second case. When we zoom in near ω0and˜n2= 1we</t>
  </si>
  <si>
    <t>3.22 Propagation of the electromagnetic wave with frequency ω0= 2.3ωp0forωc= 0.5ωp0and</t>
  </si>
  <si>
    <t>n= 0.21n0. Inside the plasma the polarization plane is rotated and the initially Eylinearly</t>
  </si>
  <si>
    <t>3.23 Polarization of the wave in the y0z plane when ωc= 0.5ωp0andn= 0.21n0. . . . . . . . 34</t>
  </si>
  <si>
    <t>3.24 Propagation of the electromagnetic wave with frequency ω0= 2.3ωp0forωc= 0.5ωp0and</t>
  </si>
  <si>
    <t>n= 0.59n0. Inside the plasma the polarization plane is rotated and alternates between</t>
  </si>
  <si>
    <t>3.25 Polarization of the wave in the y0z plane when ωc= 0.5ωp0andn= 0.59n0. . . . . . . . 35</t>
  </si>
  <si>
    <t>close toλmax= 0.73c/ωp. . . . . . . . . . . . . . . . . . . . . . . . . . . . . . . . . . . . . 39</t>
  </si>
  <si>
    <t>3.28 FFT of the electric ﬁeld at t= 14.4ω−1</t>
  </si>
  <si>
    <t>evidences the presence of a dominant mode with k= 8.80ωp/cuntil non-linear regime is</t>
  </si>
  <si>
    <t>achieved around t= 20ω−1</t>
  </si>
  <si>
    <t>is abandoned slightly before t= 20ω−1</t>
  </si>
  <si>
    <t>γ= 2γmax. . . . . . . . . . . . . . . . . . . . . . . . . . . . . . . . . . . . . . . . . . . . . 43</t>
  </si>
  <si>
    <t>3.34 Comparison between the results for a thermal velocity of vth= 0.0001c(left hand side) and</t>
  </si>
  <si>
    <t>vth= 0.01c(right hand side). In (c) and (d) the red line represents the same exponential</t>
  </si>
  <si>
    <t>$SYMBOL = EXP</t>
  </si>
  <si>
    <t>$echarge = 1.6e-19</t>
  </si>
  <si>
    <t>charge = echarge</t>
  </si>
  <si>
    <t>charge = 1.6e-19</t>
  </si>
  <si>
    <t>• x = 10 indicates an integer</t>
  </si>
  <si>
    <t>• x = 10.0 indicates a ﬂoating-point number</t>
  </si>
  <si>
    <t>• x = ten indicates a text string</t>
  </si>
  <si>
    <t>kind = eulerEqn</t>
  </si>
  <si>
    <t>gasGamma = GAMMA</t>
  </si>
  <si>
    <t>kind = classicMuscl1d</t>
  </si>
  <si>
    <t>onGrid = domain</t>
  </si>
  <si>
    <t>$ X = 4</t>
  </si>
  <si>
    <t>and declared global on seperate lines. For example $ global X = 4 will not deﬁne X as a global variable with value 4.</t>
  </si>
  <si>
    <t>$ LIGHTSPEED = 2.9979e8</t>
  </si>
  <si>
    <t>$ LX = 1.e-6</t>
  </si>
  <si>
    <t>$ NX = 20</t>
  </si>
  <si>
    <t>$ DX = LX/NX</t>
  </si>
  <si>
    <t>$ DT = DX/LIGHTSPEED</t>
  </si>
  <si>
    <t>dt = DT</t>
  </si>
  <si>
    <t>&lt;txpp.py directory&gt;/txpp.py --prefile=myfile.prei</t>
  </si>
  <si>
    <t>#$ LIGHTSPEED = 2.9979e8</t>
  </si>
  <si>
    <t># --&gt; LIGHTSPEED = 299790000.0</t>
  </si>
  <si>
    <t>#$ LX = 1.e-6</t>
  </si>
  <si>
    <t># --&gt; LX = 9.9999999999999995e-07</t>
  </si>
  <si>
    <t>#$ NX = 20</t>
  </si>
  <si>
    <t># --&gt; NX = 20</t>
  </si>
  <si>
    <t>#$ DX = LX/NX</t>
  </si>
  <si>
    <t># --&gt; DX = 4.9999999999999998e-08</t>
  </si>
  <si>
    <t>#$ DT = DX/LIGHTSPEED</t>
  </si>
  <si>
    <t># --&gt; DT = 1.6678341505720671e-16</t>
  </si>
  <si>
    <t>dt=1.6678341505720671e-16</t>
  </si>
  <si>
    <t>$ PI = math.pi</t>
  </si>
  <si>
    <t># dx = DX</t>
  </si>
  <si>
    <t># dx = 4.9999999999999998e-08</t>
  </si>
  <si>
    <t>deﬁned in the pre ﬁle can be modiﬁed on the command line with the directive -ndim = 2 , for example, to have all</t>
  </si>
  <si>
    <t>2. A variable being declared as an integer instead of a ﬂoat or vice versa. i.e. $ V AR = 6 instead of $ V AR = 6.0</t>
  </si>
  <si>
    <t>$ variableName = default value</t>
  </si>
  <si>
    <t>min = minimum value</t>
  </si>
  <si>
    <t>max = maximum value</t>
  </si>
  <si>
    <t>value The value of the constant. This is the user-supplied value of the constant if kind = User</t>
  </si>
  <si>
    <t>between dumps = 20, data is written to hdf5 format ﬁles at timesteps 20,21,22,40,41,42 etc. When using</t>
  </si>
  <si>
    <t>in visual setup. If the simulation domain begins at r=0, then a ﬂag called includeCylAxis (see Section</t>
  </si>
  <si>
    <t>Grid ) is set to true. In the electrostatic ﬁeld solve, the r = 0 boundary is a computational boundary (as</t>
  </si>
  <si>
    <t>boundary condition is Neumann with the electric ﬁeld set to 0 if the simulation begins at r=0. This</t>
  </si>
  <si>
    <t>condition at r=0 is such that the particles undergo specular reﬂection.”</t>
  </si>
  <si>
    <t>frequencyGap = (frequency high - frequency low)*frequency gap factor</t>
  </si>
  <si>
    <t>numSigma = sqrt(-2.0*log(suppression factor))</t>
  </si>
  <si>
    <t>sigmaT = (TWOPI*frequencyGap)/numSigma</t>
  </si>
  <si>
    <t>timeExcite = 2*numSigma*sigmaT</t>
  </si>
  <si>
    <t>was performed in the following regimes: power flux density q = 10</t>
  </si>
  <si>
    <t>duration τ = 0.2 - 1 μ s, energy stored in the DPF bank was ~ 600 kJ. Deuterium was used as a</t>
  </si>
  <si>
    <t>with N = 10 pulses in series whereas th e specimens of CFC/SiC – with N = 5.</t>
  </si>
  <si>
    <t>FIG. 2. Microstructure of sintered W after irradiation (10 pulses): a - q = 8.107 W/cm2,</t>
  </si>
  <si>
    <t>b - q = 2.108 W/cm2, c - q = 1010 W/cm2; optical microscopy</t>
  </si>
  <si>
    <t>FIG.3. Microstructure of W in W/CFC com position after irradiation (10 pulses): a - q = 1010 W/cm2,</t>
  </si>
  <si>
    <t>b - q = 3 . 108 W/cm2 (scanning electron microscopy) [5, 6]</t>
  </si>
  <si>
    <t>hundredth parts of micron (see table 1) . Under the highest power density q = 1010 W/cm2</t>
  </si>
  <si>
    <t>material after irradiation at q = 3</t>
  </si>
  <si>
    <t>pulses): q = 3 . 108 W/cm2, a – unetched surface, b – etched surface [5, 6]</t>
  </si>
  <si>
    <t>FIG. 5. Formation of bubbles on the irradiated W surface (q = 3.108 W/cm2, 10 pulses)[5,6]</t>
  </si>
  <si>
    <t>(q = 1010 W/cm2 , 10 pulses) [5, 6]. Carbon fibers are paralle l with surface irradiated</t>
  </si>
  <si>
    <t>( q = 3.108 W/cm2, 10 pulses) [5, 6]. Carbon fibers are normally to surface irradiated</t>
  </si>
  <si>
    <t>FIG. 8. Composite material CFC-8SiC in initial state ( a) and after irradiation ( b): q = 109 W/cm2,</t>
  </si>
  <si>
    <t>q = 109 W/cm2 the thickness of evaporated layer d was about two or more microns. It is</t>
  </si>
  <si>
    <t>Cu in СFC-8SiC specimen after irradiation (q = 109 W/cm2, 5 pulses)</t>
  </si>
  <si>
    <t>⎠×C=B</t>
  </si>
  <si>
    <t>A·B×C=A×B·Cinterchange dot and cross, (A.3)</t>
  </si>
  <si>
    <t>A·B×C=B×C·Apermutation maintaining cyclic order, (A.4)</t>
  </si>
  <si>
    <t>/UPnabla·/lparenoriB×C/rparenori=C·/UPnabla×B−B·/UPnabla×C/commaori (A.7)</t>
  </si>
  <si>
    <t>/lparenori/UPnablaC/rparenori·A=A×/lparenori/UPnabla×C/rparenori+A·/UPnablaC/periodori (A.9)</t>
  </si>
  <si>
    <t>/lparenori/UPnablaA/rparenori·C=C×/lparenori/UPnabla×A/rparenori+C·/UPnablaA/periodori (A.10)</t>
  </si>
  <si>
    <t>/lparenori/UPnablaC/rparenori·A+/lparenori/UPnablaA/rparenori·C=A×/lparenori/UPnabla×C/rparenori+A·/UPnablaC+C×/lparenori/UPnabla×A/rparenori+C·/UPnablaA/periodori(A.11)</t>
  </si>
  <si>
    <t>/UPnabla/lparenoriA·C/rparenori=A×/lparenori/UPnabla×C/rparenori+A·/UPnablaC+C×/lparenori/UPnabla×A/rparenori+C·/UPnablaA/periodori(A.13)</t>
  </si>
  <si>
    <t>Therelationships /UPnabla·/UPnabla×A=0and/UPnabla×/UPnabla/SLpsi=0canbeprovedbydirectevaluation</t>
  </si>
  <si>
    <t>A×/lparenoriB×C/rparenori=B/lparenoriA·C/rparenoriC−/lparenoriA·B/rparenori</t>
  </si>
  <si>
    <t>/lparenoriA×B/rparenori×C=B/lparenoriA·C/rparenoriA−/lparenoriB·C/rparenori</t>
  </si>
  <si>
    <t>A·B×C=A×B·C/commaoriinterchange dot and cross</t>
  </si>
  <si>
    <t>A·B×C=B×C·A/commaoricyclic permutation, cyclic order maintained</t>
  </si>
  <si>
    <t>/UPnabla·/lparenoriA×B/rparenori=B·/UPnabla×A−A·/UPnabla×B</t>
  </si>
  <si>
    <t>/lparenori/UPnablaB/rparenori·A=A×/lparenori/UPnabla×B/rparenori+A·/UPnablaB</t>
  </si>
  <si>
    <t>/UPnabla/lparenoriA·B/rparenori=A×/lparenori/UPnabla×B/rparenori+A·/UPnablaB+B×/lparenori/UPnabla×A/rparenori+B·/UPnablaA</t>
  </si>
  <si>
    <t>/UPnabla·/UPnabla×A=0</t>
  </si>
  <si>
    <t>/UPnabla×/UPnabla/SLpsi=0</t>
  </si>
  <si>
    <t>2. the temperature Tof each species (usually measured in eV, where 1 eV =11605K),</t>
  </si>
  <si>
    <t>a temperature T/SLsigma, a pressureP/SLsigma=n/SLsigma/SLkappaT/SLsigma(/SLkappais Boltzmann’s constant), and a mean</t>
  </si>
  <si>
    <t>dt=q/SLsigmaE−1</t>
  </si>
  <si>
    <t>/SLsigma=n/SLsigma0exp/lparenori−q/SLsigma/SLphi//SLkappaT/SLsigma/rparenori/commaori (1.3)</t>
  </si>
  <si>
    <t>neutral plasma. To keep the algebra simple, we define the origin of our coordinatesystem to be at the location of the test particle. Before insertion of the testparticle, the plasma potential was /SLphi=0 everywhere because the ion and electron</t>
  </si>
  <si>
    <t>/SLsigma=i/commaorien/SLsigma/lparenorir/rparenoriq/SLsigmavanished because</t>
  </si>
  <si>
    <t>The assumption of initial neutrality means that ne0qe+ni0qi=0, in which case</t>
  </si>
  <si>
    <t>/SLphi/lparenorir/rparenori=q</t>
  </si>
  <si>
    <t>symmetry assumed here, the electric field produced by the remnant ions must bein the radial direction. The ion charge in a sphere of radius risQ=4/SLpiner</t>
  </si>
  <si>
    <t>r=Q/4/SLpi/SLvarepsilon0r2=ner/3/SLvarepsilon0. The electrostatic field energy in the</t>
  </si>
  <si>
    <t>W=∫rmax</t>
  </si>
  <si>
    <t>max=45/SLvarepsilon0/SLkappaT</t>
  </si>
  <si>
    <t>i=1/SLthetai=0, where/SLthetaiis the deflection due</t>
  </si>
  <si>
    <t>i=1/SLtheta2</t>
  </si>
  <si>
    <t>vrel, and so the apparent flux of field particles is /UPGamma=nFvrel, wherevrelis the</t>
  </si>
  <si>
    <t>i=/UPGammat∫</t>
  </si>
  <si>
    <t>The definitions of scattering theory show (see Assignment 9) that /SLsigma/UPGamma=t−1,</t>
  </si>
  <si>
    <t>/SLtheta/lparenorib/rparenori=qTqF</t>
  </si>
  <si>
    <t>/SLsigma∗=∫/SLlambdaD</t>
  </si>
  <si>
    <t>Kinetic TheoryPhase space particle number densityf(~x,~v,t)Boltzmann Equation:@tf+~v·rxf+~a·rvf=Q(f,f)(1)Q(f,f)is:Boltzmann collision operator for rareﬁed gas dynamics(RGD)Landau-Fokker-Planck (LFP) operator for Coulombcollisions</t>
  </si>
  <si>
    <t>Treat as fluidTreat as particlesSeparatefinto Maxwellianand non-Maxwelliancomponents:f=m+kTreatmas ﬂuidSimulatekby particlesSample particles frommand collide them withkFully nonlinearfThermalize particles ink,using entropy criterionaaRicketson et. al, J. Comp. Phys., 2014.1Caﬂisch et. al, Multiscale Model. Simul. 2008Accelerated Simulation for Plasma Kinetics</t>
  </si>
  <si>
    <t>vxft=0</t>
  </si>
  <si>
    <t>vxft = 1.2tFP</t>
  </si>
  <si>
    <t>vxft = 2.4tFP</t>
  </si>
  <si>
    <t>vxft = 3.6tFP</t>
  </si>
  <si>
    <t>vxft = 6tFP</t>
  </si>
  <si>
    <t>vxft = 11tFP</t>
  </si>
  <si>
    <t>Negative particlesNegative deviations from Maxwellian through k=fpfnParticle number can increaseOffsetting pairs of positive and negative particlesReformulation that limits growth of particles2Coarse-grained, direct simulation</t>
  </si>
  <si>
    <t>@t˜f=Q(˜f,˜f)Fine-grained, deviatoric simulation</t>
  </si>
  <si>
    <t>@tfp=Q(˜f,fp)+Q(fpfn,m)+</t>
  </si>
  <si>
    <t>@tfn=Q(˜f,fn)+Q(fpfn,m)Limits growth of particle number</t>
  </si>
  <si>
    <t>f PICFigure: The snapshot in phase space (x,v1).t=0.0000 .</t>
  </si>
  <si>
    <t>f PICFigure: The snapshot in phase space (x,v1).t=0.5236 .</t>
  </si>
  <si>
    <t>f PICFigure: The snapshot in phase space (x,v1).t=1.1519 .</t>
  </si>
  <si>
    <t>where c = b/a, b is the outer radius of the coaxial electrodes, a is inner radius, µ is permeability, z0 is length of</t>
  </si>
  <si>
    <t>ρ= </t>
  </si>
  <si>
    <t>varies by less than 10% from a mean value of 0.52 over the range of c = 1.5 to 2. Hence ca and cr and the operational speeds in</t>
  </si>
  <si>
    <t>zero length pinch starts at r = a and elongates as it pinches inwards. The collapsing magnetic piston at position rp pushes ahead</t>
  </si>
  <si>
    <t>transit is the same over the range of devices, it follows that the compression time t = tcomp (see Fig. 2) depends on the radius a of</t>
  </si>
  <si>
    <t>p = r min. Experimentally it is</t>
  </si>
  <si>
    <t>Hence applying equation (7) to Eq (6) with n ~ ρ and noting that since T=constant over the range of devices, the</t>
  </si>
  <si>
    <t>The total neutron yield is Y n = Y th + Y b-t. If the experiments do not limit the speed of operation, then Y th will increase above the</t>
  </si>
  <si>
    <t>nie/C0Ui=KTð1:1Þ</t>
  </si>
  <si>
    <t>Iattractive =q∫/infinity2</t>
  </si>
  <si>
    <t>Irepulsive =q∫/infinity2</t>
  </si>
  <si>
    <t>f/lparenoriv/rparenori=n0</t>
  </si>
  <si>
    <t>Irepulsive =2/SLpi1/2r2</t>
  </si>
  <si>
    <t>becomesmorenegativelycharged, /barSCIe/barSCdecreasesand /barSCIi/barSCincreasesuntil Ii+Ie=0,</t>
  </si>
  <si>
    <t>/SLalpha=Zdnd0</t>
  </si>
  <si>
    <t>/SLalpha=4/SLpind0rd/SLlambda2</t>
  </si>
  <si>
    <t>/SLalpha=3rd/SLlambda2</t>
  </si>
  <si>
    <t>/SLalpha=P/SLpsid/commaori (17.21)</t>
  </si>
  <si>
    <t>P=3¯rd</t>
  </si>
  <si>
    <t>Thefloatingcondition Ii+Ie=0showsthattheequilibriumdustpotentialmust</t>
  </si>
  <si>
    <t>miTeexp/lparenori/SLpsidTi/Te/rparenori=1−/SLalpha/periodori (17.25)</t>
  </si>
  <si>
    <t>miTeexp/lparenori/SLpsidTi/Te/rparenori=1−P/SLpsid/commaori (17.26)</t>
  </si>
  <si>
    <t>d/periodoriTheTe=Ticonfiguration corresponds to a potassium Q-machine</t>
  </si>
  <si>
    <t>plasma while the Te=100Ticonfiguration corresponds to an argon rf discharge /periodori</t>
  </si>
  <si>
    <t>e=TiTe=Ti</t>
  </si>
  <si>
    <t>Te= 100 TiTe= 100 Ti–1</t>
  </si>
  <si>
    <t>Fig.17.2 Plotsoflog Pand/SLalphavs.log/SLpsidforTe=100TiandTe=Ti.Logarithms</t>
  </si>
  <si>
    <t>Difor an argon plasma with Te/Ti=100/periodoriThe experimental line</t>
  </si>
  <si>
    <t>Te=100Ti/periodoriAn actual experiment would have specific values of ¯aand¯rdand</t>
  </si>
  <si>
    <t>dt=niZeE/periodori (17.29)</t>
  </si>
  <si>
    <t>s=Z/SLkappaTe/mi/periodori</t>
  </si>
  <si>
    <t>Adding the above three equations and invoking quasi-neutrality (i.e., ni=ndZd+</t>
  </si>
  <si>
    <t>da=Zd/SLkappaTi</t>
  </si>
  <si>
    <t>greaterthantheionthermalvelocityeveninaplasmahaving Ti=Te.Thedustion</t>
  </si>
  <si>
    <t>i=Teplasma having /SLalpha≃1, which corresponds to the left side of Fig. 17.2.</t>
  </si>
  <si>
    <t>e=Tiplasma; this has been</t>
  </si>
  <si>
    <t>/SLphi=q</t>
  </si>
  <si>
    <t>D=∑/SLlambda−2</t>
  </si>
  <si>
    <t>/SLsigma=f/SLsigma/lparenorir/commaoriv/rparenori/periodoriSinceanincidentparticlecanbeconsidered</t>
  </si>
  <si>
    <t>f=f0+/SLepsilonf1 (4.1)</t>
  </si>
  <si>
    <t>dependence of the other variables on fand so, for example, would give g=g/lparenorif/rparenori=</t>
  </si>
  <si>
    <t>expansion gives g=g0+/SLepsilong1+/SLepsilon2g2+/SLepsilon3g3+/periodori/periodori/periodoriThe/SLepsilon’s are, from now on, considered</t>
  </si>
  <si>
    <t>f=f0+f1</t>
  </si>
  <si>
    <t>g=g0+g1+g2+/periodori/periodori/periodori</t>
  </si>
  <si>
    <t>h=h0+h1+h2+/periodori/periodori/periodori (4.2)</t>
  </si>
  <si>
    <t>/SLpartialdifft+/UPnabla·/lbracketori/lparenorin0+n1/rparenori/lparenoriu0+u1/rparenori/rbracketori=0/periodori (4.3)</t>
  </si>
  <si>
    <t>/SLpartialdifft+/UPnabla·/lparenorin0u0/rparenori=0/periodori (4.4)</t>
  </si>
  <si>
    <t>/SLpartialdifft+/UPnabla·/lparenorin1u0+n0u1+n1u1/rparenori=0/periodori (4.5)</t>
  </si>
  <si>
    <t>/SLpartialdifft+/UPnabla·/lparenorin1u0+n0u1/rparenori=0/periodori (4.6)</t>
  </si>
  <si>
    <t>dt=q/SLsigman/SLsigmaE−/UPnablaP/SLsigma (4.7)</t>
  </si>
  <si>
    <t>/SLpartialdifft=q/SLsigman/SLsigma0E1−/UPnablaP/SLsigma1/periodori (4.8)</t>
  </si>
  <si>
    <t>nienttochoose /SLpsisoastohave/UPnabla·A=0.ThisiscalledCoulombgaugeandcauses</t>
  </si>
  <si>
    <t>/SLsigma=const/periodori/commaori (4.14)</t>
  </si>
  <si>
    <t>n/SLsigma=const/periodori (4.15)</t>
  </si>
  <si>
    <t>processesbyusingEq.(4.14)forbothandthensimplysetting /SLgamma=1iftheprocess</t>
  </si>
  <si>
    <t>k2/SLphi1=∑</t>
  </si>
  <si>
    <t>susceptibilities give the respective contributions of each species to the right-handside of Poisson’s equation. This formalism follows that of dielectrics where thedisplacement vector is D=/SLvarepsilonEand the dielectric constant is /SLvarepsilon=1+/SLchi, where/SLchi</t>
  </si>
  <si>
    <t>1+/SLchie+/SLchii=0/periodori (4.27)</t>
  </si>
  <si>
    <t>N=1 so that/SLgamma=3/periodoriHence the susceptibility has the limiting form</t>
  </si>
  <si>
    <t>/SLkappaT/SLsigma0/m/SLsigmaand/SLgamma=1. Here the susceptibility has the</t>
  </si>
  <si>
    <t>k2/SLkappaT/SLsigma0/m/SLsigma=1</t>
  </si>
  <si>
    <t>pe//SLomega2pi=mi/methe ion contribution can be dropped, and the dispersion</t>
  </si>
  <si>
    <t>D/SLsigma=0/periodori (4.33)</t>
  </si>
  <si>
    <t>incompressible waves. Since no electrostatic potential is involved, /UPnabla·E=0 and</t>
  </si>
  <si>
    <t>/SLphi=∫L</t>
  </si>
  <si>
    <t>0kdx=1</t>
  </si>
  <si>
    <t>i.e., a plasma immersed in a uniform, constant magnetic field B=B0ˆz.B yl o w</t>
  </si>
  <si>
    <t>certain of these involve electric fields having a purely electrostatic character (i.e.,/UPnabla×E=0/rparenori, whereas others involve electric fields having an inductive character</t>
  </si>
  <si>
    <t>A=B/√/SLmu0/SLrho. The existence of such modes is not surprising</t>
  </si>
  <si>
    <t>/SLsigma/commaoripolarization =m/SLsigma</t>
  </si>
  <si>
    <t>where/SLrho=∑n/SLsigmam/SLsigmais the mass density. This can be recast as</t>
  </si>
  <si>
    <t>/SLpartialdifft=v2</t>
  </si>
  <si>
    <t>zappears in MHD is in the /UPnabla·J=0 equation and so Jzis solved</t>
  </si>
  <si>
    <t>for in MHD as a sort of “after-thought” using the relation Jz=−∫</t>
  </si>
  <si>
    <t>E1+U1×B=0 (4.55)</t>
  </si>
  <si>
    <t>electricfieldsothereisnomeansforacceleratingparticlesintheparalleldirectionand thus no means for attaining the parallel particle velocities associated with theexistence of a parallel current. Even though MHD does not provide the dynamicsfor establishing a parallel current, MHD nevertheless requires the existence ofa parallel current in order to satisfy /UPnabla·J=0/periodoriThus, according to the MHD</t>
  </si>
  <si>
    <t>/SLpartialdifftE⊥1×ˆz=v2</t>
  </si>
  <si>
    <t>×ˆz=v2</t>
  </si>
  <si>
    <t>E1+U1×B=0/commaori (4.73)</t>
  </si>
  <si>
    <t>mT¨rT=qTqF</t>
  </si>
  <si>
    <t>mF¨rF=qTqF</t>
  </si>
  <si>
    <t>R=mTrT+mFrF</t>
  </si>
  <si>
    <t>/lparenorimT+mF/rparenori¨R=mT¨rT+mF¨rF=0 (13.3)</t>
  </si>
  <si>
    <t>/lparenorimT+mF/rparenori/UPDelta˙R=0=mT/UPDelta˙rT+mF/UPDelta˙rF/periodori (13.4)</t>
  </si>
  <si>
    <t>r=rT−rF (13.5)</t>
  </si>
  <si>
    <t>/SLmu=1</t>
  </si>
  <si>
    <t>/SLmu¨r=q</t>
  </si>
  <si>
    <t>rF=R−/SLmu</t>
  </si>
  <si>
    <t>rT=R+/SLmu</t>
  </si>
  <si>
    <t>Since/UPDelta˙R=0/commaorithe change of the test and field particle velocities as measured in</t>
  </si>
  <si>
    <t>F/lparenoriv/commaori/UPDeltav/rparenorid/UPDeltav=1/periodori (13.13)</t>
  </si>
  <si>
    <t>f/lparenoriv/commaorit/rparenori=∫</t>
  </si>
  <si>
    <t>f/lparenoriv−/UPDeltav/commaorit−/UPDeltat/rparenoriF/lparenori v−/UPDeltav/commaori/UPDeltav/rparenori=f/lparenoriv/commaorit/rparenoriF/lparenori v/commaori/UPDeltav/rparenori−/UPDeltat/SLpartialdifff</t>
  </si>
  <si>
    <t>f/lparenoriv/commaorit/rparenori=f/lparenoriv/commaorit/rparenori∫</t>
  </si>
  <si>
    <t>/SLtheta=q</t>
  </si>
  <si>
    <t>/UPDeltavrel=vrel2−vrel1</t>
  </si>
  <si>
    <t>/UPDeltav/barSCallb/commaoriall/SLphi=v/UPDeltatfF/lparenorivF/rparenoridvF∫</t>
  </si>
  <si>
    <t>/UPDeltavrel/barSCallb/commaoriall/SLphi=vrel/UPDeltatfF/lparenorivF/rparenoridvF∫2/SLpi</t>
  </si>
  <si>
    <t>/SLpartialdiffv=(</t>
  </si>
  <si>
    <t>v2x+v2y+v2z=v</t>
  </si>
  <si>
    <t>/SLpartialdiffvT=vrel</t>
  </si>
  <si>
    <t>/UPDeltav/UPDeltav=(</t>
  </si>
  <si>
    <t>/UPDeltavrel/UPDeltavrel/barSCallb/commaoriall/SLphi=vrel/UPDeltatfF/lparenorivF/rparenoridvF∫2/SLpi</t>
  </si>
  <si>
    <t>/UPDeltavrel/UPDeltavrel/barSCallb/commaori/SLphi=v3</t>
  </si>
  <si>
    <t>ˆxˆx+ˆyˆy=I−vrelvrel</t>
  </si>
  <si>
    <t>gF/lparenoriv/rparenori=∫</t>
  </si>
  <si>
    <t>hF/lparenoriv/rparenori=mT</t>
  </si>
  <si>
    <t>/SLpartialdifft=∑</t>
  </si>
  <si>
    <t>F=i/commaorieq2</t>
  </si>
  <si>
    <t>wheren=∫</t>
  </si>
  <si>
    <t>dv=−∫/SLpartialdiff</t>
  </si>
  <si>
    <t>dv=0/commaori(13.49)</t>
  </si>
  <si>
    <t>fT/lparenoriv/rparenori=nT/SLdelta/lparenoriv−u0/rparenori/periodori (13.51)</t>
  </si>
  <si>
    <t>v=u0/periodori (13.52)</t>
  </si>
  <si>
    <t>fF/lparenoriv/rparenori=nF(mF</t>
  </si>
  <si>
    <t>hF/lparenoriv/rparenori=nFmT</t>
  </si>
  <si>
    <t>erf/lparenorix/rparenori=2√/SLpi∫x</t>
  </si>
  <si>
    <t>/SLpartialdifft=niq2</t>
  </si>
  <si>
    <t>v=u0/commaori(13.57)</t>
  </si>
  <si>
    <t>i/commaorie=m−1</t>
  </si>
  <si>
    <t>niZqi+neqe=0/commaori (13.58)</t>
  </si>
  <si>
    <t>/SLmui/commaorie=1+mT</t>
  </si>
  <si>
    <t>/SLpartialdifft=nee2ln/UPLambda</t>
  </si>
  <si>
    <t>principle and showed that total helicity K=∫</t>
  </si>
  <si>
    <t>/UPPhi=∫</t>
  </si>
  <si>
    <t>In flux tube #1, d3r=dl·ˆB/UPDeltaS, where/UPDeltaSis the cross-sectional area of flux tube</t>
  </si>
  <si>
    <t>A·Bd3r=A·Bdl·ˆB/UPDeltaS</t>
  </si>
  <si>
    <t>K1=/UPPhi1∫</t>
  </si>
  <si>
    <t>K=K1+K2=2/UPPhi1/UPPhi2/periodori (11.8)</t>
  </si>
  <si>
    <t>case the helicity would be K=4/UPPhi1/UPPhi2. This would correspond to two linkages</t>
  </si>
  <si>
    <t>dK=2/UPPhid/SLpsi/periodori (11.9)</t>
  </si>
  <si>
    <t>dK=2/UPPhi/SLpsi′d/UPPhi (11.10)</t>
  </si>
  <si>
    <t>K=2∫/UPPhi</t>
  </si>
  <si>
    <t>2/SLpi/UPnabla/UPPhi×/UPnabla/SLtheta=1</t>
  </si>
  <si>
    <t>flux throughS1=∫</t>
  </si>
  <si>
    <t>2/SLpi/UPnabla/SLpsi×/UPnabla/SLphi=1</t>
  </si>
  <si>
    <t>B=B1ˆ/SLphi+B2ˆ/SLtheta, which is helical.</t>
  </si>
  <si>
    <t>an increment along a magnetic field line then B×dl=0o r</t>
  </si>
  <si>
    <t>B/SLtheta=dl/SLphi</t>
  </si>
  <si>
    <t>/barSC/UPnabla/SLtheta/barSCB/SLtheta=d/SLphi</t>
  </si>
  <si>
    <t>K=T/UPPhi2/periodori (11.23)</t>
  </si>
  <si>
    <t>the ideal Ohm’s law E+U×B=0 necessarily fails because if Uis zero, the</t>
  </si>
  <si>
    <t>Eq. (11.8) this initial configuration has helicity K=2/UPPhi</t>
  </si>
  <si>
    <t>twists. The twist parameter for Fig. 11.3(f) is therefore T=2 and so according</t>
  </si>
  <si>
    <t>to Eq. (11.23) this two-twist ribbon has a helicity K=T/UPPhi</t>
  </si>
  <si>
    <t>initial and final helicities are both K=2/UPPhi2, this demonstrates that reconnection</t>
  </si>
  <si>
    <t>In order to determine BME, consider an arbitrary variation B=BME+/SLdeltaBsatis-</t>
  </si>
  <si>
    <t>field. The field Bhas an associated vector potential A=AME+/SLdeltaA. Because the</t>
  </si>
  <si>
    <t>/SLdeltaW=1</t>
  </si>
  <si>
    <t>since d s·BME×/SLdeltaA=0 on the wall. On the other hand, the variation of the total</t>
  </si>
  <si>
    <t>/SLdeltaK=∫</t>
  </si>
  <si>
    <t>/SLdeltaA·/UPnabla×BMEd3r=2/SLlambda∫</t>
  </si>
  <si>
    <t>/SLdeltaA·/lparenori/UPnabla×BME−/SLlambdaBME/rparenorid3r=0/periodori (11.31)</t>
  </si>
  <si>
    <t>/UPnabla·/lparenoriAME×BME/rparenori=/UPnabla·/lparenoriAME×/UPnablaf/rparenori=/UPnablaf·/UPnabla×AME=BME·/UPnablaf=/UPnabla·/lparenorifBME/rparenori</t>
  </si>
  <si>
    <t>/UPnabla·/lparenoriAME×BME/rparenorid3r=∫</t>
  </si>
  <si>
    <t>ds·/lparenorifBME/rparenori=0/commaori (11.36)</t>
  </si>
  <si>
    <t>since BME·ds=0 by assumption. Thus, Eq. (11.33) reduces to</t>
  </si>
  <si>
    <t>nomagneticfieldlinespenetrate SsoB·ds=0 overallofS.ThevolumeVcould</t>
  </si>
  <si>
    <t>extend to infinity or be finite; all that is required is B·ds=0 on the bounding</t>
  </si>
  <si>
    <t>The volumeVis now decomposed into two sub-volumes where B·ds=0</t>
  </si>
  <si>
    <t>line did travel from one sub-volume to the other it would have to penetrate thesurface separating these sub-volumes and so violate the assumption B·ds=0o n</t>
  </si>
  <si>
    <t>/SLphi=2/SLpi/SLxi</t>
  </si>
  <si>
    <t>curvature of the axis is rcurve=1/⏐⏐⏐ˆ/SLphi·/UPnablaˆ/SLphi⏐⏐⏐(see discussion of Eq. (3.85)). From the</t>
  </si>
  <si>
    <t>linked external flux ψextφ = 2πφ = 0φ</t>
  </si>
  <si>
    <t>V=KVtube+KVext/periodori (11.40)</t>
  </si>
  <si>
    <t>KVtube=∫</t>
  </si>
  <si>
    <t>B=Baxis+Bazimuthal/periodori (11.42)</t>
  </si>
  <si>
    <t>in a plane but ˆ/SLphi·/UPnabla×ˆ/SLphi=0, the path traced out by ˆ/SLphican be considered to be</t>
  </si>
  <si>
    <t>axis is zero, then the situation would be similar to the case where ˆ/SLphi·/UPnabla×ˆ/SLphi=0</t>
  </si>
  <si>
    <t>Eq. (9.14) on p. 313). The /SLtheta=0 surface is then a ribbon surface, as shown in</t>
  </si>
  <si>
    <t>with/UPPhi=const. are shown as dashed lines. The ribbon surface defining /SLtheta=0</t>
  </si>
  <si>
    <t>have a cut at/SLphi=0 in order to distinguish the ribbon ends at /SLphi=0 and/SLphi=2/SLpi</t>
  </si>
  <si>
    <t>horizontally at x=0 and extends vertically from y=− /infinity2toy=+ /infinity2. The current</t>
  </si>
  <si>
    <t>at some radius r=r</t>
  </si>
  <si>
    <t>By/lparenorix/rparenori=By/lparenori0/rparenori+∫x</t>
  </si>
  <si>
    <t>x=0 so the fieldBy/lparenori0/rparenorimust be entirely due to external currents. Let us assume</t>
  </si>
  <si>
    <t>for now that no external currents exist and set By/lparenori0/rparenori=0; the situation of finite</t>
  </si>
  <si>
    <t>By/lparenorix/rparenori=Btanh/lparenorix/L/rparenori/commaori (12.3)</t>
  </si>
  <si>
    <t>Jz/lparenorix/rparenori=B</t>
  </si>
  <si>
    <t>which is sharply peaked in the neighborhood of x=0.</t>
  </si>
  <si>
    <t>perimeterB·dl=/SLmu0Ibar=const/periodori (12.5)</t>
  </si>
  <si>
    <t>The fluid motion thus consists of a spatially periodic set of vortices that areantisymmetric with respect to x=0. Each bar has a pair of opposite vortices for</t>
  </si>
  <si>
    <t>z/lparenorix/rparenori=−∫x</t>
  </si>
  <si>
    <t>The constant is chosen to give Az=0a tx=0s o</t>
  </si>
  <si>
    <t>Nearx=0/commaoriAzis an inverted parabola with a maximum value of zero,</t>
  </si>
  <si>
    <t>while far from x=0/commaoriAzis linear and becomes more negative with increasing</t>
  </si>
  <si>
    <t>displacement from x=0. This behavior of the vector potential is consistent</t>
  </si>
  <si>
    <t>with the field being uniform far from x=0, but reversing sign on going across</t>
  </si>
  <si>
    <t>x=0. The behavior is also consistent with the relationship between the current</t>
  </si>
  <si>
    <t>dt=J×B−/UPnablaP/commaori (12.14)</t>
  </si>
  <si>
    <t>the fluid velocity and so it is reasonable and appropriate to stipulate that the flowisincompressible with/UPnabla·U=0. Since the perturbed current density is in the</t>
  </si>
  <si>
    <t>/UPnabla·U=/UPnabla·/lparenori/UPnablaf×ˆz/rparenori=ˆz·/UPnabla×/UPnablaf=0/periodori (12.24)</t>
  </si>
  <si>
    <t>antisymmetric in xand is only large in the vicinity of x=0 as indicated in</t>
  </si>
  <si>
    <t>/SLpartialdifft=1</t>
  </si>
  <si>
    <t>Jz1is symmetric with respect to xand localized in the vicinity of x=0 the vortices</t>
  </si>
  <si>
    <t>are localized to the vicinity of x=0.</t>
  </si>
  <si>
    <t>dependence on x, the localization near x=0, and, consistent with Fig. 12.2(c), a</t>
  </si>
  <si>
    <t>/SLpartialdiffy=ikf1/periodori (12.34)</t>
  </si>
  <si>
    <t>Since the perturbed current peaks at x=0 and has a width of the order of /SLepsilon,i t</t>
  </si>
  <si>
    <t>/SLlambda=∫</t>
  </si>
  <si>
    <t>rium field results in antisymmetric vorticity source localized near x=0.</t>
  </si>
  <si>
    <t>/SLpartialdiffx=ikB′</t>
  </si>
  <si>
    <t>small; this gives the frozen-in condition. At exactly x=0, term #2 vanishes and</t>
  </si>
  <si>
    <t>whereB′=B/Lis the derivative of the equilibrium field at x=0. Equating these</t>
  </si>
  <si>
    <t>/SLgamma=0/periodori55(</t>
  </si>
  <si>
    <t>discontinuity in the first derivative of Az1atx=0; this discontinuity gives /UPDelta′.</t>
  </si>
  <si>
    <t>the magnetic ﬁeld, B=B</t>
  </si>
  <si>
    <t>T=WE0p</t>
  </si>
  <si>
    <t>vac=0/periodori (9.2)</t>
  </si>
  <si>
    <t>magnetic fields. Because all magnetic fields must satisfy /UPnabla·B=0, the potential</t>
  </si>
  <si>
    <t>/UPnabla2/SLchi=0/periodori (9.3)</t>
  </si>
  <si>
    <t>/SLchi=0/periodori (9.4)</t>
  </si>
  <si>
    <t>Definings=kr, this can be recast as</t>
  </si>
  <si>
    <t>/SLchi=0/commaori (9.5)</t>
  </si>
  <si>
    <t>/SLchi/lparenorir/commaori/SLtheta/commaoriz/rparenori =/infinity2∑</t>
  </si>
  <si>
    <t>m=−/infinity2∫</t>
  </si>
  <si>
    <t>B/lparenorir/rparenori=Bmin/lparenorir/rparenori+/SLdeltaB/lparenorir/rparenori, where/SLdeltaB/lparenorir/rparenoriis a small arbitrary variation about Bmin.</t>
  </si>
  <si>
    <t>2/SLmu0W=∫</t>
  </si>
  <si>
    <t>v/SLdeltaB·Bmind3r=0 (9.8)</t>
  </si>
  <si>
    <t>/lparenoriA×B/rparenori=B·/UPnabla×A−A·/UPnabla×B, Eq. (9.8) can be integrated by parts to obtain</t>
  </si>
  <si>
    <t>V/lbracketori/UPnabla·/lparenori/SLdeltaA×Bmin/rparenori+/SLdeltaA·/UPnabla×Bmin/rbracketorid3r=0/periodori (9.9)</t>
  </si>
  <si>
    <t>min=0. Thus, Bminmust be a vacuum field.</t>
  </si>
  <si>
    <t>where Iis the unit tensor and the relation /UPnabla·/lparenoriBB/rparenori=/lparenori/UPnabla·B/rparenoriB+B·/UPnablaB=B·/UPnablaB</t>
  </si>
  <si>
    <t>B·ds=∫</t>
  </si>
  <si>
    <t>However,usingthevectoridentity /UPnabla·/lparenoriA×B/rparenori=B·/UPnabla×A−A·/UPnabla×Bthismagnetic</t>
  </si>
  <si>
    <t>d3r=ds·dl, where d lis an element of length along the wire, and d sis the cross-</t>
  </si>
  <si>
    <t>where J·ds=Iis the current flowing through the wire. Thus, the energy stored</t>
  </si>
  <si>
    <t>there were a change in flux, a voltage would appear across the ends of the coil.A closed current flowing in a perfectly conducting plasma is thus equivalent toa short-circuited current-carrying coil and so the perfectly conducting plasma canbeconsideredasaflux-conserver.Iffluxisconserved,i.e., /UPPhi=const.,thesecond</t>
  </si>
  <si>
    <t>having no flow velocity and (ii) a dynamic equilibrium as a solution with steady-state flow velocities. Thus, U=0 for a static equilibrium whereas Uis finite</t>
  </si>
  <si>
    <t>/UPnablaP=J×B/periodori (9.22)</t>
  </si>
  <si>
    <t>/SLrhoU·/UPnablaU+/UPnablaP=J×B+/SLnu/SLrho/UPnabla</t>
  </si>
  <si>
    <t>By taking the curl of these last two equations we see that for static equilibria themagnetic force must be conservative, i.e., /UPnabla×/lparenoriJ×B/rparenori=0, whereas for dynamic</t>
  </si>
  <si>
    <t>z=Jz/lparenorir/rparenoriand no other currents.</t>
  </si>
  <si>
    <t>I/lparenorir/rparenori=∫r</t>
  </si>
  <si>
    <t>Jz/lparenorir/rparenori=1</t>
  </si>
  <si>
    <t>Integrating Eq. (9.27) from r=0t or=a, whereais the outer radius of the</t>
  </si>
  <si>
    <t>The integrated term vanishes at both r=0 andr=asinceP/lparenoria/rparenori=0 by definition.</t>
  </si>
  <si>
    <t>If the temperature is uniform, the pressure can be expressed as P/lparenorir/rparenori=n/lparenorir/rparenori/SLkappaT</t>
  </si>
  <si>
    <t>whereN=∫a</t>
  </si>
  <si>
    <t>force results from a radially inward force J×B=J/SLthetaˆ/SLtheta×Bzˆz, whereBzis the</t>
  </si>
  <si>
    <t>/UPnabla·T=0/commaori (9.30)</t>
  </si>
  <si>
    <t>Letr=xˆx+yˆy+zˆzbe the vector from the center of the plasma to the point of</t>
  </si>
  <si>
    <t>/UPnabla·/lparenoriT·r/rparenori=∑</t>
  </si>
  <si>
    <t>dt=q/lparenoriE+v×B/rparenori (3.1)</t>
  </si>
  <si>
    <t>trajectory, i.e., /SLdeltaQi/lparenorit1/rparenori=/SLdeltaQi/lparenorit2/rparenori=0/periodoriIn order to make the variational argument</t>
  </si>
  <si>
    <t>and/SLetai/lparenorit/rparenoriis a function of tthat vanishes when t=t1ort=t2but is otherwise</t>
  </si>
  <si>
    <t>/SLdeltaS=∫t2</t>
  </si>
  <si>
    <t>Using ˙/SLetai=d/SLetai/dtthe above expression may be integrated by parts to obtain</t>
  </si>
  <si>
    <t>Since/SLetai/lparenorit1/commaori2/rparenori=0/commaoritheintegratedtermvanishesandsince /SLetaiwasanarbitraryfunc-</t>
  </si>
  <si>
    <t>coordinateQj, then dPj/dt=0, in which case the canonical momentum Pj</t>
  </si>
  <si>
    <t>This shows that if Ldoes not explicitly depend on time, i.e., /SLpartialdiffL//SLpartialdifft =0, the</t>
  </si>
  <si>
    <t>to the energy of the system, so if /SLpartialdiffL//SLpartialdifft =0/commaorithe energy is a constant of the</t>
  </si>
  <si>
    <t>P=mv+qA/lparenorix/commaorit/rparenori/periodori (3.13)</t>
  </si>
  <si>
    <t>dt=mdv</t>
  </si>
  <si>
    <t>/SLpartialdiffx=q/UPnabla/lparenoriv·A/rparenori−q/UPnabla/SLphi=q/lparenoriv·/UPnablaA+v×/UPnabla×A/rparenori−q/UPnabla/SLphi</t>
  </si>
  <si>
    <t>H=P·v−L</t>
  </si>
  <si>
    <t>i.e.,H=H/lparenorix/commaoriP/commaorit/rparenori.Equation(3.16)alsoshowsthat His,aspromised,theparticle</t>
  </si>
  <si>
    <t>energy. If generalized coordinates are used, the energy can be written in a generalform asE=H/lparenoriQ/commaoriP/commaorit/rparenori/periodori Equation (3.11) showed that even though both Qand</t>
  </si>
  <si>
    <t>would have the form E=H/lparenoriQ/lparenorit/rparenori/commaoriP/lparenorit/rparenori/rparenori =const/periodori</t>
  </si>
  <si>
    <t>dt2+/SLomega2/lparenorit/rparenorix=0/periodori (3.17)</t>
  </si>
  <si>
    <t>x=Re/lbracketoriAexp/lparenorii/SLomegat/rparenori/rbracketori/commaori (3.18)</t>
  </si>
  <si>
    <t>x/lparenorit/rparenori=Re[</t>
  </si>
  <si>
    <t>dt=Re[</t>
  </si>
  <si>
    <t>/SLalpha=1</t>
  </si>
  <si>
    <t>S=∫t0+/SLtau</t>
  </si>
  <si>
    <t>a complete cycle, is defined as the interval between two successive times whendx/dt=0 and d</t>
  </si>
  <si>
    <t>x/lparenorit/rparenori=x/lparenorit0/rparenori√</t>
  </si>
  <si>
    <t>0d/SLxicos2/SLxi=/SLpi/lbracketorix/lparenorit0/rparenori/rbracketori2/SLomega/lparenorit0/rparenori=const/periodori/commaori</t>
  </si>
  <si>
    <t>where/SLxi=∫t′</t>
  </si>
  <si>
    <t>harmonic oscillator is related to the frequency by the relation E/ℏ/SLomega=N+1/2.</t>
  </si>
  <si>
    <t>QR=(Q,P)constant H</t>
  </si>
  <si>
    <t>H/lparenoriP/commaoriQ/rparenori =H</t>
  </si>
  <si>
    <t>P=0/commaoriQ=0+Q2</t>
  </si>
  <si>
    <t>P=0/commaoriQ=0/commaori(3.39)</t>
  </si>
  <si>
    <t>P=0/commaoriQ=0and[</t>
  </si>
  <si>
    <t>P=0/commaoriQ=0areeitherbothpositive(valley)</t>
  </si>
  <si>
    <t>/SLtau=∫t</t>
  </si>
  <si>
    <t>dt=d/SLtau</t>
  </si>
  <si>
    <t>/SLbetaP=0/commaori (3.44)</t>
  </si>
  <si>
    <t>/SLbetad/SLtau=/SLlambda2∫[(/SLalpha/lparenori/SLtau′/rparenori</t>
  </si>
  <si>
    <t>phase/SLphi=∫/SLtau/lparenori/SLalpha//SLbeta/rparenori1/2d/SLtau/commaoriEq. (3.46) becomes</t>
  </si>
  <si>
    <t>S=/SLlambda2∫2/SLpi</t>
  </si>
  <si>
    <t>0d/SLphicos2/SLphi=const/periodori (3.47)</t>
  </si>
  <si>
    <t>parameter/SLlambda/lparenorit/rparenori,sothatH=H/lparenoriP/commaoriQ/commaori/SLlambda/lparenorit/rparenori/rparenori .FromEq.(3.16)theenergyisgivenby</t>
  </si>
  <si>
    <t>E/lparenorit/rparenori=H/lparenoriP/commaoriQ/commaori/SLlambda/lparenorit/rparenori/rparenori (3.48)</t>
  </si>
  <si>
    <t>and, in principle, this relation can be inverted to give P=P/lparenoriE/lparenorit/rparenori/commaoriQ/commaori/SLlambda/lparenorit/rparenori/rparenori/periodori</t>
  </si>
  <si>
    <t>definetheturningpoint Qtpasapositionwhered Q/dt=0/periodoriSinceQisoscillating,</t>
  </si>
  <si>
    <t>tp=Qtp/lparenorit/rparenori/periodori</t>
  </si>
  <si>
    <t>This function is only defined for the times when d Q/dt=0/periodoriWhen the motion is</t>
  </si>
  <si>
    <t>inauniformaxialmagneticfield B=Bˆz,thenthemagneticforce ∼qu×Bwould</t>
  </si>
  <si>
    <t>Fig. 16.1 Pure electron plasma configuration. Magnetic field B=Bˆzproduced</t>
  </si>
  <si>
    <t>/SLpartialdiffr/lparenorirEr/rparenori=n/lparenorir/rparenoriq</t>
  </si>
  <si>
    <t>is incompressible, i.e., /UPnabla·u=0. Because of this, the continuity equation,</t>
  </si>
  <si>
    <t>/SLpartialdifft+u·/UPnablan=0/periodori (16.10)</t>
  </si>
  <si>
    <t>/UPnabla·u=0/periodori (16.13)</t>
  </si>
  <si>
    <t>canbeinterpretedasindicatingthatthevorticityisfrozenintotheconvectingfluid(Kelvin vorticity theorem). Using cylindrical coordinates to express the velocityasu=u</t>
  </si>
  <si>
    <t>/SLthetai=mriv/SLthetai+qriA/SLthetai/periodori (16.23)</t>
  </si>
  <si>
    <t>i=1P/SLthetai=N∑</t>
  </si>
  <si>
    <t>magnetic field B=BˆzisA=ˆ/SLthetaBr/2, and if the magnetic field is sufficiently</t>
  </si>
  <si>
    <t>/SLtheta=N∑</t>
  </si>
  <si>
    <t>i=1P/SLthetai≃qeB</t>
  </si>
  <si>
    <t>i=const/periodori (16.25)</t>
  </si>
  <si>
    <t>rB=/SLetaJ/SLtheta=(me/SLnuei</t>
  </si>
  <si>
    <t>ne/lparenoriui/SLtheta−ue/SLtheta/rparenori=me/SLnuei</t>
  </si>
  <si>
    <t>/SLphi1/lparenorir/commaori/SLtheta/commaorit/rparenori =/infinity2∑</t>
  </si>
  <si>
    <t>˜/SLphil/lparenorir/commaorit/rparenori=1</t>
  </si>
  <si>
    <t>/SLphi1/lparenorir/commaori/SLtheta/commaorit/rparenori =∑</t>
  </si>
  <si>
    <t>˜/SLphil/lparenorir/rparenori=1</t>
  </si>
  <si>
    <t>/UPnabla2˜/SLphil=1</t>
  </si>
  <si>
    <t>/SLomega0/lparenorir/rparenori=u/SLtheta0/lparenorir/rparenori</t>
  </si>
  <si>
    <t>/UPPhi=r˜/SLphil/commaori</t>
  </si>
  <si>
    <t>G=r2/lparenori/SLomega−l/SLomega0/lparenorir/rparenori/rparenori/commaori (16.46)</t>
  </si>
  <si>
    <t>/SLtheta/lparenoria/rparenori=0. This boundary condition is</t>
  </si>
  <si>
    <t>l/lparenoria/rparenori=0.</t>
  </si>
  <si>
    <t>16.5.2 The l =1 diocotron mode: a special case</t>
  </si>
  <si>
    <t>Thel=1 mode is a special case because the 1 −l2term in Eq. (16.48) vanishes</t>
  </si>
  <si>
    <t>andtheremainingtermshaveanextremelysimplerelationship.Specifically,whenl=1 Eq. (16.48) reduces to</t>
  </si>
  <si>
    <t>˜/SLphil=1/lparenorir/rparenori=/SLomega−/SLomega0/lparenorir/rparenori</t>
  </si>
  <si>
    <t>equation, it must have two independent solutions and Eq. (16.51) must be oneof these. The other solution has a singularity at r=0 and is discarded as non-</t>
  </si>
  <si>
    <t>physical (this other solution can be found by assuming it is of the form /UPPhi=FG</t>
  </si>
  <si>
    <t>rigid body rotation corresponds to having G=0 for allrsince/SLomega</t>
  </si>
  <si>
    <t>and/SLomega=/SLomega0/lparenoria/rparenorifor a rigid body. If G=0 then Eq. (16.48) shows that the form</t>
  </si>
  <si>
    <t>/SLtheta=0 implies ˜/SLphil=1/lparenoria/rparenori=0</t>
  </si>
  <si>
    <t>and so Eq. (16.51) gives the l=1 mode frequency to be</t>
  </si>
  <si>
    <t>fieldatthewall.Since Er/lparenoria/rparenoridependsonlyonthetotalchargeperlength,the l=1</t>
  </si>
  <si>
    <t>r=a/periodori (16.53)</t>
  </si>
  <si>
    <t>Sincen0/lparenoria/rparenori=0 by assumption, Eq. (16.42) shows</t>
  </si>
  <si>
    <t>whereEq.(16.56)andtheperfectlyconductingwallboundarycondition /SLphi1/lparenoria/rparenori=0</t>
  </si>
  <si>
    <t>1/SLtheta=(</t>
  </si>
  <si>
    <t>/lparenori/SLomega−l/SLomega0/lparenorir/rparenori/rparenori=Re∫t</t>
  </si>
  <si>
    <t>l/lparenorit=0/rparenori⏐⏐⏐2</t>
  </si>
  <si>
    <t>For thel=1 mode this can be evaluated using Eq. (16.51) to give</t>
  </si>
  <si>
    <t>/SLdeltaWl=1=−/SLpiqL</t>
  </si>
  <si>
    <t>wheren0/lparenorir/rparenori=0 forrp&lt;r≤ahas been used. Finally, using the middle line of</t>
  </si>
  <si>
    <t>/SLdeltaWl=1=−/SLvarepsilon0/SLpiLa2S2</t>
  </si>
  <si>
    <t>and so thel=1 diocotron mode is seen to be a negative energy mode. This result</t>
  </si>
  <si>
    <t>by considering the change in electrostatic energy stored in an isolated parallelplate capacitor when the distance between the parallel plates is varied. The storedenergyisW=CV</t>
  </si>
  <si>
    <t>theplasmaandthewallistherefore V=−∫a</t>
  </si>
  <si>
    <t>of perturbationky= 0y=h</t>
  </si>
  <si>
    <t>ignored. The water and air are assumed to be incompressible, i.e., /SLrho=const/periodori,s o</t>
  </si>
  <si>
    <t>/SLpartialdifft+v·/UPnabla/SLrho+/SLrho/UPnabla·v=0 (10.4)</t>
  </si>
  <si>
    <t>/UPnabla·v=0/periodori (10.5)</t>
  </si>
  <si>
    <t>The locationy=0 is defined to be at the unperturbed air–water interface and</t>
  </si>
  <si>
    <t>the top of the glass is at y=h. The water fills the glass to the top and thus is</t>
  </si>
  <si>
    <t>vy=0a ty=h/periodori (10.8)</t>
  </si>
  <si>
    <t>/SLpartialdiffy=k2P1/periodori (10.13)</t>
  </si>
  <si>
    <t>1. Interior: here /SLpartialdiff/SLrho0//SLpartialdiffy=0 and/SLrho0=const/periodori, in which case Eq. (10.15) becomes</t>
  </si>
  <si>
    <t>v1y=Asinh/lparenorik/lparenoriy−h/rparenori/rparenori/periodori (10.17)</t>
  </si>
  <si>
    <t>interface from y=0−toy=0+to obtain</t>
  </si>
  <si>
    <t>/SLrho0/lparenoriy=0−/rparenori≃0.</t>
  </si>
  <si>
    <t>is required that By=0s o/UPnablaB2is perpendicular to the magnetic field and the field</t>
  </si>
  <si>
    <t>/SLpartialdiffy=k2¯P1+1</t>
  </si>
  <si>
    <t>/UPnabla·/lparenoriF×G/rparenori=G·/UPnabla×F−F·/UPnabla×Gto obtain</t>
  </si>
  <si>
    <t>glass of water problem, it is assumed that the magnetofluid fills the containerbetweeny=0 andy=hand that there is a density gradient in the ydirection.</t>
  </si>
  <si>
    <t>This situation is more appropriate for a plasma, which would typically have acontinuous density gradient. It is assumed that rigid boundaries exist at both y=0</t>
  </si>
  <si>
    <t>andy=hso thatv</t>
  </si>
  <si>
    <t>1y=0 at bothy=0 andy=h. These boundary conditions</t>
  </si>
  <si>
    <t>mean that rippling is not allowed at y=0/commaorihbut could occur in the interior,</t>
  </si>
  <si>
    <t>1yand integrating from y=0t oy=hto obtain</t>
  </si>
  <si>
    <t>1y//SLpartialdiffy=0). Solving for /SLgamma2gives</t>
  </si>
  <si>
    <t>/SLgamma2=∫h</t>
  </si>
  <si>
    <t>0/lparenoriy/rparenori=0 at only a single value of y. The lack of any spatial</t>
  </si>
  <si>
    <t>respect to both xandzimplying that k=kxˆx+kzˆzis independent of position.</t>
  </si>
  <si>
    <t>E+U×B=0 (10.37)</t>
  </si>
  <si>
    <t>/SLpartialdifft+/UPnabla·/lparenori/SLrhoU/rparenori=0 (10.40)</t>
  </si>
  <si>
    <t>/SLpartialdifft+U·/UPnablaP+/SLgammaP/UPnabla·U=0/commaori (10.44)</t>
  </si>
  <si>
    <t>/SLpartialdifft+/UPnabla·/lparenoriPU/rparenori+/lparenori/SLgamma−1/rparenoriP/UPnabla·U=0/periodori (10.45)</t>
  </si>
  <si>
    <t>−/SLrhoU×/UPnabla×U=J×B−/UPnablaP (10.46)</t>
  </si>
  <si>
    <t>/UPnabla·/lparenoriE×B/rparenori=B·/UPnabla×E−E·/UPnabla×B</t>
  </si>
  <si>
    <t>/UPnabla×B=0/periodori (10.53)</t>
  </si>
  <si>
    <t>since on the wall ds ·E×B=0, where d sis a surface element of the wall. If</t>
  </si>
  <si>
    <t>/SLxi=∫t</t>
  </si>
  <si>
    <t>/SLdeltaT=∫</t>
  </si>
  <si>
    <t>/SLdeltaT+/SLdeltaW=0 (10.66)</t>
  </si>
  <si>
    <t>the positron stream velocity. Defining z=/SLomega//SLomegapeand/SLlambda=k·u0//SLomegape, Eq. (5.7)</t>
  </si>
  <si>
    <t>and setting dz/d/SLlambda=0 to find the maximum, gives</t>
  </si>
  <si>
    <t>d/SLlambda=2/SLlambda−4/SLlambda√</t>
  </si>
  <si>
    <t>minus sign selected, since this choice gives the potentially unstable root) givesthe maximum growth rate to be y=1/2, wherez=x+iy.</t>
  </si>
  <si>
    <t>/SLomega=i/SLomegape</t>
  </si>
  <si>
    <t>which can be recast in non-dimensional form by defining z=/SLomega//SLomegape/commaori/SLepsilon =me/mi/commaori</t>
  </si>
  <si>
    <t>and/SLlambda=k·u0//SLomegape, giving</t>
  </si>
  <si>
    <t>ymax=0 . 5</t>
  </si>
  <si>
    <t>2diverges atz=0, while the second term</t>
  </si>
  <si>
    <t>diverges atz=/SLlambda. Betweenz=0 andz=/SLlambda, the right-hand side of Eq. (5.18) has</t>
  </si>
  <si>
    <t>a minimum. If the value of the right-hand side at this minimum is below unity,as in Fig. 5.2(a), there will be two places between z=0 andz=/SLlambdawhere the</t>
  </si>
  <si>
    <t>1/rparenori/lparenoriz−z2/rparenori/lparenoriz−z3/rparenori/lparenoriz−z4/rparenori=0/commaori (5.19)</t>
  </si>
  <si>
    <t>e/lparenori/SLomega/commaorik/rparenori +/SLchii/lparenori/SLomega/commaorik/rparenori =0,where/SLchi/SLsigma/lparenori/SLomega/commaorik/rparenoriisthesusceptibilityofeachspecies</t>
  </si>
  <si>
    <t>0/lparenoriv/rparenori=n01</t>
  </si>
  <si>
    <t>/SLpartialdiffv=0 (5.25)</t>
  </si>
  <si>
    <t>/SLpartialdiffv=0/periodori (5.26)</t>
  </si>
  <si>
    <t>/SLpartialdiffv=0/commaori (5.27)</t>
  </si>
  <si>
    <t>n1=∫/infinity2</t>
  </si>
  <si>
    <t>/SLpartialdiffvdv=0/periodori (5.32)</t>
  </si>
  <si>
    <t>the non-dimensional particle velocity /SLxi=v/vT, and the non-dimensional phase</t>
  </si>
  <si>
    <t>1+/SLchi=0/commaori (5.34)</t>
  </si>
  <si>
    <t>˜/SLpsi/lparenorip/rparenori=∫</t>
  </si>
  <si>
    <t>starts att=0 rather thant=− /infinity2. Caution is required regarding the convergence</t>
  </si>
  <si>
    <t>g/lparenorit/rparenori=∫</t>
  </si>
  <si>
    <t>/SLdelta/lparenorit/rparenori=1</t>
  </si>
  <si>
    <t>g/lparenorit/rparenori=∫/infinity2</t>
  </si>
  <si>
    <t>/SLpsi/lparenorit/rparenori=1</t>
  </si>
  <si>
    <t>0dt/SLpsi/lparenorit/rparenorie−pt=p˜/SLpsi/lparenorip/rparenori−/SLpsi/lparenori0/rparenori/periodori(5.43)</t>
  </si>
  <si>
    <t>/SLsigma0/lparenoriv/rparenori=n/SLsigma0(m/SLsigma</t>
  </si>
  <si>
    <t>potential is a constant chosen to be zero. It is further assumed that at t=0 there</t>
  </si>
  <si>
    <t>/SLsigma/lparenorix/commaoriv/commaorit/rparenori=f/SLsigma0/lparenoriv/rparenori+f/SLsigma1/lparenorix/commaoriv/commaorit/rparenori/periodori (5.45)</t>
  </si>
  <si>
    <t>/SLpartialdiffv=0/periodori (5.46)</t>
  </si>
  <si>
    <t>/SLpartialdiffv=0/periodori (5.47)</t>
  </si>
  <si>
    <t>/SLpartialdiffv=0/commaori (5.48)</t>
  </si>
  <si>
    <t>˜f/SLsigma1/lparenoriv/commaorip/rparenori=1</t>
  </si>
  <si>
    <t>k2˜/SLphi1/lparenorip/rparenori=1</t>
  </si>
  <si>
    <t>˜/SLphi1/lparenorip/rparenori=N/lparenorip/rparenori</t>
  </si>
  <si>
    <t>N/lparenorip/rparenori=1</t>
  </si>
  <si>
    <t>D/lparenorip/rparenori=1−1</t>
  </si>
  <si>
    <t>/SLphi1/lparenorit/rparenori=1</t>
  </si>
  <si>
    <t>f/lparenorit/rparenori=e</t>
  </si>
  <si>
    <t>˜f/lparenorip/rparenori=∫/infinity2</t>
  </si>
  <si>
    <t>0e/lparenoriq−p/rparenoritdt=1</t>
  </si>
  <si>
    <t>this integralF/lparenorit/rparenori; evaluation of F/lparenorit/rparenoriought to yield F/lparenorit/rparenori=f/lparenorit/rparenori. Thus, we define</t>
  </si>
  <si>
    <t>F/lparenorit/rparenori=1</t>
  </si>
  <si>
    <t>the wave phase experienced by the particle is effectively assumed to be x=x0</t>
  </si>
  <si>
    <t>instead of the actual trajectory x=x/lparenorit/rparenori. Thus, the wave phase seen by the particle</t>
  </si>
  <si>
    <t>used here to denote the direction along the magnetic field. If the magnetic fieldis straight and given by B=Bˆz,/dblbarSCwould simply be the zdirection, but in a more</t>
  </si>
  <si>
    <t>n/SLsigma1=∫</t>
  </si>
  <si>
    <t>/SLpartialdiffv=q/SLsigma</t>
  </si>
  <si>
    <t>x/lparenorit/rparenori=x/commaoriv/lparenorit/rparenori=v/periodori (8.7)</t>
  </si>
  <si>
    <t>dt=v/commaoridv</t>
  </si>
  <si>
    <t>dt=q/SLsigma</t>
  </si>
  <si>
    <t>trajectory=q/SLsigma</t>
  </si>
  <si>
    <t>f/SLsigma1/lparenorix/commaoriv/commaorit/rparenori=q/SLsigma</t>
  </si>
  <si>
    <t>x=x/lparenorit′/rparenori/commaoriv=v/lparenorit′/rparenori/periodori(8.11)</t>
  </si>
  <si>
    <t>/SLsigma0/lparenoriv/rparenori=n/SLsigma0</t>
  </si>
  <si>
    <t>Iphase/lparenorix/commaorit/rparenori=∫t</t>
  </si>
  <si>
    <t>′/rparenori=v/dblbarSCˆB+v⊥cos[</t>
  </si>
  <si>
    <t>Equation (8.17) satisfies both the dynamics and the boundary condition v/lparenorit/rparenori=v</t>
  </si>
  <si>
    <t>′/rparenori=x+v/dblbarSC(</t>
  </si>
  <si>
    <t>which satisfies the related boundary condition x/lparenorit/rparenori=x.</t>
  </si>
  <si>
    <t>k·x/lparenorit′/rparenori=k·x+k/dblbarSCv/dblbarSC(</t>
  </si>
  <si>
    <t>Iphase/lparenorix/commaorit/rparenori=e−i/SLomegat∫t</t>
  </si>
  <si>
    <t>where/SLtau=t′−t. Certain Bessel function relations are now of use. The first of</t>
  </si>
  <si>
    <t>Jn/lparenoriz/rparenori=1</t>
  </si>
  <si>
    <t>eizsin/SLtheta=/infinity2∑</t>
  </si>
  <si>
    <t>Iphase/lparenorix/commaorit/rparenori=eik·x−i/SLomegat/infinity2∑</t>
  </si>
  <si>
    <t>n/lparenori/SLbetaz/rparenorie−/SLalpha2z2dz=1</t>
  </si>
  <si>
    <t>/DEUscript/lparenori/SLomega/commaorik/rparenori =1+∑</t>
  </si>
  <si>
    <t>n=−/infinity2In/lparenori/SLlambda/rparenori=e/SLlambda(8.30)</t>
  </si>
  <si>
    <t>zP=0/semicolonori (8.31)</t>
  </si>
  <si>
    <t>/lbracketori1+/SLalpha0/SLsigmaZ/lparenori/SLalphan/SLsigma/rparenori/rbracketori=0/periodori(8.32)</t>
  </si>
  <si>
    <t>UsingI−n/lparenoriz/rparenori=In/lparenoriz/rparenori, the summation over ncan be rearranged to give</t>
  </si>
  <si>
    <t>n=1In(</t>
  </si>
  <si>
    <t>1+/SLalpha0Z/lparenori/SLalpha0/rparenori=1+/SLalpha0{</t>
  </si>
  <si>
    <t>2+/SLalpha0/lbracketoriZ/lparenori/SLalphan/rparenori+Z/lparenori/SLalpha−n/rparenori/rbracketori=2+/SLalpha0[</t>
  </si>
  <si>
    <t>n=12n2/SLomega2</t>
  </si>
  <si>
    <t>/SLlambda/SLsigma=k2</t>
  </si>
  <si>
    <t>n=1n2/SLomega2</t>
  </si>
  <si>
    <t>pIn/lparenori/SLlambda/rparenori/commaoriforn=1/commaori2/commaori/periodori/periodori/periodori/commaori/infinity2/periodori (8.41)</t>
  </si>
  <si>
    <t>/SLlambda≪1In/lparenori/SLlambda/rparenori=1</t>
  </si>
  <si>
    <t>/SLlambda≫1In/lparenori/SLlambda/rparenori=1√</t>
  </si>
  <si>
    <t>Then=1 mode differs slightly from the n≥2 modes because the n=1 mode has</t>
  </si>
  <si>
    <t>cwhen/SLlambda=0, takes on a</t>
  </si>
  <si>
    <t>more involved, because the n=1 term is independent of /SLlambdato lowest order and so the</t>
  </si>
  <si>
    <t>n=1 term must always be retained when approximating Eq. (8.40). Let us suppose</t>
  </si>
  <si>
    <t>Then, keeping the left-hand side, the n=1 term, and the /lparenorin+1/rparenorith term, expansion of</t>
  </si>
  <si>
    <t>Excitation of Bernstein waves requires setting k/dblbarSC=0, which turns out to be</t>
  </si>
  <si>
    <t>up to fourth order must be retained. This means that both the n=1 and then=2</t>
  </si>
  <si>
    <t>Consider a particle moving in a one-dimensional space and let the position of theparticlebex=x/lparenorit/rparenoriandthevelocityoftheparticlebe v=v/lparenorit/rparenori.Awaytovisualize</t>
  </si>
  <si>
    <t>positive velocity, while those in the lower half-plane always move to the left.Particles having exact periodic motion (e.g., x=Acos/lbracketori/SLomegat/rbracketori,v=−/SLomegaAsin/lbracketori/SLomegat/rbracketori)</t>
  </si>
  <si>
    <t>/SLpartialdiffv/lparenoriaf/rparenori=0/periodori (2.2)</t>
  </si>
  <si>
    <t>/SLpartialdiffv·/lparenoriaf/rparenori=0/periodori (2.3)</t>
  </si>
  <si>
    <t>Because/lparenoriv×B/rparenorii=vjBk−vkBjis independent of vi, the term/SLpartialdiff/lparenoriv×B/rparenorii//SLpartialdiffvi</t>
  </si>
  <si>
    <t>/SLpartialdiffv=0/periodori (2.7)</t>
  </si>
  <si>
    <t>If we “sit on top of” a particle that has a phase-space trajectory x=x/lparenorit/rparenori/commaoriv=v/lparenorit/rparenori</t>
  </si>
  <si>
    <t>Because d x/dt=vand d v/dt=a, this observed rate of change is</t>
  </si>
  <si>
    <t>/SLpartialdiffv=0/periodori (2.8)</t>
  </si>
  <si>
    <t>f=f/lparenoriE/rparenoriis a solution to the Vlasov equation. On the other hand, if both the</t>
  </si>
  <si>
    <t>bution function with the functional dependence f=f/lparenoriE/commaorip/rparenoriis a solution to the</t>
  </si>
  <si>
    <t>Vlasov equation. Depending on the situation at hand, the energy and/or momen-tum may or may not be constant along an orbit and so whether or not f=f/lparenoriE/commaorip/rparenori</t>
  </si>
  <si>
    <t>so that a=0, in which case the particle trajectories are simply x/lparenorit/rparenori=x0+v0t/commaori</t>
  </si>
  <si>
    <t>v/lparenorit/rparenori=v0, where x0/commaoriv0are the initial position and velocity. Let us check to see</t>
  </si>
  <si>
    <t>f/lparenorix0/rparenori=f/lparenorix/lparenorit/rparenori−v0t/rparenoriwe observe that indeed f=f/lparenorix0/rparenoriis a solution, since</t>
  </si>
  <si>
    <t>/SLpartialdiffx=0/periodori (2.9)</t>
  </si>
  <si>
    <t>f/lparenorix/commaoriv/rparenoridv=n/lparenorix/rparenori/semicolonorithe transition from a phase-space description (i.e., x/commaorivare</t>
  </si>
  <si>
    <t>gives the mean velocity u/lparenorix/commaorit/rparenori =∫</t>
  </si>
  <si>
    <t>n/lparenorix/commaorit/rparenori=∫</t>
  </si>
  <si>
    <t>u/lparenorix/commaorit/rparenori=∫</t>
  </si>
  <si>
    <t>/SLpartialdiffv·/lparenoriaf/SLsigma/rparenori=∑</t>
  </si>
  <si>
    <t>dvC/SLsigma/SLalpha/lparenorif/SLsigma/rparenori=0/periodori (2.13)</t>
  </si>
  <si>
    <t>dvm/SLsigmavC/SLsigma/SLsigma/lparenorif/SLsigma/rparenori=0 (2.14)</t>
  </si>
  <si>
    <t>dvmevCei/lparenorife/rparenori=0/periodori (2.15)</t>
  </si>
  <si>
    <t>dvm/SLsigmav2C/SLsigma/SLsigma/lparenorif/SLsigma/rparenori=0 (2.16)</t>
  </si>
  <si>
    <t>dvmev2Cei/lparenorife/rparenori=0/periodori (2.17)</t>
  </si>
  <si>
    <t>voldx/UPnabla·Q=∫</t>
  </si>
  <si>
    <t>/SLpartialdifft+/UPnabla·/lparenorin/SLsigmau/SLsigma/rparenori=0/periodori (2.19)</t>
  </si>
  <si>
    <t>(ii) writing v=v′/lparenorix/commaorit/rparenori+u/lparenorix/commaorit/rparenori, where v′/lparenorix/commaorit/rparenoriis the randompart of a given velocity,</t>
  </si>
  <si>
    <t>of both xandtbutv′is not; also d v=dv′/rparenori/commaori</t>
  </si>
  <si>
    <t>species/SLalpha/periodoriNote that R/SLsigma/SLsigma=0, since a species cannot exert a net drag force on</t>
  </si>
  <si>
    <t>ei+Rie=0, showing that the plasma cannot exert a</t>
  </si>
  <si>
    <t>←→P/SLsigma=m/SLsigma∫</t>
  </si>
  <si>
    <t>P/SLsigma=m/SLsigma∫</t>
  </si>
  <si>
    <t>xf/SLsigmadv′=m/SLsigma∫</t>
  </si>
  <si>
    <t>yf/SLsigmadv′=m/SLsigma∫</t>
  </si>
  <si>
    <t>/SLsigma=m/SLsigma</t>
  </si>
  <si>
    <t>j=1v′2</t>
  </si>
  <si>
    <t>dt=n/SLsigmaq/SLsigma/lparenoriE+u/SLsigma×B/rparenori−/UPnablaP/SLsigma−R/SLsigma/SLalpha/commaori (2.27)</t>
  </si>
  <si>
    <t>⎪⎪⎪⎪⎪⎪⎭=∑</t>
  </si>
  <si>
    <t>2. Again using v=v′+u/SLsigmathe space derivative term becomes</t>
  </si>
  <si>
    <t>where Q/SLsigma=∫m/SLsigmav′2</t>
  </si>
  <si>
    <t>/SLpartialdiffv·/lbracketori/lparenoriE+v×B/rparenorif/SLsigma/rbracketoridNv=−q/SLsigma∫</t>
  </si>
  <si>
    <t>2C/SLsigma/SLalphaf/SLsigmadv=∫</t>
  </si>
  <si>
    <t>/SLgamma=N+2</t>
  </si>
  <si>
    <t>/SLsigma=constant in the frame of the moving plasma . (2.38)</t>
  </si>
  <si>
    <t>R=2⇐⇒(1,1)</t>
  </si>
  <si>
    <t>R=3⇐⇒(1,2),(2,1)</t>
  </si>
  <si>
    <t>R=4⇐⇒(1,3),(3,1),(2,2)</t>
  </si>
  <si>
    <t>R=5⇐⇒(1,4),(4,1),(2,3),(3,2)</t>
  </si>
  <si>
    <t>cos/lparenori/SLomega1t/rparenoricos/lparenori/SLomega2t/rparenori=cos/lbracketori/lparenori/SLomega1+/SLomega2/rparenorit/rbracketori+cos/lbracketori/lparenori/SLomega1−/SLomega2/rparenorit/rbracketori</t>
  </si>
  <si>
    <t>f/lparenorix/commaoriv/commaorit/rparenori =f</t>
  </si>
  <si>
    <t>/SLepsilonn, where/SLepsilon≪1. Att=0, the termsfn, wheren≥2, all vanish because the</t>
  </si>
  <si>
    <t>perturbation was prescribed to be f1att=0. Other variables such as the electric</t>
  </si>
  <si>
    <t>f0/lparenoriv/commaorit/rparenori=n0¯f0/lparenoriv/commaorit/rparenori (14.5)</t>
  </si>
  <si>
    <t>¯f0/lparenoriv/commaorit/rparenoridv=1/periodori (14.6)</t>
  </si>
  <si>
    <t>ε (k,t)ε (k,t)(a)t= 0</t>
  </si>
  <si>
    <t>plateau“colder”vresmin=ω / kmax</t>
  </si>
  <si>
    <t>vresmin=ω / kmax vresmax=ω / kmin</t>
  </si>
  <si>
    <t>vresmax=ω / kmin</t>
  </si>
  <si>
    <t>Fig. 14.1 (a) At t=0 the equilibrium distribution function f0/lparenoriv/rparenoriis</t>
  </si>
  <si>
    <t>/langleSCf1/lparenorix/commaoriv/commaorit/rparenori /rangleSC=1</t>
  </si>
  <si>
    <t>f0is assumed to be independent of position, /langleSCf0/rangleSC=f0. (In an alternate version</t>
  </si>
  <si>
    <t>/SLpartialdiffv/lparenorif0+f1+f2+/periodori/periodori/periodori/rparenori=0/semicolonori (14.8)</t>
  </si>
  <si>
    <t>/SLpartialdiffv=0/commaori (14.9)</t>
  </si>
  <si>
    <t>/SLpartialdiffv/lparenorif1+f2+/periodori/periodori/periodori/rparenori=0/periodori</t>
  </si>
  <si>
    <t>averages that vanish, i.e., /langleSCf1/rangleSC=0,/langleSCE1/rangleSC=0, etc. Also, since f0is independent</t>
  </si>
  <si>
    <t>of position, /langleSCE2f0/rangleSC=f0/langleSCE2/rangleSC=0, etc. Spatial averaging of Eq. (14.10) thus</t>
  </si>
  <si>
    <t>/SLpartialdifft=e</t>
  </si>
  <si>
    <t>1/lparenorix/commaorit/rparenori=1</t>
  </si>
  <si>
    <t>/langleSCE1f1/rangleSC=1</t>
  </si>
  <si>
    <t>/SLdelta/lparenorik/rparenori=1</t>
  </si>
  <si>
    <t>/DEUscript/lparenori/SLomega/lparenorik/rparenori/commaorik/rparenori =0. This gives the explicit time dependence of the modes,</t>
  </si>
  <si>
    <t>/SLpartialdiffv=0/commaori (14.18)</t>
  </si>
  <si>
    <t>˜f1/lparenorik/commaoriv/rparenori=ie</t>
  </si>
  <si>
    <t>/langleSCE1f1/rangleSC=i</t>
  </si>
  <si>
    <t>E1/lparenorix/commaorit/rparenori=1</t>
  </si>
  <si>
    <t>variablek′=−kand noting that∫/infinity2</t>
  </si>
  <si>
    <t>/SLomega/lparenori−k/rparenori+/SLomega/lparenorik/rparenori=2i/SLomegai/lparenorik/rparenori/commaori (14.29)</t>
  </si>
  <si>
    <t>/SLpartialdifft=i</t>
  </si>
  <si>
    <t>/SLpartialdifft=2i</t>
  </si>
  <si>
    <t>DQL=2ie2</t>
  </si>
  <si>
    <t>/SLomega/lparenorik/rparenori−kv=i/lbracketori/SLomegar/lparenorik/rparenori−kv/rbracketori+/SLomegai/lparenorik/rparenori</t>
  </si>
  <si>
    <t>DQL=e2</t>
  </si>
  <si>
    <t>/SLpartialdifft/EEUscript/lparenorik/commaorit/rparenori=2/SLomegai/lparenorik/rparenori/EEUscript/lparenorik/commaorit/rparenori/commaori (14.40)</t>
  </si>
  <si>
    <t>/SLomega−kv=0/periodori (14.43)</t>
  </si>
  <si>
    <t>Thus, given the instantaneous value of f0/lparenoriv/commaorit/rparenori=n0¯f0/lparenoriv/commaorit/rparenori/commaorithe complex</t>
  </si>
  <si>
    <t>dvf0=∫</t>
  </si>
  <si>
    <t>and so the quasi-linear diffusion equation conserves the density n=∫</t>
  </si>
  <si>
    <t>/SLpartialdifft/lparenorinmu/rparenori=m∫</t>
  </si>
  <si>
    <t>/SLpartialdifft/lparenorinmu/rparenori=−m∫</t>
  </si>
  <si>
    <t>/SLpartialdifft/lparenorinmu/rparenori=2i∫</t>
  </si>
  <si>
    <t>dk/EEUscript/lparenorik/commaorit/rparenorik =0/commaori (14.48)</t>
  </si>
  <si>
    <t>/SLpartialdifft=∫</t>
  </si>
  <si>
    <t>/SLpartialdifft=−∫</t>
  </si>
  <si>
    <t>the assumption that the waves are transverse (i.e., have i k·E=0) or equivalently</t>
  </si>
  <si>
    <t>˜E1/lparenorix/commaoriky/commaorikz/rparenori=0/commaori(7.6)</t>
  </si>
  <si>
    <t>˜E1/lparenorix/commaoriky/commaorikz/rparenori=0/commaori (7.7)</t>
  </si>
  <si>
    <t>wavenumber in the xdirection, i.e.,/SLkappa/lparenorix/rparenori=k</t>
  </si>
  <si>
    <t>S=0xcold plasma wavehot plasma</t>
  </si>
  <si>
    <t>than one dimension. In the general case of inhomogeneity in all three dimensions,the three components of the wavenumber will be functions of position, i.e.,k=k/lparenorix/rparenori. How is the functional dependence determined? The answer is to write</t>
  </si>
  <si>
    <t>D/lparenorik/commaorix/rparenori=0/periodori (7.11)</t>
  </si>
  <si>
    <t>D/lparenorik+/SLdeltak/commaorix+/SLdeltax/rparenori=0 (7.12)</t>
  </si>
  <si>
    <t>/SLpartialdiffx=0/periodori (7.13)</t>
  </si>
  <si>
    <t>both k=k/lparenoris/rparenoriandx=x/lparenoris/rparenori, it is seen that moving a distance /SLdeltascorresponds to</t>
  </si>
  <si>
    <t>/SLdeltas=0/periodori (7.14)</t>
  </si>
  <si>
    <t>D/lparenorik/commaorix/rparenori=∑</t>
  </si>
  <si>
    <t>ij/SLalphaijkikj+g/lparenori/SLomega/commaorin/lparenori x/rparenori/commaoriB/lparenorix/rparenori/rparenori=0/periodori (7.17)</t>
  </si>
  <si>
    <t>D/lparenorik/commaorix/rparenori=c</t>
  </si>
  <si>
    <t>c2PE/commaori/UPnabla×E=i/SLomegaB/commaori (7.19)</t>
  </si>
  <si>
    <t>P=1−/SLomega2</t>
  </si>
  <si>
    <t>B=Bt+Bzˆz/commaori E=Et+Ezˆz/commaori /UPnabla =/UPnablat+ˆz/SLpartialdiff</t>
  </si>
  <si>
    <t>ˆz·/UPnablat×Et=i/SLomegaBz/commaori (7.24)</t>
  </si>
  <si>
    <t>/SLpartialdiffz+/UPnablatEz×ˆz=i/SLomegaBt/periodori (7.26)</t>
  </si>
  <si>
    <t>Bt=(/SLomega2</t>
  </si>
  <si>
    <t>Et=(/SLomega2</t>
  </si>
  <si>
    <t>In the special situation where /UPnablatP×/UPnablatBz=/UPnablatP×/UPnablatEz=0, the first terms</t>
  </si>
  <si>
    <t>c2PEz=0/commaori (7.34)</t>
  </si>
  <si>
    <t>c2Bz=0/periodori (7.35)</t>
  </si>
  <si>
    <t>two distinct polarizations. These are (i) a mode where Bzis finite butEz=0 and</t>
  </si>
  <si>
    <t>cylindrical plasma of radius asurrounded by vacuum. Since Bz=0f o raT M</t>
  </si>
  <si>
    <t>c2PEz=0/periodori (7.38)</t>
  </si>
  <si>
    <t>p=k2−/SLomega2</t>
  </si>
  <si>
    <t>v=k2−/SLomega2</t>
  </si>
  <si>
    <t>Ezmust be finite at r=0, in which case only the I0/lparenori/SLkappapr/rparenorisolution is allowed in the</t>
  </si>
  <si>
    <t>plasma region (the K0solution diverges at r=0). Similarly, because Ezmust be finite</t>
  </si>
  <si>
    <t>Ez/lparenorir/rparenori=Ez/lparenoria/rparenoriI0/lparenori/SLkappapr/rparenori</t>
  </si>
  <si>
    <t>Ez/lparenorir/rparenori=Ez/lparenoria/rparenoriK0/lparenori/SLkappavr/rparenori</t>
  </si>
  <si>
    <t>r=a−=[(/SLomega2</t>
  </si>
  <si>
    <t>r=a+/periodori(7.43)</t>
  </si>
  <si>
    <t>I0/lparenori/SLkappapa/rparenori=(/SLomega2</t>
  </si>
  <si>
    <t>/SLxi≪1I0/lparenori/SLxi/rparenori=1+/SLxi2</t>
  </si>
  <si>
    <t>/SLomegape=ka√</t>
  </si>
  <si>
    <t>/SLxi≫1I0/lparenori/SLxi/rparenori=1√2/SLpi/SLxie/SLxi/commaorilim</t>
  </si>
  <si>
    <t>r=b. In this case the vacuum region solution consists of a linear combination of</t>
  </si>
  <si>
    <t>the wall, i.e., at r=b.</t>
  </si>
  <si>
    <t>/SLpartialdifft+/UPnabla·P=0/periodori (7.53)</t>
  </si>
  <si>
    <t>w/lparenorit/rparenori=w/lparenorit0/rparenori+∫t</t>
  </si>
  <si>
    <t>dt=qv·/lparenoriE+v×B/rparenori (7.57)</t>
  </si>
  <si>
    <t>dt/lparenorikinetic energy density /rparenori=∑</t>
  </si>
  <si>
    <t>ically meaningful variable is, of course, /SLpsi=Re[</t>
  </si>
  <si>
    <t>/SLpsi/lparenorit/rparenori=Re[</t>
  </si>
  <si>
    <t>and/SLchi/lparenorit/rparenori=Re[</t>
  </si>
  <si>
    <t>pe/2/SLpi=100MHz and the sine wave generator is tuned to a frequency well</t>
  </si>
  <si>
    <t>above the plasma frequency, say /SLomega/2/SLpi=500MHz, so as to cause the antenna to</t>
  </si>
  <si>
    <t>1/lparenorit/rparenori=A1/lparenorit/rparenoricos/lbracketori/SLomega1t+/SLdelta1/lparenorit/rparenori/rbracketori</t>
  </si>
  <si>
    <t>Q2/lparenorit/rparenori=A2/lparenorit/rparenoricos/lbracketori/SLomega2t+/SLdelta2/lparenorit/rparenori/rbracketori</t>
  </si>
  <si>
    <t>Q3/lparenorit/rparenori=A3/lparenorit/rparenoricos/lbracketori/SLomega3t+/SLdelta3/lparenorit/rparenori/rbracketori/commaori (15.4)</t>
  </si>
  <si>
    <t>PjdQj=m∮</t>
  </si>
  <si>
    <t>0sin2/SLpsijd/SLpsij=m</t>
  </si>
  <si>
    <t>Qj=Ajcos/SLpsij.Temporarilyomittingthe jsubscriptforclarity,thefirstderivative</t>
  </si>
  <si>
    <t>4msin/SLtheta=0</t>
  </si>
  <si>
    <t>/SLomegaj=m</t>
  </si>
  <si>
    <t>A1A2A3cos/SLtheta=const/periodori (15.27)</t>
  </si>
  <si>
    <t>energy conservation condition: ω 3=ω 1+ω 2</t>
  </si>
  <si>
    <t>d/SLtau=sin/SLthetadA2</t>
  </si>
  <si>
    <t>1/lparenorix/commaorit/rparenori=A1/lparenorit/rparenoricos/lparenorik1·x−/SLomega1t−/SLdelta1/lparenorit/rparenori/rparenori</t>
  </si>
  <si>
    <t>Q2/lparenorix/commaorit/rparenori=A2/lparenorit/rparenoricos/lparenorik2·x−/SLomega2t−/SLdelta2/lparenorit/rparenori/rparenori</t>
  </si>
  <si>
    <t>Q3/lparenorix/commaorit/rparenori=A3/lparenorit/rparenoricos/lparenorik3·x−/SLomega3t−/SLdelta3/lparenorit/rparenori/rparenori/semicolonori (15.34)</t>
  </si>
  <si>
    <t>Q/lparenorix/commaorit/rparenori=Q1/lparenorix/commaorit/rparenori+Q2/lparenorix/commaorit/rparenori+Q3/lparenorix/commaorit/rparenori/periodori (15.35)</t>
  </si>
  <si>
    <t>/SLpartialdifft=qe</t>
  </si>
  <si>
    <t>˜B=−/UPnabla×∫</t>
  </si>
  <si>
    <t>/UPnabla×˜B=/SLmu0∑</t>
  </si>
  <si>
    <t>/SLsigman0q/SLsigma˜u/SLsigma=−/SLmu0∑</t>
  </si>
  <si>
    <t>showing that ˜n/SLsigma/n/SLsigma=k·˜u/SLsigma//SLomega. The low-frequency wave typically has a smaller phase</t>
  </si>
  <si>
    <t>deand an ion acoustic wave /SLomega=kcs/√</t>
  </si>
  <si>
    <t>/SLpartialdifft=qi</t>
  </si>
  <si>
    <t>Because quasi-neutrality is assumed, ˜ni=˜ne=n, and so the time derivative of</t>
  </si>
  <si>
    <t>/SLpartialdifft=0/periodori (15.57)</t>
  </si>
  <si>
    <t>d2d/C01Cðd=2Þ: ð2Þ</t>
  </si>
  <si>
    <t>of interest (e.g., pressure as a function of temperature, P=f(T)) via methods such</t>
  </si>
  <si>
    <t>ˆyHF=yLF(x) +δ(x), (4.1)</t>
  </si>
  <si>
    <t>ˆyHF=ρ(x)·yLF(x), (4.2)</t>
  </si>
  <si>
    <t>ˆyHF=ρ(x)·yLF(x) +δ(x) (4.3)</t>
  </si>
  <si>
    <t>ˆyHF=w(x)·ρ(x)·yLF(x) + (1 −w(x))[yLF(x) +δ(x)], (4.4)</t>
  </si>
  <si>
    <t>xHF≈F(xLF) =ˆxHF. (4.5)</t>
  </si>
  <si>
    <t>ff u ut ut tϕϕ Φ= ⋅∫ (10)</t>
  </si>
  <si>
    <t>Lht kt ht kt t = ⋅∫ (11)</t>
  </si>
  <si>
    <t>fLuuϕϕ∇Φ = </t>
  </si>
  <si>
    <t>CDEhc kcht kt h k ttu tu  = − ⋅−    ∫</t>
  </si>
  <si>
    <t>() () 2 2,,CDEL CDE Luh uh∇ Φ =∇Φ (14)</t>
  </si>
  <si>
    <t>CDE f u ht htu uuϕ ϕϕϕ∇Φ⋅ = ⋅∫∫</t>
  </si>
  <si>
    <t>CDE f uuu uϕ ϕϕϕ−−  ∇Φ =      (16)</t>
  </si>
  <si>
    <t>cf uf s rsu u uu s∇Φ = − </t>
  </si>
  <si>
    <t>fc uf s rsu u uu sγ= −</t>
  </si>
  <si>
    <t>uδ, can then be written, for integers r, s, and t, with d rt=r, d st=s, and</t>
  </si>
  <si>
    <t>dtt=t as:</t>
  </si>
  <si>
    <t>uuuδ= −</t>
  </si>
  <si>
    <t>special case when the magnetic field is constant, ()() 0 bxt b= and the ODE is</t>
  </si>
  <si>
    <t>and an orthonormal coordinate system ()123,, e eee= defined by the magnetic</t>
  </si>
  <si>
    <t>() ()()()() ( )()ˆ ˆ0, 0i c cie t Mbx bx t e= (40)</t>
  </si>
  <si>
    <t>4πHghθ= +</t>
  </si>
  <si>
    <t>We describe the state of the system at time tusing a simulation mesh Mt= (V,EM)with nodes</t>
  </si>
  <si>
    <t>Encoder The encoder encodes the current mesh Mtinto a multigraph G= (V,EM,EW). Mesh</t>
  </si>
  <si>
    <t>space uij=ui−ujand its norm|uij|into the mesh edges eM</t>
  </si>
  <si>
    <t>a forward-Euler integrator with ∆t= 1to compute the next-step dynamical quantity qt+1</t>
  </si>
  <si>
    <t>i=pi+qt</t>
  </si>
  <si>
    <t>i=pi+ 2qt</t>
  </si>
  <si>
    <t>second order system, we additionally provide h= 1 steps of history, by including the velocity es-</t>
  </si>
  <si>
    <t>history (h=1 to estimate ˙xin cloth experiments, h=0 otherwise), with any extra history leading to</t>
  </si>
  <si>
    <t>i= 2, and ˜xt</t>
  </si>
  <si>
    <t>i= 2.1after adding noise. If the next position</t>
  </si>
  <si>
    <t>i= 3, the target velocity for the decoder ˙xi= 1 will be adjusted to ˜˙xi= 0.9, so that after</t>
  </si>
  <si>
    <t>i+˜˙xi= 3≡xt+1</t>
  </si>
  <si>
    <t>i= 1.4,xt</t>
  </si>
  <si>
    <t>i= 2,xt+1</t>
  </si>
  <si>
    <t>i= 3, which im-</t>
  </si>
  <si>
    <t>i= 0.6,˙xt+1</t>
  </si>
  <si>
    <t>i= 1, and ground truth acceleration ¨xi= 0.4. After adding 0.1 of noise the</t>
  </si>
  <si>
    <t>i= 2.1⇒˜˙xt</t>
  </si>
  <si>
    <t>i= 0.7. At this point, we could use a modiﬁed acceleration target of</t>
  </si>
  <si>
    <t>i= 0.2, so that after integration, the next velocity is ˜˙xt+1</t>
  </si>
  <si>
    <t>i+˜¨xP= 0.9, and the next position</t>
  </si>
  <si>
    <t>i= 3≡xt+1</t>
  </si>
  <si>
    <t>i= 0.9does not match the ground truth</t>
  </si>
  <si>
    <t>i= 1. Similarly, if we chose a modiﬁed target acceleration of ˜¨xV</t>
  </si>
  <si>
    <t>i= 0.3, the next step velocity</t>
  </si>
  <si>
    <t>i= 1would match the ground truth, correcting the noise in velocity, but the same would not be</t>
  </si>
  <si>
    <t>i= 3.1. Empirically, we treated how to correct the noise for cloth</t>
  </si>
  <si>
    <t>options: ˜¨xi=γ˜¨xP</t>
  </si>
  <si>
    <t>i. Best performance was achieved with γ= 0.1.</t>
  </si>
  <si>
    <t>averaged sizing tensor Sij=1</t>
  </si>
  <si>
    <t>∂tU+∇·F(U) = 0, (1)</t>
  </si>
  <si>
    <t>ptot=p+∥B∥2</t>
  </si>
  <si>
    <t>∇·B= 0. (2)</t>
  </si>
  <si>
    <t>∂t+∇·(u⊗B−B⊗u) = 0,</t>
  </si>
  <si>
    <t>∂t=∇·∂B</t>
  </si>
  <si>
    <t>∂t=∇·(∇·(B⊗u−u⊗B)) =∇·(∇×(u×B)) = 0,</t>
  </si>
  <si>
    <t>∇·B(x,t) =∇·B(x,0),∀t &gt;0,</t>
  </si>
  <si>
    <t>For the sake of presentation, we consider the two-dimension al case ( d= 2) of</t>
  </si>
  <si>
    <t>Uh(x,t) =k∑</t>
  </si>
  <si>
    <t>|α|=0U(α)</t>
  </si>
  <si>
    <t>|α|=0isapolynomialbasisand α= (α1,α2)isthemulti-indexvector</t>
  </si>
  <si>
    <t>with|α|=α1+α2. The total number of basis functions is ( k+1)(k+2)/2. The</t>
  </si>
  <si>
    <t>|α|=0are the degrees of freedom (DOF).</t>
  </si>
  <si>
    <t>Kdx= 0,|α| ≤k,(4)</t>
  </si>
  <si>
    <t>ˆF·n=1</t>
  </si>
  <si>
    <t>|α|=0which has the property</t>
  </si>
  <si>
    <t>Kdx=δij∫</t>
  </si>
  <si>
    <t>Kdx= 0,|α| ≤k.</t>
  </si>
  <si>
    <t>[y1,y2], an orthogonal polynomial basis of degree k= 2 is</t>
  </si>
  <si>
    <t>K=X, φ((0,1))</t>
  </si>
  <si>
    <t>K=X2−1</t>
  </si>
  <si>
    <t>K=XY, φ((0,2))</t>
  </si>
  <si>
    <t>K=Y2−1</t>
  </si>
  <si>
    <t>X=x−xK</t>
  </si>
  <si>
    <t>hx/2,Y=y−yK</t>
  </si>
  <si>
    <t>hy/2,hx=x2−x1,hy=y2−y1,xK=x1+x2</t>
  </si>
  <si>
    <t>2,yK=y1+y2</t>
  </si>
  <si>
    <t>dtUh=Tf(Uh), (5)</t>
  </si>
  <si>
    <t>∇·ψK(x) = 0,∀x∈K.</t>
  </si>
  <si>
    <t>Bh(x,t) =∑</t>
  </si>
  <si>
    <t>K= [x1,x2]×[y1,y2], a valid orthogonal divergence-free basis of degree k= 2 is</t>
  </si>
  <si>
    <t>KFB·∇ψdx= 0,∀ψ∈ΨK,(7)</t>
  </si>
  <si>
    <t>h·ψdx=∫</t>
  </si>
  <si>
    <t>rectangular element Kusing polynomial basis of degree k= 2, the divergence-free</t>
  </si>
  <si>
    <t>l=1B(l)</t>
  </si>
  <si>
    <t>K(Pmw−w)v dx= 0,∀v∈Pm(K).</t>
  </si>
  <si>
    <t>m=0, which should be small in smooth</t>
  </si>
  <si>
    <t>dtUh=Tf(Uh), (13a)</t>
  </si>
  <si>
    <t>dtUσ=−Σ(Uh)Uσ, (13b)</t>
  </si>
  <si>
    <t>Kdx=−k∑</t>
  </si>
  <si>
    <t>Uσ|ˆt=0=Uh,(14)</t>
  </si>
  <si>
    <t>of problem (14) with a pseudo-time step size τ, i.e., (FτUh)(x) =Uσ(x,τ). As</t>
  </si>
  <si>
    <t>|α|=0, the damping</t>
  </si>
  <si>
    <t>FτUh=U(0)</t>
  </si>
  <si>
    <t>j=1e−τ∑j</t>
  </si>
  <si>
    <t>|α|=jU(α)</t>
  </si>
  <si>
    <t>(15) that, the OE procedure does not aﬀect the cell-average UK=U(0)</t>
  </si>
  <si>
    <t>∂t+∇·(ρu)=0, (1)</t>
  </si>
  <si>
    <t>∂t+∇·(ρuu+ptotI−BB)=ρg, (2)</t>
  </si>
  <si>
    <t>∂t+∇·(eu+ptotu−BB·u)=ρg·u+∇·(κ·∇T)+∇·(B×ηJ)</t>
  </si>
  <si>
    <t>∂t+∇·(uB−Bu)=−∇× (ηJ). (4)</t>
  </si>
  <si>
    <t>is the current density deﬁned by J=∇×B, andηis the resis-</t>
  </si>
  <si>
    <t>∂t+∇·(ρuu)=ρg−∇· (pgas)+J×B. (5)</t>
  </si>
  <si>
    <t>ing the total pressure ptot=pgas+(B2/2)=pgas+pmag. The</t>
  </si>
  <si>
    <t>density is e=(ρv2)/2+pgas/(γ−1)+pmagwithγ=5/3.</t>
  </si>
  <si>
    <t>than a critical value vc=1000 uv, where uv=128 km s−1,eis</t>
  </si>
  <si>
    <t>the electron charge, and α=1×10−4. The resistivity produced</t>
  </si>
  <si>
    <t>scale height of hs=10 Mm.</t>
  </si>
  <si>
    <t>rent sheet through the domain about x=0. This Ohmic heatingterm,η|J|2, is used to model unresolved microscopic instabili-</t>
  </si>
  <si>
    <t>The points where these ﬁeld lines pass closest to the line x=0</t>
  </si>
  <si>
    <t>with an anomalous resistivity patch at a height of y=50 Mm over the polarity inversion line, which causes the ﬁeld to reconnect and release</t>
  </si>
  <si>
    <t>in Ruan et al. (2020; δ=4,Ec=20 keV , and θ=18◦, respec-</t>
  </si>
  <si>
    <t>because they are switched on at t=31.2 s in all of the simula-</t>
  </si>
  <si>
    <t>reconnection outﬂows approaching the lower atmosphere for the experiments with B0values of (a) 20 G at t=73 s, (b) 35 G at t=48 s, (c) 50 G</t>
  </si>
  <si>
    <t>att=50 s, and (d) 65 G at t=32 s. Overlays show the electron acceleration densities in green and the energy deposition regions in blue. We note</t>
  </si>
  <si>
    <t>ﬁeld strengths in the columns from left to right, each at the same time during the simulation ( t=80 s). The top row shows the plasma density</t>
  </si>
  <si>
    <t>65 G experiment at t=34 s in video form of the Fig. 9, available</t>
  </si>
  <si>
    <t>sphere can be seen for each model at t=80 s in Fig. 8. In the</t>
  </si>
  <si>
    <t>transmission lines. Time t= 0 is defined as when the</t>
  </si>
  <si>
    <t>is described in Section III B. Mach number M=vjet/cs,</t>
  </si>
  <si>
    <t>with cs= [γp/ρ ]1/2= [γ/m i(¯ZTe+Ti)]1/2, where adi-</t>
  </si>
  <si>
    <t>abatic index γ= 5/3 is assumed and miis the Argon</t>
  </si>
  <si>
    <t>Te=Ti≈1.5 and ¯Z≈1.0. With these values, esti-</t>
  </si>
  <si>
    <t>dt= ¯να\β</t>
  </si>
  <si>
    <t>ϵ= 1.8×10−19(mαmβ)1/2Z2</t>
  </si>
  <si>
    <t>With typical expected conditions of Te= 2.5 eV, ne=</t>
  </si>
  <si>
    <t>on the order of nanoseconds. Thus, Ti≈Te=Tand</t>
  </si>
  <si>
    <t>10 15 20 25 300.00.20.40.60.81.0Intensity [arb]Velocity = 47.1 kmpsGun_5</t>
  </si>
  <si>
    <t>Velocity = 50.0 kmpsGun_6</t>
  </si>
  <si>
    <t>0.00.20.40.60.81.0Intensity [arb]Velocity = 44.4 kmpsGun_7</t>
  </si>
  <si>
    <t>Velocity = 53.3 kmpsGun_8FIG. 9. Photodiode signals for several guns and the result-</t>
  </si>
  <si>
    <t>vm=vjsin(¯α) is greater for larger angles. The charac-</t>
  </si>
  <si>
    <t>Lii,s=X</t>
  </si>
  <si>
    <t>νii′,s= 9×10−8λii′¯Z2¯Z′21</t>
  </si>
  <si>
    <t>results to obtain ρ=mAr(ne¯Z). To estimate nefrom</t>
  </si>
  <si>
    <t>known half-lives, λ1/2=τln 2, whereτis the decay constant</t>
  </si>
  <si>
    <t>χ2=n∑(Ybg−Fbg)2</t>
  </si>
  <si>
    <t>bg=Ybgandσ2</t>
  </si>
  <si>
    <t>sig=Y, then the result of this</t>
  </si>
  <si>
    <t>uncertainty in C0:σC0=σA0(C0/A0).</t>
  </si>
  <si>
    <t>79BrC=φ/C 0σC/Cσfit/C 2σDi/Di2σDBe/DBeσCalBe/Cal Be</t>
  </si>
  <si>
    <t>89YC=φ/C 0σC/Cσfit/C 2σDi/Di2σDBe/DBeσCalBe/Cal Be</t>
  </si>
  <si>
    <t>to the Cartesian product (0 ,Ti]×Ωias theith problem domain . IfnS= 1, we drop the subscript notation</t>
  </si>
  <si>
    <t>xg(t,x,y,z ) =∂2g(t,x,y,z )/∂x2.</t>
  </si>
  <si>
    <t>As an example, let’s consider the case when M= 2 andnD= 3. Thus, we are interested in all partial</t>
  </si>
  <si>
    <t>derivatives of order ≤2 of a function of three variables, x,y, andz. In this case, NM= 9, and one possible</t>
  </si>
  <si>
    <t>ˆ∂0u=u, ˆ∂1u=Dxu, ˆ∂2u=D2</t>
  </si>
  <si>
    <t>xu, ˆ∂3u=Dyu, ˆ∂4u=D2</t>
  </si>
  <si>
    <t>ˆ∂5u=Dzu,ˆ∂6u=D2</t>
  </si>
  <si>
    <t>zu, ˆ∂7u=DxDyu,ˆ∂8u=DyDzu,ˆ∂9u=DxDzu.</t>
  </si>
  <si>
    <t>k=1ckfk(</t>
  </si>
  <si>
    <t>fk(ˆ∂0u,..., ˆ∂NMu) =NM∏</t>
  </si>
  <si>
    <t>j=1⊆(0,T]×Ω be a collection of data points</t>
  </si>
  <si>
    <t>j=1⊆(0,Ti]×Ωi.</t>
  </si>
  <si>
    <t>j=1as theith noise-free data set . Critically, we only assume knowledge of</t>
  </si>
  <si>
    <t>data set as the ratio of σito the standard deviation of the noise-free data set. Finally, if nS= 1, we write</t>
  </si>
  <si>
    <t>j=1, and the library, f0,...,f K, to learn</t>
  </si>
  <si>
    <t>PDE-FIND uses similar assumptions to the ones listed in section 2 but additionally assumes that nS= 1 (a</t>
  </si>
  <si>
    <t>ui: (0,Ti]×Ωi→RTheith system response function. If nS= 1, we denote u1=u.</t>
  </si>
  <si>
    <t>NData(i) Number of data points in the ith noisy-data set. If nS= 1, we write</t>
  </si>
  <si>
    <t>j=1The data points for the ith system response function.</t>
  </si>
  <si>
    <t>j=1 , to learn an approximation to each system response function, ui. Second, it uses the</t>
  </si>
  <si>
    <t>Loss (U1,...,U nS,ξ) =wDatanS∑</t>
  </si>
  <si>
    <t>i=1Loss Data(Ui) +wCollnS∑</t>
  </si>
  <si>
    <t>i=1Loss Coll(Ui,ξ) +wLpLoss Lp(ξ). (3)</t>
  </si>
  <si>
    <t>j=1⏐⏐⏐U(</t>
  </si>
  <si>
    <t>j=1⏐⏐⏐RPDE(</t>
  </si>
  <si>
    <t>Loss Lp(ξ) =K∑</t>
  </si>
  <si>
    <t>k=1akξ2</t>
  </si>
  <si>
    <t>k=1ξkfk(</t>
  </si>
  <si>
    <t>i=1⊆(0,Ti]×Ωiare the collocation points . We discuss these in</t>
  </si>
  <si>
    <t>i=1 at the data points. It is the mean square</t>
  </si>
  <si>
    <t>i=1. It is what couples the training of Uandξ. Finally, Loss Lp</t>
  </si>
  <si>
    <t>Loss Lp=K∑</t>
  </si>
  <si>
    <t>k=0|ξk|p≈∥ξ∥0.</t>
  </si>
  <si>
    <t>to zero and begins training. During this step, Uilearns an approximation to ui. SincewLp= 0, almost all</t>
  </si>
  <si>
    <t>i=1Theith set of collocation points. See equation 5.</t>
  </si>
  <si>
    <t>In every experiment in this section, we set p= 0.1 andNRandom Coll = 3,000 (see section 4.3). We did not</t>
  </si>
  <si>
    <t>these experiments, nS= 1. For this data set,</t>
  </si>
  <si>
    <t>u(0,x) =−sin(πx</t>
  </si>
  <si>
    <t>(NSparse ) withwLp= 0.0001, and a variable number of ﬁne-tuning epochs ( NFine−tune). Table 3 reports</t>
  </si>
  <si>
    <t>4,000 50% 1,000 1,000 2,000DtU= 0.0987(D2</t>
  </si>
  <si>
    <t>4,000 75% 1,000 1,000 1,000DtU= 0.1025(D2</t>
  </si>
  <si>
    <t>4,000 100% 1,000 1,000 400 DtU= 0.0824(D2</t>
  </si>
  <si>
    <t>2,000 50% 1,000 1,000 1,000DtU= 0.0850(D2</t>
  </si>
  <si>
    <t>2,000 75% 1,000 1,000 0 DtU= 0.0608(D2</t>
  </si>
  <si>
    <t>2,000 100% 1,000 1,000 750 DtU= 0.0582(D2</t>
  </si>
  <si>
    <t>1,000 25% 1,000 1,000 1,000DtU= 0.1003(D2</t>
  </si>
  <si>
    <t>1,000 50% 1,000 1,000 200 DtU= 0.0839(D2</t>
  </si>
  <si>
    <t>1,000 75%11,000 1,000 0 DtU= 0.0386(D2</t>
  </si>
  <si>
    <t>500 10% 1,000 1,000 1,000DtU= 0.1002(D2</t>
  </si>
  <si>
    <t>fξi,i=1,..., M</t>
  </si>
  <si>
    <t>Lemma, the scalar output of the model, denoted Y=M(ξ), is also a random variable. Under the</t>
  </si>
  <si>
    <t>Y≡M(ξ) =∑</t>
  </si>
  <si>
    <t>als, and α∈NMis a multi-index α= (α1,...,αM)that specifies the degree of the multivariate</t>
  </si>
  <si>
    <t>Ψα(ξ) =M</t>
  </si>
  <si>
    <t>i=1φ(i)</t>
  </si>
  <si>
    <t>βi(ωi)fξi(ωi)dωi=δαiβi, (3)</t>
  </si>
  <si>
    <t>cardAM,p=(M+p)!</t>
  </si>
  <si>
    <t>the set of coefficients y={yα,α∈A}as</t>
  </si>
  <si>
    <t>ˆy=argmin</t>
  </si>
  <si>
    <t>,i=1,..., N;j=0,..., Po</t>
  </si>
  <si>
    <t>andY=h</t>
  </si>
  <si>
    <t>of model evaluations is typically chosen as N=kP, where k∈[2,3]. For N&lt;P, the solution of Eq.</t>
  </si>
  <si>
    <t>XXX= (x1,x2,..., xn)∈DXXX⊂Rnandξ= (ξ1,ξ2,...,ξM)∈Dξ⊂RM. The input vector consists of</t>
  </si>
  <si>
    <t>deterministic output vector y=M(X)X)X), where XXX={XXX(i)}nt</t>
  </si>
  <si>
    <t>i=1,ntrepresents the number of</t>
  </si>
  <si>
    <t>Y(j)=M(j)(XXX,ξ(j)), for j=1 toN, where Nis the number of model evaluations corresponding</t>
  </si>
  <si>
    <t>≥0i=1,2,..., Nv,</t>
  </si>
  <si>
    <t>v= (XXX(i)</t>
  </si>
  <si>
    <t>as deterministic PDEs, we set N=1and drop the PCE dependency on ξ. In this context, nt</t>
  </si>
  <si>
    <t>parameter vector, f(x,t)is a source or sink term, tis time, x= (x1,x2,..., xn)is the spatial vector,</t>
  </si>
  <si>
    <t>B[u(xb,t)] = h(xb,t),xb∈∂D,t∈[0,T], (13)</t>
  </si>
  <si>
    <t>i=∂n[∑α∈AyαΨα(˜x,˜t)]</t>
  </si>
  <si>
    <t>Γ,i=1...n+1 with xn+1=t,</t>
  </si>
  <si>
    <t>case where N=1 andX(i)=XXX(i)=</t>
  </si>
  <si>
    <t>,i=1 tont, the problem is then formulated as,</t>
  </si>
  <si>
    <t>LPC2(˜y) =λTLT(˜y)+λBLB(˜y)+λILI(˜y)+λPLP(˜y) (19)</t>
  </si>
  <si>
    <t>Training Loss : LT=1</t>
  </si>
  <si>
    <t>PDE Loss : LPDE=1</t>
  </si>
  <si>
    <t>IC Loss : LIC=1</t>
  </si>
  <si>
    <t>BC Loss : LBC=1</t>
  </si>
  <si>
    <t>i=1λiD</t>
  </si>
  <si>
    <t>according to the variable types they are assigned to as α=</t>
  </si>
  <si>
    <t>Tαξ={αXXX:(αXXX,αξ)∈AX,αξ∈Aξ}, withTαξ×Aξ=AX. This is perhaps best illustrated</t>
  </si>
  <si>
    <t>YPC2(XXX,ξ) =∑</t>
  </si>
  <si>
    <t>we can express Ψα(XXX,ξ) =ΨαXXX(XXX)Ψαξ(ξ)and rewrite Eq. (22) as</t>
  </si>
  <si>
    <t>YPC2(XXX,ξ) = ∑</t>
  </si>
  <si>
    <t>YPC2(ξ|XXX) =∑</t>
  </si>
  <si>
    <t>E[YPC2(XXX)] = y(0)(XXX),V[YPC2(XXX)] = ∑</t>
  </si>
  <si>
    <t>1.InputX,Y, and basis vectors based on the PCE order pas{Ψαi(X),i=0,..., P−1}.</t>
  </si>
  <si>
    <t>Initialize the coefficiects as yα0,..., yαP−1=0and the corresponding predicted response</t>
  </si>
  <si>
    <t>vector YPC=0. Define the residual R=Y−YPC.</t>
  </si>
  <si>
    <t>2. Find the vector Ψαjthat is most correlated with Rand set the truncation set A(1)=</t>
  </si>
  <si>
    <t>same correlation with the current residual as Ψαjand set A(2)=</t>
  </si>
  <si>
    <t>αj,j=0,..., P−1</t>
  </si>
  <si>
    <t>by first initiating k=A(Pmin), where Pmindenotes the minimum number of basis functions and then</t>
  </si>
  <si>
    <t>dition, the characteristic thermal pressure is p0=ρ0c2,</t>
  </si>
  <si>
    <t>the characteristic resistivity is η0=t0/ε0, the charac-</t>
  </si>
  <si>
    <t>ally,ωce0=√</t>
  </si>
  <si>
    <t>∂t+∇(ρu) = 0 (1)</t>
  </si>
  <si>
    <t>∂t+∇·(ρuu+pI) =j×B (2)</t>
  </si>
  <si>
    <t>∂t+∇·([ǫi+pi]u) =</t>
  </si>
  <si>
    <t>∂t+˜∇·[(ǫe+pe)ue] =</t>
  </si>
  <si>
    <t>plasma frequency ωpe=√</t>
  </si>
  <si>
    <t>as a consequence of quasi-neutrality ( ∇·j= 0) and sev-</t>
  </si>
  <si>
    <t>∇·(jj) =1</t>
  </si>
  <si>
    <t>tric and magnetic ﬁelds vary sinusoidally, j=˜j(x)eiωLt,</t>
  </si>
  <si>
    <t>E=˜E(x)eiωLt, andB=˜B(x)eiωLt, and that the system</t>
  </si>
  <si>
    <t>laser is also described similarly with EL=˜EL(x)eiωLt,</t>
  </si>
  <si>
    <t>andBL=˜BL(x)eiωLt. We denote the complex conjugate</t>
  </si>
  <si>
    <t>2∇(ℜ(j)·ℜ(j)) =1</t>
  </si>
  <si>
    <t>˜E+u×˜B=1</t>
  </si>
  <si>
    <t>((ωpet0)2η−ωLi)˜j= (ωpet0)2˜EL (10)</t>
  </si>
  <si>
    <t>⟨∇·(jj)⟩=1</t>
  </si>
  <si>
    <t>Here we used a = ωpet0to visually simplify Eq. (11).</t>
  </si>
  <si>
    <t>mt0ωpe⟨˜E+u×˜B⟩=−1</t>
  </si>
  <si>
    <t>for the journey from x = λL/8 to 3λL/16 can be deﬁned.</t>
  </si>
  <si>
    <t>0vdv =∫3λL/16</t>
  </si>
  <si>
    <t>umax=E0eλL</t>
  </si>
  <si>
    <t>notgotothe minimum sinceactualu maxat x =λL/4will</t>
  </si>
  <si>
    <t>the +/- x-axis towards a low-density (N e/Ncrit= 0.05)</t>
  </si>
  <si>
    <t>form spatial proﬁle, B y= Bmaxcos(kLx+ωLt). Here,</t>
  </si>
  <si>
    <t>2Ilaser/(c2ǫ0), kL= 2π/λL, andωL= ckLwith</t>
  </si>
  <si>
    <t>λL= 527nm. The analytic solution for the electric and</t>
  </si>
  <si>
    <t>EL= 2E0sin(kLx)sin(ωLt)ˆ z</t>
  </si>
  <si>
    <t>BL= 2B0cos(kLx)cos(ωLt)ˆ y. (15)</t>
  </si>
  <si>
    <t>j=−2E0ǫ0ω2</t>
  </si>
  <si>
    <t>perature also peak at x = λL/4 as suggested earlier. This</t>
  </si>
  <si>
    <t>ions with m = m i, as this force is negligible compared to</t>
  </si>
  <si>
    <t>m = m e. Single ﬂuid XMHD model avoids the interme-</t>
  </si>
  <si>
    <t>electron-ﬂuid and replacing m = m e. The N ein the nu-</t>
  </si>
  <si>
    <t>ψ(m ij)·⃗ xij), lead to non-antisymmetric forces ( ⃗fij̸=−⃗fji) and violate the net force cancellation required</t>
  </si>
  <si>
    <t>fails to ensurem ij=m ji. Moreover, its orthonormal basis(⃗ a, ⃗b,⃗ c), defined as⃗ a ij= ˆxij,⃗bij= ˆxi×ˆxj,</t>
  </si>
  <si>
    <t>laws using permutation-invariant constructions (e.g., DeepSets[33]), ensuringm ij=m ji. However, both</t>
  </si>
  <si>
    <t>embeddings are invariant under node interchange, the decoded scalar coefficients also satisfyf 1,ij=f1,ji,</t>
  </si>
  <si>
    <t>f2,ij=f2,ji, andf 3,ij=f3,ji. Together with the antisymmetric flipping of the local basis vectors, this</t>
  </si>
  <si>
    <t>(4) Decoding InteractionsMessage Passing Step = Sub-Time SteppingFigure 2: Message Passing inDynami-CAL GraphNet.Decoded edge-wise internal force and torque</t>
  </si>
  <si>
    <t>Initial1 step= 10 frames2 step rollout=20 frames3 step rollout=30 framesTraining =1 Step(10 frames=1000 sim. steps)•test config {1,0,3} was not seen in training)(c) Visualization of Results ofDyn.CAL-GN on Config. 1,0,3</t>
  </si>
  <si>
    <t>steps (one step = 10 frames = 1,000 simulation steps), whereas GMN accumulates significant error</t>
  </si>
  <si>
    <t>Training= 1 Step (30 frames)Initial1 step2 step rollout=60 frames3 step rollout=90 frames(c) Visualization of Results ofDyn.CAL-GN Figure 8: Performance on the CMU Motion Capture benchmark (subject #35, walk).(a)Single-</t>
  </si>
  <si>
    <t>MSE=0.387MSE=0.639</t>
  </si>
  <si>
    <t>Training = 1 Step (15 frames)2 step rollout=30 frames3 step rollout=45 frames</t>
  </si>
  <si>
    <t>Ground Truth BackbonePredicted BackboneInitial1 step(c) Visualization of Results ofDyn.CAL-GN MSE=0.307Figure9: Proteinmoleculardynamics(AdKequilibrium).(a)Single-steppredictionerror:Dynami-</t>
  </si>
  <si>
    <t>The jets are modeled as fully-ionized hydrogen with an ideal EOS closure ( γ= 5/3). The</t>
  </si>
  <si>
    <t>walls from r= 0 to 1.5 cm and beyond 4.25 cm. The solid-wall regions of the domain</t>
  </si>
  <si>
    <t>value of 2,500 G at 1.5 cm, with a linear profile from r= 0 cm to 1.5 cm, a 1/r profile from</t>
  </si>
  <si>
    <t>the jet towards r= 0 during its propagation. Once the pinched jet material reaches the</t>
  </si>
  <si>
    <t>forces result in an average jet velocity (from t= 0 s to collision) of about 1.25 107cm s-1,</t>
  </si>
  <si>
    <t>forming from r= 0 tor= 25 cm and z=−15 toz= 15 cm. Charged particles are considered</t>
  </si>
  <si>
    <t>about the center of the domain from r= 0 tor= 25 cm and z=−15 toz= 15 cm.</t>
  </si>
  <si>
    <t>xenon plasma jets with density nXe= 4.13×1016cm−3were initialized with equal electron</t>
  </si>
  <si>
    <t>and ion temperatures Te=TXe= 1.5e V. The two jets counter-propagated with velocity vj,</t>
  </si>
  <si>
    <t>simulation. At high jet velocities (e.g., vj= 5×106cms−1), the merging of the two jets was</t>
  </si>
  <si>
    <t>domain). At low jet velocities (e.g., vj= 1.3×106cms−1), the merging of the two jets was</t>
  </si>
  <si>
    <t>j= 50 km/s</t>
  </si>
  <si>
    <t>j= 35 km/s</t>
  </si>
  <si>
    <t>j= 25 km/s</t>
  </si>
  <si>
    <t>j= 13 km/s0.00.51.0</t>
  </si>
  <si>
    <t>which is close to the liner jet size (5 cm) at vj= 2.7×106cms−1.</t>
  </si>
  <si>
    <t>and the pseudo-vacuum are modeled using an ideal gamma-law EOS, with γ= 5/3. Thermal</t>
  </si>
  <si>
    <t>ions and electrons, at Trad= 1.5e V. Simulations were conducted both with and without the</t>
  </si>
  <si>
    <t>In the collisional regime, observed at lower jet velocities ( vj= 1.3×106and 2.5×106</t>
  </si>
  <si>
    <t>and 5(b). A 5 cm singly-charged ( Z= 1 ) xenon liner propagated from right to left with</t>
  </si>
  <si>
    <t>velocity vx= 5×106cm s−1and collided with a 20-cm, stationary , fully-ionized hydrogen</t>
  </si>
  <si>
    <t>order as the Debye length of the fuel with temperature Tfuel= 50 e V, which consequently</t>
  </si>
  <si>
    <t>did not resolve the cold liner ( Tliner= 1.5e V). T o reduce the numerical heating of the liner,</t>
  </si>
  <si>
    <t>change in fuel thermal energy . At t= 0 , the majority of the energy was stored in the form of</t>
  </si>
  <si>
    <t>fuel (bottom row) at t= 0 (left column) and t= 3.7µs (right column). The color bars represents</t>
  </si>
  <si>
    <t>predicted peak compression to occur at about t= 4.5µs . The maximum temperature and</t>
  </si>
  <si>
    <t>the region x &gt;18 cm after t= 3.8µs to suppress a numerical instability observed in that</t>
  </si>
  <si>
    <t>region. Since the plasma density in that region is very low ( &lt;0.01nH,0) after t= 3.0µs ,</t>
  </si>
  <si>
    <t>m=2 perturbation, no matter the size of that perturba-</t>
  </si>
  <si>
    <t>k=0i lnR 0ψpk⋆!</t>
  </si>
  <si>
    <t>is the activation function,R 0(z) =h−1(2z/π)/i,h(z) =</t>
  </si>
  <si>
    <t>mother wavelet of scale 1/p k, andp=Ppk. This func-</t>
  </si>
  <si>
    <t>dQ/dτ=∂E(P)/∂P= constant). In other words,</t>
  </si>
  <si>
    <t>for an upstream Mach number M0=2.81, plasma beta β=2, and</t>
  </si>
  <si>
    <t>γ=5/3. The large β≫1 solution of Equation 8 is shown using the</t>
  </si>
  <si>
    <t>ˆn=sinσex−cosσezandˆt=cosσex+sinσezrespectively.</t>
  </si>
  <si>
    <t>ρun=ρ0un,0 (1)</t>
  </si>
  <si>
    <t>Bun+F=B0un,0 (2)</t>
  </si>
  <si>
    <t>2µ0=p0+ρ0u2</t>
  </si>
  <si>
    <t>ut=ut,0 (5)</t>
  </si>
  <si>
    <t>Here, F=−¯η∇nBandQ=−¯η∇n(B2/2µ0) =BF/µ0rep-</t>
  </si>
  <si>
    <t>to the upstream magnetic field B0·ˆn=0 [49, 51].</t>
  </si>
  <si>
    <t>for the magnetic field and the mass density ρ/ρ0=un,0/un=</t>
  </si>
  <si>
    <t>the shock, and β=2µ0p0/B2</t>
  </si>
  <si>
    <t>gential components as u0,n=u0sinσandu0,t=u0cosσ. Sim-</t>
  </si>
  <si>
    <t>ilarly, the post-shock velocity components are un=usin(σ−</t>
  </si>
  <si>
    <t>φ)andut=ucos(σ−φ). Then, the compression ratio r≡</t>
  </si>
  <si>
    <t>r=u0sinσ</t>
  </si>
  <si>
    <t>usin(σ−φ)=u0,ttanσ</t>
  </si>
  <si>
    <t>uttan(σ−φ)=tanσ(1+tanσtanφ)</t>
  </si>
  <si>
    <t>Here, we have used the jump condition ut=u0,tand</t>
  </si>
  <si>
    <t>tanφ=tanσ(r−1)</t>
  </si>
  <si>
    <t>Mach number M0,n=M0sinσ(normal to the shock), the</t>
  </si>
  <si>
    <t>deflection angle φfor an upstream Mach number M0=2.81,</t>
  </si>
  <si>
    <t>plasma beta β=2, and γ=5/3, calculated from the solutions</t>
  </si>
  <si>
    <t>tanφ=2cotσM2</t>
  </si>
  <si>
    <t>simulation, where a flow ( M0=2.81,β=2) with an out-of-</t>
  </si>
  <si>
    <t>plane magnetic field is deflected by φ=10◦by a conducting</t>
  </si>
  <si>
    <t>an angle of σ=37◦, which agrees with the theoretical predic-</t>
  </si>
  <si>
    <t>hibit equal compression ( r=1.47) across the shock front, con-</t>
  </si>
  <si>
    <t>tion 6. The pressure compression is R=1.96, again consistent</t>
  </si>
  <si>
    <t>dynamic ( β→∞) case, the simulated shock forms at σ=30◦,</t>
  </si>
  <si>
    <t>The density and pressure compression ratios are r=1.59 and</t>
  </si>
  <si>
    <t>R=2.22, which agree with the values expected from analyti-</t>
  </si>
  <si>
    <t>N≡ρ0/ρ=un/u0,n,b≡B/(u0,n√µ0ρ0),τ≡(p/ρ)/u2</t>
  </si>
  <si>
    <t>andf=F/(u2</t>
  </si>
  <si>
    <t>0,n√µ0ρ0). Furthermore, assuming γ=5/3, we</t>
  </si>
  <si>
    <t>f+bN=b0</t>
  </si>
  <si>
    <t>single equation for the inverse density jump N=r−1in terms</t>
  </si>
  <si>
    <t>asτ0= (γM2</t>
  </si>
  <si>
    <t>Forf=0, we recover the ideal MHD solution b=b0/N,</t>
  </si>
  <si>
    <t>This equation, after eliminating the N=1 solution, can be</t>
  </si>
  <si>
    <t>us to recover the hydrodynamic solution N= (1+5τ0)/4.</t>
  </si>
  <si>
    <t>Nhydro= (1+5τ0)/4.</t>
  </si>
  <si>
    <t>0(2−γ)−2b0f+γf2=0(M0=2.81,β=2,φ=10◦) reported previously, but with</t>
  </si>
  <si>
    <t>Reynolds number RM=u0L/¯η≈1. Here, resistive diffusion</t>
  </si>
  <si>
    <t>expected, the shock angle ( σ=30◦) and density and pres-</t>
  </si>
  <si>
    <t>sure jump ( r=1.59,R=2.22) immediately across the shock</t>
  </si>
  <si>
    <t>For a hydrodynamic fluid (with γ=5/3), assuming an</t>
  </si>
  <si>
    <t>sity jump of Nc= (1+τ0)/2−[1/4(1+τ0)2−τc]1/2[39,</t>
  </si>
  <si>
    <t>is equal to the pre-shock temperature Tc=T0, the system</t>
  </si>
  <si>
    <t>final state is r=R=τ−1</t>
  </si>
  <si>
    <t>ANI? DEC?XS = cross section DEC = direct energy conversion ST = spin transfer ANI = anisotropy BUF = burn-up fraction ? = unknownANI DEC?</t>
  </si>
  <si>
    <t>assumed a Quintet Suppression Factor = 1.5, plasma</t>
  </si>
  <si>
    <t>temperature T = 50 keV, and the normalizing power pf,0</t>
  </si>
  <si>
    <t>polarized D-3He plasma: PDP3He= 1.0 and the normalizing</t>
  </si>
  <si>
    <t>plasma with Quintet Suppression Factor = 1.0.</t>
  </si>
  <si>
    <t>polarization PDP3He. When PDP3He= 1, all of the deu-</t>
  </si>
  <si>
    <t>PDP3He= 0, there is zero net alignment. In Figure 2 (a),</t>
  </si>
  <si>
    <t>respond to more spin polarization: PDP3He= 0 is unpo-</t>
  </si>
  <si>
    <t>larized and PDP3He= 1 is fully polarized. Relative to an</t>
  </si>
  <si>
    <t>for three temperatures with PDP3He= 1.0 where pf,0cor-</t>
  </si>
  <si>
    <t>responds to the QSF=1 case. In the optimistic case that</t>
  </si>
  <si>
    <t>SPF increases the D-D cross section by 150% (QSF=2.5),</t>
  </si>
  <si>
    <t>nominal QSF =1 case, depending on the plasma temper-</t>
  </si>
  <si>
    <t>(1) D +3He−→α+ p ( ED3He= 18.4 MeV) (2)</t>
  </si>
  <si>
    <t>(2a) D + D −→3He + n ( EDD,n= 3.3 MeV) (3)</t>
  </si>
  <si>
    <t>(2b) D + D −→T + p ( EDD,p= 4.0 MeV) (4)</t>
  </si>
  <si>
    <t>(3) D + T −→α+ n ( EDT= 17.6 MeV) (5)</t>
  </si>
  <si>
    <t>σ= 1 +PDP3He</t>
  </si>
  <si>
    <t>oriented giving PD=P3He= 0. Here, PD, P3Heare the</t>
  </si>
  <si>
    <t>PD=D1−D−1andP3He=3He1/2−3He−1/2, and,</t>
  </si>
  <si>
    <t>spin state m, where m= 1,0,−1 for deuterium and m=</t>
  </si>
  <si>
    <t>1/2,−1/2 for helium-3, satisfyingPDm=P3Hem= 1.</t>
  </si>
  <si>
    <t>By choosing PDP3He= 1, the cross section is enhanced</t>
  </si>
  <si>
    <t>pf,D3He=nDn3He</t>
  </si>
  <si>
    <t>pf,D3He=f3He(1−f3He)n2</t>
  </si>
  <si>
    <t>when f3He= 1/2 for constant nF.</t>
  </si>
  <si>
    <t>ne= 2n3He+nD+ 2n4He+np, (10)</t>
  </si>
  <si>
    <t>ne=2n3He+nD</t>
  </si>
  <si>
    <t>pf,D3He=f3He</t>
  </si>
  <si>
    <t>fixed electron density for f3He= 1/3 with all other vari-</t>
  </si>
  <si>
    <t>⟨σv⟩=⟨σv⟩h</t>
  </si>
  <si>
    <t>⟨σv⟩DD,n=⟨σv⟩DD,n</t>
  </si>
  <si>
    <t>⟨σv⟩DD,p=⟨σv⟩DD,p</t>
  </si>
  <si>
    <t>⟨σv⟩DT=⟨σv⟩DT</t>
  </si>
  <si>
    <t>⟨σv⟩D3He=⟨σv⟩D3He</t>
  </si>
  <si>
    <t>Pf=nDn3He⟨σv⟩D3HeED3He| {z }</t>
  </si>
  <si>
    <t>T production=nDnT⟨σv⟩DT|{z }</t>
  </si>
  <si>
    <t>pf,DT=nDnT⟨σv⟩DTEDT=n2</t>
  </si>
  <si>
    <t>n3He,s=nD</t>
  </si>
  <si>
    <t>PD= 1 – this is why p∆= 1 for PD= 1, P3He= 0. In</t>
  </si>
  <si>
    <t>Figure 4(b), κDD,n=κDD,p= 0.5, which causes p∆to</t>
  </si>
  <si>
    <t>PD=P3He= 1, the fusion power is 86% higher than for</t>
  </si>
  <si>
    <t>⟨σv⟩D3He,s̸=⟨σv⟩D3He. (26)</t>
  </si>
  <si>
    <t>T= 2nT</t>
  </si>
  <si>
    <t>T=nDnT⟨σv⟩DT, (28)</t>
  </si>
  <si>
    <t>sumed TBE s= 1. Now we drop the assumption of steady</t>
  </si>
  <si>
    <t>state ( ˙ nT= 0) and / or no transport, and we assume that</t>
  </si>
  <si>
    <t>TBE s= 1−2nT</t>
  </si>
  <si>
    <t>PD0.000.250.500.751.00PHe31 +κDD,p= 0.00,1 +κDD,n= 0.00</t>
  </si>
  <si>
    <t>PD0.000.250.500.751.00PHe31 +κDD,p= 1.50,1 +κDD,n= 1.50</t>
  </si>
  <si>
    <t>𝜕𝑡+∇ ⋅(𝜌𝒗)=0, (1)</t>
  </si>
  <si>
    <t>𝜕𝑡(𝜌𝒗)+∇ ⋅(𝜌𝒗𝒗+𝑝tot𝐈−𝑩𝑩)=0, (2)</t>
  </si>
  <si>
    <t>𝜕𝑡(𝜌𝐸tot)+∇ ⋅[(𝜌𝐸tot+𝑝tot)𝒗−𝑩(𝒗⋅𝑩)]=−∇ ⋅𝒒+∇ ⋅[𝑩×(𝜂∇×𝑩)]+𝑄las, (3)</t>
  </si>
  <si>
    <t>𝜕𝑡+∇ ⋅(𝒗𝑩−𝑩𝒗)=−∇×(𝜂∇×𝑩). (4)</t>
  </si>
  <si>
    <t>𝐸tot=1</t>
  </si>
  <si>
    <t>𝜕𝑡(𝜌𝑒ele)+∇ ⋅(𝜌𝑒ele𝒗)+𝑝ele∇ ⋅𝒗=−∇ ⋅𝒒ele+𝜌𝑐𝑣,ele</t>
  </si>
  <si>
    <t>𝜕𝑡(𝜌𝑒ion)+∇ ⋅(𝜌𝑒ion𝒗)+𝑝ion∇ ⋅𝒗=−∇ ⋅𝒒ion+𝜌𝑐𝑣,ele</t>
  </si>
  <si>
    <t>𝜕𝑡(𝜌𝑒rad)+∇ ⋅(𝜌𝑒rad𝒗)+𝑝rad∇ ⋅𝒗=−∇ ⋅𝒒rad−𝑄abs+𝑄emis. (9)</t>
  </si>
  <si>
    <t>𝒒ele,ion=−𝐾ele,ion∇𝑇ele,ion. (10)</t>
  </si>
  <si>
    <t>collisions𝜈bohm=16𝜔ce. This is often used in MagLIF simulations in the literature [ 29]. For ion conductivity, we rely on</t>
  </si>
  <si>
    <t>𝜌𝑒rad)𝑝rad∇ ⋅𝒗=−∇ ⋅𝒒𝑔−𝑄abs,𝑔+𝑄emis,𝑔, (12)</t>
  </si>
  <si>
    <t>3𝜅𝑟,𝑔∇𝑢𝑔, 𝑄 abs,𝑔=𝑐𝜅𝑝,𝑔𝑢𝑔, 𝑄 emis,𝑔=4𝜅𝑝,𝑔𝜎𝑇4</t>
  </si>
  <si>
    <t>mm of axial length of the target with periodic boundary conditions and radially from r=0 to 6 mm. Periodic boundary</t>
  </si>
  <si>
    <t>mesh refinement to follow the density interfaces with a resolution of dx = dy = 3.125 𝜇mat the finest level. To supply</t>
  </si>
  <si>
    <t>Beryllium liners with an initial inner radius of 2.8875 mm and outer radius of 3.4688 mm (i.e., aspect ratio =6) were</t>
  </si>
  <si>
    <t>ion temperature 𝑇ion.𝑇0=293 K,𝑇min=273 Kis a temperature floor, 𝜆𝑟is the perturbation decay length, 𝑟o=3.47mm</t>
  </si>
  <si>
    <t>Figure 6: Radiograph of the multi-mode MRT structure at t=159.1 ns from [ 25] compared with FLASH simulations with</t>
  </si>
  <si>
    <t>of dx=3.90625 𝜇mand dy = 3.515625 𝜇mat the finest levels (slightly non-square zones due to the aspect ratio of the</t>
  </si>
  <si>
    <t>a single timestepΔ𝑡so that𝑡𝑛+1=𝑡𝑛+Δ𝑡. The complete update of the stateU𝑛|𝐷𝑛</t>
  </si>
  <si>
    <t>U(1)=U𝑛+Δ𝑡(𝜕𝑡U𝑛) (3)</t>
  </si>
  <si>
    <t>𝜙(1)=𝜙𝑛+Δ𝑡(𝜕𝑡𝜙(U𝑛)) (5)</t>
  </si>
  <si>
    <t>𝜕𝑡𝜌+∇·(𝜌v)=0 (7)</t>
  </si>
  <si>
    <t>𝜕𝑡(𝜌v) +∇·(𝜌vv−BB+𝑃 total)=0 (8)</t>
  </si>
  <si>
    <t>𝜕𝑡𝑒+∇·[(𝑒+𝑃 total)v−B(B·v)]=0 (9)</t>
  </si>
  <si>
    <t>𝜕𝑡B−∇×(v×B−𝜂J)=0,(10)</t>
  </si>
  <si>
    <t>ratio of specific heats,𝑃 mag=1</t>
  </si>
  <si>
    <t>resistivity expressed here as a diffusivity, andJ=∇×Bthe current density. Note these equations are in the conventional MHD</t>
  </si>
  <si>
    <t>𝜕𝑡U𝑖,𝑗=Δ𝑦</t>
  </si>
  <si>
    <t>(∇×E)·𝑑s=−1</t>
  </si>
  <si>
    <t>Δ𝑡res=1</t>
  </si>
  <si>
    <t>Δ𝑡ideal=CFL</t>
  </si>
  <si>
    <t>where𝑛=2 is the number of dimensions andλ 𝑥andλ𝑦are the eigenvalues of the ideal MHD system in the𝑥- and𝑦-directions.</t>
  </si>
  <si>
    <t>𝑖′=floor(𝑥′/Δ𝑥)+1,(26)</t>
  </si>
  <si>
    <t>𝑗′=floor(𝑦′/Δ𝑦)+1,(27)</t>
  </si>
  <si>
    <t>𝑖=nint(𝑥′/Δ𝑥),(28)</t>
  </si>
  <si>
    <t>𝑗=nint(𝑦′/Δ𝑦).(29)</t>
  </si>
  <si>
    <t>𝑞∗=𝑤 11𝑞𝑖,𝑗+𝑤 21𝑞𝑖+1,𝑗+𝑤 12𝑞𝑖,𝑗+1+𝑤 22𝑞𝑖+1,𝑗+1+O(Δ𝑥2)+O(Δ𝑦2),(32)</t>
  </si>
  <si>
    <t>𝑅−Δ𝑅=v(r b)·t</t>
  </si>
  <si>
    <t>U(r)=(𝑅+Δ𝑅)</t>
  </si>
  <si>
    <t>of the interface. For unmagnetized flows, we solve equations (7–9) for each material separately withB=0 using the base method</t>
  </si>
  <si>
    <t>induction equation is∇×E=∇×(−v×B). This can be accomplished by setting, for the velocity, a Dirichlet conditionv=v b</t>
  </si>
  <si>
    <t>separate Dirichlet boundary conditions:B·t=0 for the boundary-tangential component andB·n=𝐵 𝑛for the boundary-normal</t>
  </si>
  <si>
    <t>J=∇×B=−𝜕𝐵𝑧</t>
  </si>
  <si>
    <t>mesh face B-fields by taking the discrete curl ofE, and thus exploiting∇·(∇×E)=0 in-keeping with our underlying constrained</t>
  </si>
  <si>
    <t>𝜕𝑡B−∇×(v×B−𝜂J)=0,(43)</t>
  </si>
  <si>
    <t>∇×𝜂J=∇×(𝜂∇×B). We note again that the current density is an edge-centered variable that is computed discretely on the</t>
  </si>
  <si>
    <t>uniform Cartesian mesh as in (18–20). The ohmic electric field, and henceJ(=∇×B), is needed for a narrow band of ghost edges</t>
  </si>
  <si>
    <t>𝑗=nint(𝑦′/Δ𝑦),(45)</t>
  </si>
  <si>
    <t>cell type=(</t>
  </si>
  <si>
    <t>various quantities into components tangential and normal to the interface, is calculated as ˆn=∇𝜙/|∇𝜙|. This is computed in all</t>
  </si>
  <si>
    <t>𝜕𝑡𝜙+∇·(v𝜙)=𝜙(∇·v).(52)</t>
  </si>
  <si>
    <t>𝜕𝜏𝜙=𝑆(𝜙 0)(1−|∇𝜙|),(57)</t>
  </si>
  <si>
    <t>𝐻(𝜙,Δ𝑥)=max</t>
  </si>
  <si>
    <t>The Godunov 2D rule for the Eikonal Hamiltonian (𝐻(∇𝜙)=|∇𝜙|) gives two gradient magnitudes, one for the case where the</t>
  </si>
  <si>
    <t>|∇+𝜙|=1</t>
  </si>
  <si>
    <t>|∇−𝜙|=1</t>
  </si>
  <si>
    <t>algorithm described in Section 2.1 with a pseudo-time step ofΔ𝑡=0.25Δ𝑥. We found that it is not practically necessary to integrate</t>
  </si>
  <si>
    <t>r/ cm□6□4□202vr/ 10□9cm s□1∆x= 1.20×10□1cm</t>
  </si>
  <si>
    <t>∆x= 5.45×10□2cm</t>
  </si>
  <si>
    <t>∆x= 2.86×10□2cm</t>
  </si>
  <si>
    <t>∆x= 1.46×10□2cm</t>
  </si>
  <si>
    <t>∆x= 7.41×10□3cm</t>
  </si>
  <si>
    <t>4π) / 10□9G∆x= 1.20×10□1cm</t>
  </si>
  <si>
    <t>∆x= 6.67×10□2cm</t>
  </si>
  <si>
    <t>∆x= 3.53×10□2cm</t>
  </si>
  <si>
    <t>∆x= 1.82×10□2cm</t>
  </si>
  <si>
    <t>∆x= 9.23×10□3cm</t>
  </si>
  <si>
    <t>∆x= 1.88×10□1cm</t>
  </si>
  <si>
    <t>agreement with direct numerical simulations. Successful extension to them= 0 interchange insta-</t>
  </si>
  <si>
    <t>Finally, we apply the method to them= 0 (mbeing</t>
  </si>
  <si>
    <t>state as one that minimizes the energyW=R</t>
  </si>
  <si>
    <t>able energyA=W 0−W gprovides a nonlinear bound on</t>
  </si>
  <si>
    <t>[s= ln(p/ργ) in an ideal gas, wherepis the pressure and</t>
  </si>
  <si>
    <t>ρ0g+ dp 0/dx0= 0.(3)</t>
  </si>
  <si>
    <t>tained so thatρ 1=ρ 0,p1=p 0. To achieve stability,</t>
  </si>
  <si>
    <t>ρg[xg(x1)] =ρ 1/J, p g[xg(x1)] =p 1/Jγ,(5)</t>
  </si>
  <si>
    <t>ity of the specific entropy, ds g/dxg=J−1ds1/dx1&gt;0.</t>
  </si>
  <si>
    <t>geometry. It is an axisymmetric (m= 0) interchange</t>
  </si>
  <si>
    <t>netic fieldB=B ˆθin cylindrical geometry (r, θ, z). The</t>
  </si>
  <si>
    <t>dr&gt;0, σ= lnrp1/γ</t>
  </si>
  <si>
    <t>1=p0/rγ</t>
  </si>
  <si>
    <t>potential energyW=R</t>
  </si>
  <si>
    <t>r1J= 0,(12)</t>
  </si>
  <si>
    <t>whereJ= (r g/r1)(drg/dr1) now includes metric factors.</t>
  </si>
  <si>
    <t>Bg[rg(r1)] =r gB1/r1J, p g[rg(r1)] =p 1/Jγ.(13)</t>
  </si>
  <si>
    <t>C=C 0UmatUTRLULR,(1)</t>
  </si>
  <si>
    <t>m=ρV,(2)</t>
  </si>
  <si>
    <t>Cmat=m c unit,(3)</t>
  </si>
  <si>
    <t>LR = 1−2b.(6)</t>
  </si>
  <si>
    <t>lnC= lnC 1+blnN,(7)</t>
  </si>
  <si>
    <t>Y=aXb,(8)</t>
  </si>
  <si>
    <t>LR= 1−2b,(9)</t>
  </si>
  <si>
    <t>C=C 0UmatUTRLULR,(10)</t>
  </si>
  <si>
    <t>constants of 𝐾Al= (5.63±0.08)×10−4counts ⋅cm2∕n</t>
  </si>
  <si>
    <t>and𝐾N= (4.78±0.07)×10−3counts ⋅cm2∕n (Figure 4).</t>
  </si>
  <si>
    <t>threshold = 22.9 mV</t>
  </si>
  <si>
    <t>threshold = 61.0 mV</t>
  </si>
  <si>
    <t>threshold = 122.1 mV</t>
  </si>
  <si>
    <t>threshold = 244.2 mV</t>
  </si>
  <si>
    <t>current time steptn=n∆t, with ∆tthe time step.</t>
  </si>
  <si>
    <t>RSG(t) =ξρ</t>
  </si>
  <si>
    <t>Time [µs]101103105107109Resistance [mΩ] β=10−6 β=10−8 β=10−10</t>
  </si>
  <si>
    <t>N=1 N=4 N=16 Rf;Lf</t>
  </si>
  <si>
    <t>C= 4µF,R f= 30 mΩ,L f= 100 nH, charged atU 0= 50 kV, with an inter electrode gapd= 4 cm). Where the line style</t>
  </si>
  <si>
    <t>indicates the value ofβ, dotted forβ= 10−10, dashed-dotted forβ= 10−8and dashed forβ= 10−6, while the line color</t>
  </si>
  <si>
    <t>denotes the number of channels, blue forN= 1, purple forN= 4 and red forN= 16.</t>
  </si>
  <si>
    <t>∂r= 0,(11)</t>
  </si>
  <si>
    <t>∂r= 0,(12)</t>
  </si>
  <si>
    <t>∂r= 0.(13)</t>
  </si>
  <si>
    <t>ρ(t) =m0</t>
  </si>
  <si>
    <t>Was :∆Ei=E dep−W−∆E k</t>
  </si>
  <si>
    <t>Ri(t) =ρil2</t>
  </si>
  <si>
    <t>berMa¼juj=c</t>
  </si>
  <si>
    <t>where gis the magnetic resistivity, and aH¼LH=L0</t>
  </si>
  <si>
    <t>ll¼l=lunit vector, and of the ensemble or the volume average h…i</t>
  </si>
  <si>
    <t>l=dp. Black lines correspond to RUN I,</t>
  </si>
  <si>
    <t>FIG. 9. Flatness FofdjLETjat a given scale l=dp. Black lines correspond to RUN</t>
  </si>
  <si>
    <t>g = Vi - v (2.1)</t>
  </si>
  <si>
    <t>cQ = (mv + m x Vi)/(m + nu) (2.3)</t>
  </si>
  <si>
    <t>v = cQ - (μ/m) g (2.5)</t>
  </si>
  <si>
    <t>Vi = c Q + (y/nu) g</t>
  </si>
  <si>
    <t>y = m mi/(m + mi)</t>
  </si>
  <si>
    <t>vi = c¿ + (y/nu) g' (2.6)</t>
  </si>
  <si>
    <t>m v + mi Vi = mv1 + mx Vi' (2.10)</t>
  </si>
  <si>
    <t>Now, since t = c', we conclude that</t>
  </si>
  <si>
    <t>g=g' (2.16)</t>
  </si>
  <si>
    <t>gx = gy = o (2.17)</t>
  </si>
  <si>
    <t>gz = g = g' (2.18)</t>
  </si>
  <si>
    <t>g; = g sin (χ) cos (ε) (2.19)</t>
  </si>
  <si>
    <t>g¿ = g sin (χ) sin (ε) (2.20)</t>
  </si>
  <si>
    <t>Cartesian coordinate system for which g = g z. The angle ε defines</t>
  </si>
  <si>
    <t>For a central force the torque N = r x F(r) vanishes, because F(r) is</t>
  </si>
  <si>
    <t>N = dt/dt (3.3)</t>
  </si>
  <si>
    <t>Furthermore, since L = r x p, we see that r is always normal to the constant</t>
  </si>
  <si>
    <t>df _ dr F + r JL = Jt_? +r JLJi. (3.4)</t>
  </si>
  <si>
    <t>dr/dt = (dr/dt) r + r(de/dt) Θ (3.5)</t>
  </si>
  <si>
    <t>r = f f+rèê (3.6)</t>
  </si>
  <si>
    <t>K = y r . r/2 = y (r2 + r2 θ2)/2 (3.7)</t>
  </si>
  <si>
    <t>L = r x (yr) = yr2 θ (r x §) (3.9)</t>
  </si>
  <si>
    <t>dr/dt = (dr/de) (do/dt) (3.11)</t>
  </si>
  <si>
    <t>that dr/de = 0 when r = r . Thus, we have</t>
  </si>
  <si>
    <t>rm = b [1 - 2U(rm)/yg2]-l/2 (3.15)</t>
  </si>
  <si>
    <t>X = ir - 2Θιτ (3.16)</t>
  </si>
  <si>
    <t>x (b, g) = π - 2 1 -b2 2U(r)</t>
  </si>
  <si>
    <t>For b &gt; R x + R2 there is no interaction and we must have r = b, whereas for</t>
  </si>
  <si>
    <t>b &lt; Rx + R2 the particles collide and we have rm = Rx + R2. In either case,</t>
  </si>
  <si>
    <t>y = b/r and write Eq. (4.2) in the form</t>
  </si>
  <si>
    <t>x = π - 2 sin"1 (b/r m) (4</t>
  </si>
  <si>
    <t>x = (■ 2 sin"1 [b/CRx + R2)] for b « R x + R2</t>
  </si>
  <si>
    <t>x (b, g) = π - 2 (1 b2 2 q qi -1/2</t>
  </si>
  <si>
    <t>rm = b2/[-bo + (bc- + b2)l/2] (4.8)</t>
  </si>
  <si>
    <t>bQ = q ςι/(4πε ο yg2 ) (4.9)</t>
  </si>
  <si>
    <t>change of variable y = 1/r and inserting the value for b , given by (4.9),</t>
  </si>
  <si>
    <t>(a + ex + γχ2) dx = sin</t>
  </si>
  <si>
    <t>where, in our case, a = 1, e = - 2b , and γ = -b2. Applying the limits of</t>
  </si>
  <si>
    <t>Note that for χ = π/2 we have b b , that is, bQ is the value of the impact</t>
  </si>
  <si>
    <t>deflection angle of 90°. It is also noted, from (4.13h that χ = π for b = 0,</t>
  </si>
  <si>
    <t>b=lb0l</t>
  </si>
  <si>
    <t>uniformly spread out in space, incident with velocity g = Vi - v upon the</t>
  </si>
  <si>
    <t>dN/dt = σ(χ,ε) Γ dn (5.1)</t>
  </si>
  <si>
    <t>/C2AR=lðÞ ; (1)</t>
  </si>
  <si>
    <t>1þ0:18R=lðÞ0:85(15)</t>
  </si>
  <si>
    <t>Ii¼AR=lðÞ/C24peN0R2ﬃﬃﬃﬃﬃﬃ</t>
  </si>
  <si>
    <t>1þ0:48R=lðÞ0:65(22)</t>
  </si>
  <si>
    <t>/C0eVplasma =T¼0:61þ0:534 ln R=lðÞ : (23)</t>
  </si>
  <si>
    <t>1þTe=Ti/C20/C211=2</t>
  </si>
  <si>
    <t>1þTe=Ti"#1=2</t>
  </si>
  <si>
    <t>1þTe=Ti"#1=28</t>
  </si>
  <si>
    <t>R=l/C201. Therefore, one can writeA¼A0R</t>
  </si>
  <si>
    <t>3ð1þTe=TiÞlﬃﬃﬃﬃﬃﬃﬃﬃﬃﬃﬃﬃﬃ ﬃ</t>
  </si>
  <si>
    <t>2Ti=Mp</t>
  </si>
  <si>
    <t>2Te=Mp ¼1</t>
  </si>
  <si>
    <t>31þTe=Ti ðÞ lﬃﬃﬃﬃﬃﬃﬃﬃﬃﬃﬃﬃﬃ ﬃ</t>
  </si>
  <si>
    <t>2Te=Mp</t>
  </si>
  <si>
    <t>Ii¼AcR=lðÞ/C22peN0RLﬃﬃﬃﬃﬃﬃ</t>
  </si>
  <si>
    <t>1þ0:48R=lðÞ0:65:</t>
  </si>
  <si>
    <t>Ii¼AsR=lðÞ /C2 4peN0R2ﬃﬃﬃﬃﬃﬃ</t>
  </si>
  <si>
    <t>1þ0:18R=lðÞ0:85:</t>
  </si>
  <si>
    <t>𝑑t=g(u)=gexc(u)+g𝑑e−exc(u)+gion(u)+grec(u)+gFP(u). (4)</t>
  </si>
  <si>
    <t>𝑑t=g(u). (5)</t>
  </si>
  <si>
    <t>f(v)=k=K∑</t>
  </si>
  <si>
    <t>k=0fk𝛿k(v). (7)</t>
  </si>
  <si>
    <t>gNn−= Nn∫vfk0𝛿k0(v)v𝜎exc(v,n)𝑑v, (8)</t>
  </si>
  <si>
    <t>∫vgexc,k0𝛿k0(v)𝑑v−= Nn∫vfk0𝛿k0(v)v𝜎exc(v,n)𝑑v. (9)</t>
  </si>
  <si>
    <t>gNm+= Nn∫vfk0𝛿k0(v)v𝜎exc(v,n)𝑑v. (10)</t>
  </si>
  <si>
    <t>∫vgexc,̃k1𝛿̃k1(v′)𝑑v′+= Nn∫vfk0𝛿k0(v)v𝜎exc(v,n)𝑑v. (11)</t>
  </si>
  <si>
    <t>∫vgexc,̃k1𝛿̃k1(v′)𝑑v′=∫v′gexc,k1a𝛿k1a(v′)𝑑v′+∫v′gexc,k1b𝛿k1b(v′)𝑑v′</t>
  </si>
  <si>
    <t>2meg∫v′(v′)2gexc,̃k1𝛿̃k1(v′)𝑑v′=1</t>
  </si>
  <si>
    <t>Nn−= Nn∫v∫v′fk0𝛿k0(v)v𝛿k1(v′)𝜎ion(v,v′,n)𝑑v𝑑v′. (14)</t>
  </si>
  <si>
    <t>N+−= N+∫v′∫v′′fk1𝛿k1(v′)v′fk2𝛿k2(v′′)v′′𝜎rec(v′,v′′,n)𝑑v′𝑑v′′. (15)</t>
  </si>
  <si>
    <t>G(u)=u∗+𝑑tg(u)−u=0.(17)</t>
  </si>
  <si>
    <t>NL=L1◦ReLu◦L2◦ReLu···. (21)</t>
  </si>
  <si>
    <t>uj+1,i=uj,i−(̃DNLR𝑑j,i)−1G(uj,i). (26)</t>
  </si>
  <si>
    <t>ReLu(fk,j+1,i)−fkiifk=r,</t>
  </si>
  <si>
    <t>FIGURE 1 The ODE being solved here is 𝑑x∕𝑑t=g(x)=x(x+1)(x−3),x(0)=1.74,𝑑t=1. On the first time step,</t>
  </si>
  <si>
    <t>1o r−1∶q=Q∑</t>
  </si>
  <si>
    <t>q=1P[k,r],s(q)=r−k}</t>
  </si>
  <si>
    <t>NLR(k,r)i)−1=s=S∑</t>
  </si>
  <si>
    <t>s=1𝜑(P[k,r],s). (34)</t>
  </si>
  <si>
    <t>1o r−1∶{q=Q∑</t>
  </si>
  <si>
    <t>[r,r],s(q)=0;q=q′∑</t>
  </si>
  <si>
    <t>forr&gt;k,(DNLR(k,r)i)−1=(s=S∑</t>
  </si>
  <si>
    <t>s=1𝜑(P[k,k],s))</t>
  </si>
  <si>
    <t>[r−2,r−1])(s=S∑</t>
  </si>
  <si>
    <t>s=1𝜑(P+</t>
  </si>
  <si>
    <t>[r−1,r])(s=S∑</t>
  </si>
  <si>
    <t>∫(fA(v)−fB(v))2𝑑v+n=M∑</t>
  </si>
  <si>
    <t>n=1(NAn−NBn)2+(NA+−NB+)2)1∕2</t>
  </si>
  <si>
    <t>B¼jBtj=jBzj;where Btand Bzdenote the absolute values of the transverse and axial</t>
  </si>
  <si>
    <t>hundredKHz.Someexperiments callforvaryingtheatz=0-thedirectionofB,reversesat-7cm=z=7cm.frequency, soatunedamplifierisnottheidealchoice,BoththemeasuredfieldsandRogowski-measured</t>
  </si>
  <si>
    <t>Theconfiguration ofasingleRMFcoilisshowninFig. r=2cm,0-4502.ThesalientfeatureisthecenterRFfeedwhichis</t>
  </si>
  <si>
    <t>where ais the charge-to-mass ratio ap¼ðe=mcÞpandag¼ðe=mcÞg,</t>
  </si>
  <si>
    <t>Lis defined as L¼104VA=xpwith the light speed of c¼104VAand</t>
  </si>
  <si>
    <t>A=xp. We uniformly inject 1 particle into each cell and ini-</t>
  </si>
  <si>
    <t>qCR=qplasma/C244%.</t>
  </si>
  <si>
    <t>A=xp, which is consistent with the maximum</t>
  </si>
  <si>
    <t>+/UPnabla·J=0/periodori(6.3)</t>
  </si>
  <si>
    <t>/SLpartialdifft/UPnabla·E=0 (6.4)</t>
  </si>
  <si>
    <t>/SLsigman/SLsigmaq/SLsigma+/SLvarepsilon0/UPnabla·E=const/periodori (6.6)</t>
  </si>
  <si>
    <t>rium magnetic field B=B</t>
  </si>
  <si>
    <t>˜v/SLsigma=iq/SLsigma</t>
  </si>
  <si>
    <t>vp/SLsigma=m/SLsigma˙E⊥/q/SLsigmaB2derived in Chapter 3.</t>
  </si>
  <si>
    <t>for/SLomega≪/SLomegac/SLsigmareduces to the drift vE=E×B/B2derived in Chapter 3.</t>
  </si>
  <si>
    <t>/SLsigma=i/commaorie/SLomega2</t>
  </si>
  <si>
    <t>/SLomega2−/SLomega2c/SLsigma/commaoriD =∑</t>
  </si>
  <si>
    <t>/SLsigma=i/commaorie/SLomegac/SLsigma</t>
  </si>
  <si>
    <t>/SLomega2−/SLomega2c/SLsigma/commaoriP=1−∑</t>
  </si>
  <si>
    <t>P=1+/SLchi</t>
  </si>
  <si>
    <t>/UPnabla×B=1</t>
  </si>
  <si>
    <t>It is now convenient to define the refractive index n=ck//SLomega, a renormalization</t>
  </si>
  <si>
    <t>nn·E−n2E+←→K·E=0/commaori (6.17)</t>
  </si>
  <si>
    <t>The refractive index n=ck//SLomegacan be decomposed into parallel and perpendic-</t>
  </si>
  <si>
    <t>ular components relative to the equilibrium magnetic field B=B0ˆz. For conve-</t>
  </si>
  <si>
    <t>component of nso thatny=0 by assumption. This simplification is possible for</t>
  </si>
  <si>
    <t>nx=nsin/SLtheta</t>
  </si>
  <si>
    <t>nz=ncos/SLtheta</t>
  </si>
  <si>
    <t>6.3.1 Mode behavior at /SLtheta=0</t>
  </si>
  <si>
    <t>namely the situations where /SLtheta=0 (i.e., k/dblbarSCB</t>
  </si>
  <si>
    <t>2sin/SLthetacos/SLthetavanish for both /SLtheta=0 and/SLtheta=/SLpi/2.</t>
  </si>
  <si>
    <t>When/SLtheta=0 Eq. (6.20) becomes</t>
  </si>
  <si>
    <t>P=0/commaori (6.22)</t>
  </si>
  <si>
    <t>P=0 (6.23)</t>
  </si>
  <si>
    <t>R=S+D/commaori L =S−D (6.26)</t>
  </si>
  <si>
    <t>2/commaoriD=R−L</t>
  </si>
  <si>
    <t>What does all this algebra mean? Equation (6.25) states that for /SLtheta=0 the</t>
  </si>
  <si>
    <t>/SLomega/lparenori/SLomega+/SLomegac/SLsigma/rparenori/commaoriL=1−∑</t>
  </si>
  <si>
    <t>/SLomegac/SLsigma=q/SLsigmaB/m/SLsigma, the ion cyclotron frequency is positive and the electron cyclotron</t>
  </si>
  <si>
    <t>/SLomegac/SLsigma=n/SLsigmaq2</t>
  </si>
  <si>
    <t>/SLomega→0R/commaoriL=1−1</t>
  </si>
  <si>
    <t>A=B2//SLmu0/SLrhois the Alfvén velocity. Thus, at low frequency, both Rand</t>
  </si>
  <si>
    <t>Having determined the eigenvalues for /SLtheta=0, the associated eigenvectors can</t>
  </si>
  <si>
    <t>exactly parallel to the magnetic field ( /SLtheta=0): a right-hand circularly polarized</t>
  </si>
  <si>
    <t>z=1+c2/v2</t>
  </si>
  <si>
    <t>Afor/SLtheta=0. In the Chapter 4 discussion</t>
  </si>
  <si>
    <t>z=c2/v2</t>
  </si>
  <si>
    <t>Afor/SLtheta=0. One may ask why a “1”</t>
  </si>
  <si>
    <t>/SLomega2=k2c2+∑</t>
  </si>
  <si>
    <t>Cutoffsoccurherewheneither R=0orL=0andaresonanceoccurswhen S=0.</t>
  </si>
  <si>
    <t>TheS=0 resonance is called a hybrid resonance because it depends on a hybrid</t>
  </si>
  <si>
    <t>the equationS=0 has two distinct roots and these are found by explicitly writing</t>
  </si>
  <si>
    <t>S=1−/SLomega2</t>
  </si>
  <si>
    <t>/SLomega2−/SLomega2ce=0/periodori (6.38)</t>
  </si>
  <si>
    <t>BecauseD=0 the determinant factors into two modes, one where</t>
  </si>
  <si>
    <t>Ey=0 (6.43)</t>
  </si>
  <si>
    <t>y=f(x),(1)</t>
  </si>
  <si>
    <t>scalar loss function (M= 1) while the number of param-</t>
  </si>
  <si>
    <t>p=G(q;θ),(2)</t>
  </si>
  <si>
    <t>function depends on the solver output,L=L(V(p)),</t>
  </si>
  <si>
    <t>∂v=∂f</t>
  </si>
  <si>
    <t>∂x= 1−Z</t>
  </si>
  <si>
    <t>sions withν ee/ωp= 5×10−5, corresponding to inertial</t>
  </si>
  <si>
    <t>S=C(f f) =C(V(f 0,p)).(6)</t>
  </si>
  <si>
    <t>p=G(q;θ),(7)</t>
  </si>
  <si>
    <t>at the phase velocityv ph=ω/k, which exceeds the group</t>
  </si>
  <si>
    <t>velocityv g=∂ω/∂kby a factor of 3–5, these electrons</t>
  </si>
  <si>
    <t>Ues=Ztf</t>
  </si>
  <si>
    <t>∆SK=Ztf</t>
  </si>
  <si>
    <t>Nx= 6656,N v= 160 points for 1100ω−1</t>
  </si>
  <si>
    <t>0 500 1000 1500 2000 2500 30000.000.020.040.060.080.10e_sq-(x)t = 400</t>
  </si>
  <si>
    <t>t = 900</t>
  </si>
  <si>
    <t>t = 1300</t>
  </si>
  <si>
    <t>amplitudeE2(x) at t = 400, 900, and 1300ω−1</t>
  </si>
  <si>
    <t>∂tn+∂ x(un) = 0,(12)</t>
  </si>
  <si>
    <t>mn(∂ tu+u∂ xu) =−∂ xp+qnE+ 2mnνL∗u</t>
  </si>
  <si>
    <t>∂tδ=v ph∂xδ+ν g|E∗ν L|</t>
  </si>
  <si>
    <t>t=250ω−1</t>
  </si>
  <si>
    <t>(a0= 10−2), whereδgrows and suppresses damping.</t>
  </si>
  <si>
    <t>Lbatch =JX</t>
  </si>
  <si>
    <t>j=1NpixelX</t>
  </si>
  <si>
    <t>i=1[Dij− M i(pj)]2</t>
  </si>
  <si>
    <t>Ps(λs, θ,p) =A n e2λ0</t>
  </si>
  <si>
    <t>through the HessianH=∇∇L. Under locally Gaus-</t>
  </si>
  <si>
    <t>all treated as free parameters. WithN v= 256 plus</t>
  </si>
  <si>
    <t>∂z−iK(k r, ω)˜E= ˜S(kr, ω,˜E),(24)</t>
  </si>
  <si>
    <t>whereK=k z−ω/v faccounts for diffraction and dis-</t>
  </si>
  <si>
    <t>L=L0×V</t>
  </si>
  <si>
    <t>Nf=K∆Tβ1</t>
  </si>
  <si>
    <t>m=0.72DR1: Model vs TS-dervied Isat</t>
  </si>
  <si>
    <t>m=2.69DR2: Model vs TS-dervied Isat</t>
  </si>
  <si>
    <t>0.0000.0020.0040.0060.008Gas puff scan vs x, z=800; 1 kG flat field</t>
  </si>
  <si>
    <t>0 20 400.00000.00050.00100.00150.00200.00250.00300.00350.0040Isat (A / mm2)NLL=0.5</t>
  </si>
  <si>
    <t>0 20 40NLL=0.5, LR rate schedule</t>
  </si>
  <si>
    <t>0 20 400.0000.0020.0040.0060.008Isat (A / mm2)NLL=0.5</t>
  </si>
  <si>
    <t>z-scoreCountsNLL=0</t>
  </si>
  <si>
    <t>z-scoreCountsNLL=0.5, LR rate schedule</t>
  </si>
  <si>
    <t>-# E =nd v x B</t>
  </si>
  <si>
    <t>The electromagnetic units used in MACH2 are selected so that Uo = I and are</t>
  </si>
  <si>
    <t>Re=veffDH</t>
  </si>
  <si>
    <t>cles, respectively, at time kT,k=0,1,2, . . .. For the particle</t>
  </si>
  <si>
    <t>distribution across the cross-section at x=0 is uniform</t>
  </si>
  <si>
    <t>releases these particles at x=0. The particles (green colored</t>
  </si>
  <si>
    <t>∂tp=D∇2p− ∇pv(r), (3)</t>
  </si>
  <si>
    <t>veff= |∂ xP|a2</t>
  </si>
  <si>
    <t>maximum velocity vmaxoccurs at the center, i.e., y=0,</t>
  </si>
  <si>
    <t>following [16, Fig. 1], or using r=0 in Eq. (5).</t>
  </si>
  <si>
    <t>Pe=veffa</t>
  </si>
  <si>
    <t>∂tp=D∇2p−v(r)∂</t>
  </si>
  <si>
    <t>∂rp=0 at the boundary r=a,</t>
  </si>
  <si>
    <t>p(x,r, ϕ;0)= δ(x)/(πa2) for a uniform release</t>
  </si>
  <si>
    <t>Pob(t)=∫</t>
  </si>
  <si>
    <t>specifically, for ˜d=150µm,</t>
  </si>
  <si>
    <t>D=200≫3=4˜d</t>
  </si>
  <si>
    <t>while for ˜d=750µm, 4 ˜d/a=15, and for ˜d=1550 µm,</t>
  </si>
  <si>
    <t>4˜d/a=31. It should be noted that the transmitter-to-mid-</t>
  </si>
  <si>
    <t>cylindrical receiver, i.e., ˜d=d−cx/2.</t>
  </si>
  <si>
    <t>Assuming a uniform release of the particles at x=0,</t>
  </si>
  <si>
    <t>∂t(ϵfρf)+ ∇(ϵfρfuf)=0, (15)</t>
  </si>
  <si>
    <t>τf=µf[∇uf+(∇uf)T]−2</t>
  </si>
  <si>
    <t>∂vs=fD−fs</t>
  </si>
  <si>
    <t>As=dvs</t>
  </si>
  <si>
    <t>dt=Ds(vf−vs)−∇pf</t>
  </si>
  <si>
    <t>τs=Psϵβ</t>
  </si>
  <si>
    <t>Ffs= −∫ ∫</t>
  </si>
  <si>
    <t>cally, we consider a diffusion coefficient of D=1×</t>
  </si>
  <si>
    <t>end-receiver distances) ˜d=150µm (d =200µm) and ˜d=</t>
  </si>
  <si>
    <t>750µm (d =800µm)[16]. Based on the initial simulation</t>
  </si>
  <si>
    <t>˜d=1550 µm (d =1600 µm). Furthermore, to compare the</t>
  </si>
  <si>
    <t>receiver length cx=a/2 for a full channel, cylindrical,</t>
  </si>
  <si>
    <t>ρwater=1000 kg m−3and a kinematic viscosity of ν=</t>
  </si>
  <si>
    <t>1×10−6m2s−1(for the temperature T=20◦C)[69].</t>
  </si>
  <si>
    <t>i.e.,∂u/∂t=0. To determine the time frame for settling into</t>
  </si>
  <si>
    <t>velocity in the channel veff=1 mm s−1, the hydraulic</t>
  </si>
  <si>
    <t>diameters of the pipe DH=2×a=400µm, and the</t>
  </si>
  <si>
    <t>bloodstream. For the simulation, NTX=103particles are</t>
  </si>
  <si>
    <t>released at the inlet at the time t=SOI=0.4 s. The particles</t>
  </si>
  <si>
    <t>instant SOI =0.4 s is reached, 1000000 packages per second</t>
  </si>
  <si>
    <t>n=30 simulation runs (n =10 simulation runs per case), the</t>
  </si>
  <si>
    <t>(d=200µm), 998.3 ±13.4 (d =800µm), and 999 ±0 (d=</t>
  </si>
  <si>
    <t>φf=φref, (23)</t>
  </si>
  <si>
    <t>three spatial directions [77], i.e., φwall=[0,0,0].Finally, the inletOutlet boundary condition at the outlet sets</t>
  </si>
  <si>
    <t>that∂φ/∂ n=0[76].</t>
  </si>
  <si>
    <t>whereby idenotes the number of dimensions, i.e., here i=3,</t>
  </si>
  <si>
    <t>‘‘AdjustTimeStep’’ (for which we ran k=10 simulation</t>
  </si>
  <si>
    <t>PBS [38] inMatlab, at the time instant t=0, the time</t>
  </si>
  <si>
    <t>of injection, NTX=1000 particles are released uniformly</t>
  </si>
  <si>
    <t>that is giv en b y the expression kBT= 2/3(U/N) . Hence, an exp er-</t>
  </si>
  <si>
    <t>F=Q u× B. (2)</t>
  </si>
  <si>
    <t>M(t) =ρ0π(r2</t>
  </si>
  <si>
    <t>dt2=2r2(dr/dt )2−α2I2</t>
  </si>
  <si>
    <t>N0=πr2</t>
  </si>
  <si>
    <t>U=U(r0,l0,ρ0,m,L 0,C0,V0). (3)</t>
  </si>
  <si>
    <t>α2=(µ0C2</t>
  </si>
  <si>
    <t>β=(µ0l0</t>
  </si>
  <si>
    <t>F(α2,β) =∫tp</t>
  </si>
  <si>
    <t>U=γE 0. (20)</t>
  </si>
  <si>
    <t>kBT=γ(2</t>
  </si>
  <si>
    <t>γ=f(α2,β). (22)</t>
  </si>
  <si>
    <t>(α′)2=(c2</t>
  </si>
  <si>
    <t>β′=c2β (4)</t>
  </si>
  <si>
    <t>U=E0×</t>
  </si>
  <si>
    <t>N0=ρ0πr2</t>
  </si>
  <si>
    <t>parameters take the values α2= 2.56 andβ= 2.23. Additionally,</t>
  </si>
  <si>
    <t>a temperature ( kBT)exp= 80eV. Furthermore, ﬁtting eqs. (1) and</t>
  </si>
  <si>
    <t>(2) torexp(t) yields (α′)2= 2.3 andβ′= 0.67. These values, in turn,</t>
  </si>
  <si>
    <t>c2= 1, the snowplow model yields a temperature kBT= 10eVonly.</t>
  </si>
  <si>
    <t>Term</t>
  </si>
  <si>
    <t>Total Frequency</t>
  </si>
  <si>
    <t>Paper Count</t>
  </si>
  <si>
    <t>fusion</t>
  </si>
  <si>
    <t>magnetic field</t>
  </si>
  <si>
    <t>mhd</t>
  </si>
  <si>
    <t>ionization</t>
  </si>
  <si>
    <t>z-pinch</t>
  </si>
  <si>
    <t>plasma focus</t>
  </si>
  <si>
    <t>instability</t>
  </si>
  <si>
    <t>electric field</t>
  </si>
  <si>
    <t>deuterium</t>
  </si>
  <si>
    <t>confinement</t>
  </si>
  <si>
    <t>neutron yield</t>
  </si>
  <si>
    <t>compression</t>
  </si>
  <si>
    <t>magnetohydrodynamic</t>
  </si>
  <si>
    <t>conductivity</t>
  </si>
  <si>
    <t>neural network</t>
  </si>
  <si>
    <t>tokamak</t>
  </si>
  <si>
    <t>resistivity</t>
  </si>
  <si>
    <t>turbulence</t>
  </si>
  <si>
    <t>capacitor bank</t>
  </si>
  <si>
    <t>snowplow</t>
  </si>
  <si>
    <t>lee model</t>
  </si>
  <si>
    <t>current sheath</t>
  </si>
  <si>
    <t>surrogate model</t>
  </si>
  <si>
    <t>tritium</t>
  </si>
  <si>
    <t>particle-in-cell</t>
  </si>
  <si>
    <t>physics-informed</t>
  </si>
  <si>
    <t>bremsstrahlung</t>
  </si>
  <si>
    <t>pinch radius</t>
  </si>
  <si>
    <t>thomson scattering</t>
  </si>
  <si>
    <t>monte carlo</t>
  </si>
  <si>
    <t>deep learning</t>
  </si>
  <si>
    <t>langmuir probe</t>
  </si>
  <si>
    <t>sindy</t>
  </si>
  <si>
    <t>inertial confinement</t>
  </si>
  <si>
    <t>finite element</t>
  </si>
  <si>
    <t>finite volume</t>
  </si>
  <si>
    <t>variational</t>
  </si>
  <si>
    <t>stellarator</t>
  </si>
  <si>
    <t>circuit model</t>
  </si>
  <si>
    <t>graph neural</t>
  </si>
  <si>
    <t>magnetic confinement</t>
  </si>
  <si>
    <t>uncertainty quantification</t>
  </si>
  <si>
    <t>transfer learning</t>
  </si>
  <si>
    <t>encoder</t>
  </si>
  <si>
    <t>symbolic regression</t>
  </si>
  <si>
    <t>ohmic heating</t>
  </si>
  <si>
    <t>polynomial chaos</t>
  </si>
  <si>
    <t>decoder</t>
  </si>
  <si>
    <t>gaussian process</t>
  </si>
  <si>
    <t>reinforcement learning</t>
  </si>
  <si>
    <t>slug model</t>
  </si>
  <si>
    <t>rayleigh-taylor</t>
  </si>
  <si>
    <t>bayesian</t>
  </si>
  <si>
    <t>random forest</t>
  </si>
  <si>
    <t>autoencoder</t>
  </si>
  <si>
    <t>kelvin-helmholtz</t>
  </si>
  <si>
    <t>diffusion model</t>
  </si>
  <si>
    <t>marx generator</t>
  </si>
  <si>
    <t>Method Type</t>
  </si>
  <si>
    <t>Domain Paper Counts</t>
  </si>
  <si>
    <t>Domain</t>
  </si>
  <si>
    <t>radiation</t>
  </si>
  <si>
    <t>z_pinch</t>
  </si>
  <si>
    <t>pulsed_power</t>
  </si>
  <si>
    <t>diagnostics</t>
  </si>
  <si>
    <t>numerical_methods</t>
  </si>
  <si>
    <t>particle_methods</t>
  </si>
  <si>
    <t>physics_informed_ml</t>
  </si>
  <si>
    <t>ai_scientific_discovery</t>
  </si>
  <si>
    <t>circuit_modeling</t>
  </si>
  <si>
    <t>graph_neural_networks</t>
  </si>
  <si>
    <t>equation_discovery</t>
  </si>
  <si>
    <t>Paper 1 ID</t>
  </si>
  <si>
    <t>Paper 1 Title</t>
  </si>
  <si>
    <t>Paper 2 ID</t>
  </si>
  <si>
    <t>Paper 2 Title</t>
  </si>
  <si>
    <t>Shared Domains</t>
  </si>
  <si>
    <t>Shared Methods</t>
  </si>
  <si>
    <t>Description</t>
  </si>
  <si>
    <t>["dense_plasma_focus", "nuclear_fusion"]</t>
  </si>
  <si>
    <t>[]</t>
  </si>
  <si>
    <t>Score:10.0</t>
  </si>
  <si>
    <t>["dense_plasma_focus", "plasma_physics", "nuclear_fusion"]</t>
  </si>
  <si>
    <t>["experimental"]</t>
  </si>
  <si>
    <t>Score:20.0</t>
  </si>
  <si>
    <t>["dense_plasma_focus", "radiation", "nuclear_fusion", "electrode_materials", "plasma_physics"]</t>
  </si>
  <si>
    <t>Score:26.0</t>
  </si>
  <si>
    <t>Score:28.0</t>
  </si>
  <si>
    <t>["dense_plasma_focus", "plasma_physics"]</t>
  </si>
  <si>
    <t>Score:11.0</t>
  </si>
  <si>
    <t>["plasma_physics", "nuclear_fusion"]</t>
  </si>
  <si>
    <t>Score:13.0</t>
  </si>
  <si>
    <t>["plasma_physics"]</t>
  </si>
  <si>
    <t>Score:7.0</t>
  </si>
  <si>
    <t>Score:8.0</t>
  </si>
  <si>
    <t>["plasma_physics", "electrode_materials", "nuclear_fusion"]</t>
  </si>
  <si>
    <t>Score:16.0</t>
  </si>
  <si>
    <t>Score:6.0</t>
  </si>
  <si>
    <t>Score:21.0</t>
  </si>
  <si>
    <t>["dense_plasma_focus", "electrode_materials", "plasma_physics", "nuclear_fusion"]</t>
  </si>
  <si>
    <t>["machine_learning", "experimental"]</t>
  </si>
  <si>
    <t>Score:25.0</t>
  </si>
  <si>
    <t>["nuclear_fusion", "plasma_physics"]</t>
  </si>
  <si>
    <t>["machine_learning", "experimental", "review"]</t>
  </si>
  <si>
    <t>Score:17.0</t>
  </si>
  <si>
    <t>Score:9.0</t>
  </si>
  <si>
    <t>Score:14.0</t>
  </si>
  <si>
    <t>["machine_learning"]</t>
  </si>
  <si>
    <t>Score:12.0</t>
  </si>
  <si>
    <t>Score:22.0</t>
  </si>
  <si>
    <t>["dense_plasma_focus", "electrode_materials", "plasma_physics"]</t>
  </si>
  <si>
    <t>Score:15.0</t>
  </si>
  <si>
    <t>["electrode_materials", "plasma_physics"]</t>
  </si>
  <si>
    <t>Score:19.0</t>
  </si>
  <si>
    <t>Score:23.0</t>
  </si>
  <si>
    <t>["dense_plasma_focus"]</t>
  </si>
  <si>
    <t>Score:18.0</t>
  </si>
  <si>
    <t>["nuclear_fusion"]</t>
  </si>
  <si>
    <t>["physics_informed_ml", "plasma_physics"]</t>
  </si>
  <si>
    <t>["physics_informed_ml"]</t>
  </si>
  <si>
    <t>["dense_plasma_focus", "radiation", "plasma_physics"]</t>
  </si>
  <si>
    <t>["simulation", "experimental"]</t>
  </si>
  <si>
    <t>["simulation"]</t>
  </si>
  <si>
    <t>["dense_plasma_focus", "z_pinch", "radiation", "plasma_physics"]</t>
  </si>
  <si>
    <t>["machine_learning", "simulation"]</t>
  </si>
  <si>
    <t>["mhd"]</t>
  </si>
  <si>
    <t>["mhd", "plasma_physics"]</t>
  </si>
  <si>
    <t>["plasma_physics", "particle_methods"]</t>
  </si>
  <si>
    <t>["dense_plasma_focus", "nuclear_fusion", "electrode_materials", "z_pinch", "plasma_physics"]</t>
  </si>
  <si>
    <t>Score:27.0</t>
  </si>
  <si>
    <t>["dense_plasma_focus", "electrode_materials", "nuclear_fusion", "plasma_physics"]</t>
  </si>
  <si>
    <t>["machine_learning", "simulation", "experimental"]</t>
  </si>
  <si>
    <t>["plasma_physics", "mhd", "nuclear_fusion"]</t>
  </si>
  <si>
    <t>["machine_learning", "simulation", "analytical"]</t>
  </si>
  <si>
    <t>["machine_learning", "simulation", "experimental", "analytical"]</t>
  </si>
  <si>
    <t>["dense_plasma_focus", "pulsed_power", "radiation", "nuclear_fusion", "electrode_materials", "plasma_physics"]</t>
  </si>
  <si>
    <t>Score:33.0</t>
  </si>
  <si>
    <t>["dense_plasma_focus", "pulsed_power", "nuclear_fusion", "electrode_materials", "plasma_physics"]</t>
  </si>
  <si>
    <t>Score:29.0</t>
  </si>
  <si>
    <t>["dense_plasma_focus", "radiation", "nuclear_fusion", "electrode_materials", "z_pinch", "plasma_physics"]</t>
  </si>
  <si>
    <t>Score:32.0</t>
  </si>
  <si>
    <t>["dense_plasma_focus", "electrode_materials", "radiation", "plasma_physics"]</t>
  </si>
  <si>
    <t>Score:24.0</t>
  </si>
  <si>
    <t>["dense_plasma_focus", "z_pinch", "nuclear_fusion", "plasma_physics"]</t>
  </si>
  <si>
    <t>["dense_plasma_focus", "nuclear_fusion", "plasma_physics"]</t>
  </si>
  <si>
    <t>["plasma_physics", "turbulence", "nuclear_fusion"]</t>
  </si>
  <si>
    <t>["plasma_physics", "turbulence", "mhd", "nuclear_fusion"]</t>
  </si>
  <si>
    <t>["turbulence"]</t>
  </si>
  <si>
    <t>["nuclear_fusion", "mhd", "plasma_physics"]</t>
  </si>
  <si>
    <t>["machine_learning", "data_analysis"]</t>
  </si>
  <si>
    <t>["machine_learning", "simulation", "data_analysis"]</t>
  </si>
  <si>
    <t>["dense_plasma_focus", "electrode_materials", "z_pinch", "plasma_physics"]</t>
  </si>
  <si>
    <t>["dense_plasma_focus", "machine_learning", "radiation", "nuclear_fusion", "electrode_materials", "plasma_physics"]</t>
  </si>
  <si>
    <t>Score:35.0</t>
  </si>
  <si>
    <t>["dense_plasma_focus", "z_pinch", "nuclear_fusion", "radiation"]</t>
  </si>
  <si>
    <t>["experimental", "data_analysis"]</t>
  </si>
  <si>
    <t>["dense_plasma_focus", "machine_learning", "plasma_physics"]</t>
  </si>
  <si>
    <t>Score:30.0</t>
  </si>
  <si>
    <t>["z_pinch", "plasma_physics"]</t>
  </si>
  <si>
    <t>["plasma_physics", "z_pinch", "nuclear_fusion"]</t>
  </si>
  <si>
    <t>["plasma_physics", "electrode_materials", "z_pinch", "nuclear_fusion"]</t>
  </si>
  <si>
    <t>["plasma_physics", "z_pinch", "nuclear_fusion", "radiation"]</t>
  </si>
  <si>
    <t>["radiation", "nuclear_fusion", "electrode_materials", "z_pinch", "plasma_physics"]</t>
  </si>
  <si>
    <t>["electrode_materials", "z_pinch", "plasma_physics"]</t>
  </si>
  <si>
    <t>["z_pinch", "plasma_physics", "radiation"]</t>
  </si>
  <si>
    <t>["plasma_physics", "machine_learning", "nuclear_fusion"]</t>
  </si>
  <si>
    <t>["machine_learning", "plasma_physics"]</t>
  </si>
  <si>
    <t>["machine_learning", "experimental", "data_analysis"]</t>
  </si>
  <si>
    <t>["radiation", "plasma_physics"]</t>
  </si>
  <si>
    <t>["plasma_physics", "radiation", "nuclear_fusion"]</t>
  </si>
  <si>
    <t>["radiation", "nuclear_fusion"]</t>
  </si>
  <si>
    <t>["dense_plasma_focus", "radiation", "plasma_physics", "nuclear_fusion"]</t>
  </si>
  <si>
    <t>["machine_learning", "electrode_materials"]</t>
  </si>
  <si>
    <t>["plasma_physics", "machine_learning", "electrode_materials", "nuclear_fusion"]</t>
  </si>
  <si>
    <t>["data_analysis"]</t>
  </si>
  <si>
    <t>["dense_plasma_focus", "z_pinch", "plasma_physics", "nuclear_fusion"]</t>
  </si>
  <si>
    <t>["dense_plasma_focus", "radiation", "nuclear_fusion"]</t>
  </si>
  <si>
    <t>["plasma_physics", "electrode_materials", "radiation", "nuclear_fusion"]</t>
  </si>
  <si>
    <t>["pulsed_power", "plasma_physics"]</t>
  </si>
  <si>
    <t>["dense_plasma_focus", "pulsed_power", "plasma_physics", "electrode_materials"]</t>
  </si>
  <si>
    <t>["plasma_physics", "pulsed_power", "nuclear_fusion"]</t>
  </si>
  <si>
    <t>["machine_learning", "pulsed_power"]</t>
  </si>
  <si>
    <t>["pulsed_power", "nuclear_fusion"]</t>
  </si>
  <si>
    <t>["plasma_physics", "pulsed_power", "nuclear_fusion", "electrode_materials"]</t>
  </si>
  <si>
    <t>["machine_learning", "simulation", "experimental", "review"]</t>
  </si>
  <si>
    <t>["machine_learning", "simulation", "review"]</t>
  </si>
  <si>
    <t>["machine_learning", "simulation", "review", "experimental"]</t>
  </si>
  <si>
    <t>["pulsed_power"]</t>
  </si>
  <si>
    <t>["plasma_physics", "nuclear_fusion", "particle_methods"]</t>
  </si>
  <si>
    <t>["simulation", "experimental", "review"]</t>
  </si>
  <si>
    <t>["simulation", "experimental", "data_analysis"]</t>
  </si>
  <si>
    <t>["simulation", "data_analysis"]</t>
  </si>
  <si>
    <t>["simulation", "review", "experimental"]</t>
  </si>
  <si>
    <t>["experimental", "review"]</t>
  </si>
  <si>
    <t>["mhd", "nuclear_fusion"]</t>
  </si>
  <si>
    <t>["machine_learning", "plasma_physics", "ai_scientific_discovery"]</t>
  </si>
  <si>
    <t>["machine_learning", "ai_scientific_discovery"]</t>
  </si>
  <si>
    <t>["numerical_methods", "plasma_physics"]</t>
  </si>
  <si>
    <t>["numerical_methods"]</t>
  </si>
  <si>
    <t>["analytical", "experimental"]</t>
  </si>
  <si>
    <t>["simulation", "analytical"]</t>
  </si>
  <si>
    <t>["turbulence", "plasma_physics"]</t>
  </si>
  <si>
    <t>["turbulence", "mhd", "plasma_physics"]</t>
  </si>
  <si>
    <t>["simulation", "review"]</t>
  </si>
  <si>
    <t>["review"]</t>
  </si>
  <si>
    <t>["plasma_physics", "machine_learning", "ai_scientific_discovery"]</t>
  </si>
  <si>
    <t>["plasma_physics", "nuclear_fusion", "uncertainty_quantification"]</t>
  </si>
  <si>
    <t>["machine_learning", "review"]</t>
  </si>
  <si>
    <t>["machine_learning", "uncertainty_quantification"]</t>
  </si>
  <si>
    <t>["machine_learning", "uncertainty_quantification", "ai_scientific_discovery"]</t>
  </si>
  <si>
    <t>["plasma_physics", "uncertainty_quantification"]</t>
  </si>
  <si>
    <t>["machine_learning", "simulation", "experimental", "data_analysis"]</t>
  </si>
  <si>
    <t>["machine_learning", "equation_discovery", "ai_scientific_discovery"]</t>
  </si>
  <si>
    <t>["machine_learning", "equation_discovery"]</t>
  </si>
  <si>
    <t>["machine_learning", "numerical_methods"]</t>
  </si>
  <si>
    <t>["physics_informed_ml", "machine_learning", "ai_scientific_discovery"]</t>
  </si>
  <si>
    <t>["machine_learning", "mhd"]</t>
  </si>
  <si>
    <t>["plasma_physics", "machine_learning", "turbulence", "nuclear_fusion"]</t>
  </si>
  <si>
    <t>["machine_learning", "turbulence"]</t>
  </si>
  <si>
    <t>["physics_informed_ml", "machine_learning", "plasma_physics", "ai_scientific_discovery"]</t>
  </si>
  <si>
    <t>["machine_learning", "mhd", "plasma_physics"]</t>
  </si>
  <si>
    <t>["nuclear_fusion", "electrode_materials", "plasma_physics"]</t>
  </si>
  <si>
    <t>["uncertainty_quantification"]</t>
  </si>
  <si>
    <t>["analytical"]</t>
  </si>
  <si>
    <t>["simulation", "experimental", "analytical"]</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</si>
</sst>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0"/>
      <color theme="1"/>
      <name val="Arial"/>
      <family val="2"/>
    </font>
  </fonts>
  <fills count="4">
    <fill>
      <patternFill patternType="none"/>
    </fill>
    <fill>
      <patternFill patternType="gray125"/>
    </fill>
    <fill>
      <patternFill patternType="solid">
        <fgColor rgb="FF366092"/>
        <bgColor indexed="64"/>
      </patternFill>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hyperlink" Target="https://www.tandfonline.com/action/journalInformation?journalCode=ufst20" TargetMode="External"/><Relationship Id="rId2" Type="http://schemas.openxmlformats.org/officeDocument/2006/relationships/hyperlink" Target="https://www.tandfonline.com/action/journalInformation?journalCode=ufst20" TargetMode="External"/><Relationship Id="rId3" Type="http://schemas.openxmlformats.org/officeDocument/2006/relationships/hyperlink" Target="https://www.tandfonline.com/action/journalInformation?journalCode=ufst20" TargetMode="External"/><Relationship Id="rId4" Type="http://schemas.openxmlformats.org/officeDocument/2006/relationships/hyperlink" Target="http://stacks.iop.org/0741-3335/53/i=9/a=093001%5b2%5d%20C.%20Deeney%20et%20al.,%20&#8216;&#8216;Power%20enhancement%20by%20increasing%20the%20initial%20array%20radius" TargetMode="External"/><Relationship Id="rId5" Type="http://schemas.openxmlformats.org/officeDocument/2006/relationships/hyperlink" Target="http://stacks.iop.org/0741-3335/51/i=12/a=125003" TargetMode="External"/><Relationship Id="rId6" Type="http://schemas.openxmlformats.org/officeDocument/2006/relationships/hyperlink" Target="http://www.osapublishing.org/optica/abstract.cfm?URI=optica-4-11-1344" TargetMode="External"/><Relationship Id="rId7" Type="http://schemas.openxmlformats.org/officeDocument/2006/relationships/hyperlink" Target="http://stacks.iop.org/0741-3335/51/i=12/a=125003%5b13%5d%20C.%20Pavez,%20J.%20Pedreros,%20M.%20Zambra,%20F.%20Veloso,%20J.%20Moreno,%20T.-S.%20Ariel,%20and" TargetMode="External"/><Relationship Id="rId8" Type="http://schemas.openxmlformats.org/officeDocument/2006/relationships/hyperlink" Target="https://www.tandfonline.com/action/journalInformation?journalCode=ufst20" TargetMode="External"/><Relationship Id="rId9" Type="http://schemas.openxmlformats.org/officeDocument/2006/relationships/hyperlink" Target="https://www.tandfonline.com/action/journalInformation?journalCode=grad20" TargetMode="External"/><Relationship Id="rId10" Type="http://schemas.openxmlformats.org/officeDocument/2006/relationships/hyperlink" Target="https://www.tandfonline.com/action/journalInformation?journalCode=lsst20" TargetMode="External"/></Relationships>
</file>

<file path=xl/worksheets/sheet1.xml><?xml version="1.0" encoding="utf-8"?>
<worksheet xmlns="http://schemas.openxmlformats.org/spreadsheetml/2006/main" xmlns:r="http://schemas.openxmlformats.org/officeDocument/2006/relationships">
  <dimension ref="A1:K411"/>
  <sheetViews>
    <sheetView tabSelected="1" workbookViewId="0">
      <pane ySplit="1" topLeftCell="A2" activePane="bottomLeft" state="frozen"/>
      <selection pane="bottomLeft"/>
    </sheetView>
  </sheetViews>
  <sheetFormatPr defaultRowHeight="15"/>
  <cols>
    <col min="1" max="1" width="8.7109375" customWidth="1"/>
    <col min="2" max="2" width="15.7109375" customWidth="1"/>
    <col min="3" max="3" width="30.7109375" customWidth="1"/>
    <col min="4" max="4" width="25.7109375" customWidth="1"/>
    <col min="5" max="5" width="8.7109375" customWidth="1"/>
    <col min="6" max="7" width="12.7109375" customWidth="1"/>
    <col min="8" max="8" width="35.7109375" customWidth="1"/>
    <col min="9" max="9" width="12.7109375" customWidth="1"/>
    <col min="10" max="10" width="20.7109375" customWidth="1"/>
    <col min="11" max="11" width="25.7109375" customWidth="1"/>
  </cols>
  <sheetData>
    <row r="1" spans="1:11">
      <c r="A1" s="1" t="s">
        <v>0</v>
      </c>
      <c r="B1" s="1" t="s">
        <v>1</v>
      </c>
      <c r="C1" s="1" t="s">
        <v>2</v>
      </c>
      <c r="D1" s="1" t="s">
        <v>3</v>
      </c>
      <c r="E1" s="1" t="s">
        <v>4</v>
      </c>
      <c r="F1" s="1" t="s">
        <v>5</v>
      </c>
      <c r="G1" s="1" t="s">
        <v>6</v>
      </c>
      <c r="H1" s="1" t="s">
        <v>7</v>
      </c>
      <c r="I1" s="1" t="s">
        <v>8</v>
      </c>
      <c r="J1" s="1" t="s">
        <v>9</v>
      </c>
      <c r="K1" s="1" t="s">
        <v>10</v>
      </c>
    </row>
    <row r="2" spans="1:11">
      <c r="A2" s="2">
        <v>56</v>
      </c>
      <c r="B2" s="2" t="s">
        <v>11</v>
      </c>
      <c r="C2" s="2" t="s">
        <v>12</v>
      </c>
      <c r="D2" s="2"/>
      <c r="E2" s="2">
        <v>2026</v>
      </c>
      <c r="F2" s="2" t="s">
        <v>13</v>
      </c>
      <c r="G2" s="2"/>
      <c r="H2" s="2" t="s">
        <v>14</v>
      </c>
      <c r="I2" s="2">
        <v>18</v>
      </c>
      <c r="J2" s="2" t="s">
        <v>15</v>
      </c>
      <c r="K2" s="2" t="s">
        <v>16</v>
      </c>
    </row>
    <row r="3" spans="1:11">
      <c r="A3" s="3">
        <v>18</v>
      </c>
      <c r="B3" s="3" t="s">
        <v>11</v>
      </c>
      <c r="C3" s="3" t="s">
        <v>17</v>
      </c>
      <c r="D3" s="3" t="s">
        <v>18</v>
      </c>
      <c r="E3" s="3">
        <v>2026</v>
      </c>
      <c r="F3" s="3" t="s">
        <v>19</v>
      </c>
      <c r="G3" s="3"/>
      <c r="H3" s="3" t="s">
        <v>20</v>
      </c>
      <c r="I3" s="3">
        <v>11</v>
      </c>
      <c r="J3" s="3" t="s">
        <v>21</v>
      </c>
      <c r="K3" s="3" t="s">
        <v>22</v>
      </c>
    </row>
    <row r="4" spans="1:11">
      <c r="A4" s="2">
        <v>33</v>
      </c>
      <c r="B4" s="2" t="s">
        <v>11</v>
      </c>
      <c r="C4" s="2" t="s">
        <v>23</v>
      </c>
      <c r="D4" s="2"/>
      <c r="E4" s="2">
        <v>2026</v>
      </c>
      <c r="F4" s="2" t="s">
        <v>24</v>
      </c>
      <c r="G4" s="2"/>
      <c r="H4" s="2" t="s">
        <v>25</v>
      </c>
      <c r="I4" s="2">
        <v>12</v>
      </c>
      <c r="J4" s="2" t="s">
        <v>26</v>
      </c>
      <c r="K4" s="2" t="s">
        <v>27</v>
      </c>
    </row>
    <row r="5" spans="1:11">
      <c r="A5" s="3">
        <v>59</v>
      </c>
      <c r="B5" s="3" t="s">
        <v>11</v>
      </c>
      <c r="C5" s="3" t="s">
        <v>28</v>
      </c>
      <c r="D5" s="3"/>
      <c r="E5" s="3">
        <v>2026</v>
      </c>
      <c r="F5" s="3" t="s">
        <v>29</v>
      </c>
      <c r="G5" s="3"/>
      <c r="H5" s="3" t="s">
        <v>30</v>
      </c>
      <c r="I5" s="3">
        <v>6</v>
      </c>
      <c r="J5" s="3" t="s">
        <v>21</v>
      </c>
      <c r="K5" s="3" t="s">
        <v>31</v>
      </c>
    </row>
    <row r="6" spans="1:11">
      <c r="A6" s="2">
        <v>19</v>
      </c>
      <c r="B6" s="2" t="s">
        <v>11</v>
      </c>
      <c r="C6" s="2" t="s">
        <v>32</v>
      </c>
      <c r="D6" s="2" t="s">
        <v>33</v>
      </c>
      <c r="E6" s="2">
        <v>2025</v>
      </c>
      <c r="F6" s="2"/>
      <c r="G6" s="2"/>
      <c r="H6" s="2"/>
      <c r="I6" s="2">
        <v>6</v>
      </c>
      <c r="J6" s="2" t="s">
        <v>21</v>
      </c>
      <c r="K6" s="2" t="s">
        <v>34</v>
      </c>
    </row>
    <row r="7" spans="1:11">
      <c r="A7" s="3">
        <v>26</v>
      </c>
      <c r="B7" s="3" t="s">
        <v>11</v>
      </c>
      <c r="C7" s="3" t="s">
        <v>35</v>
      </c>
      <c r="D7" s="3"/>
      <c r="E7" s="3">
        <v>2025</v>
      </c>
      <c r="F7" s="3"/>
      <c r="G7" s="3"/>
      <c r="H7" s="3" t="s">
        <v>36</v>
      </c>
      <c r="I7" s="3">
        <v>15</v>
      </c>
      <c r="J7" s="3" t="s">
        <v>37</v>
      </c>
      <c r="K7" s="3" t="s">
        <v>38</v>
      </c>
    </row>
    <row r="8" spans="1:11">
      <c r="A8" s="2">
        <v>57</v>
      </c>
      <c r="B8" s="2" t="s">
        <v>11</v>
      </c>
      <c r="C8" s="2" t="s">
        <v>39</v>
      </c>
      <c r="D8" s="2" t="s">
        <v>40</v>
      </c>
      <c r="E8" s="2">
        <v>2025</v>
      </c>
      <c r="F8" s="2" t="s">
        <v>41</v>
      </c>
      <c r="G8" s="2"/>
      <c r="H8" s="2" t="s">
        <v>42</v>
      </c>
      <c r="I8" s="2">
        <v>14</v>
      </c>
      <c r="J8" s="2" t="s">
        <v>21</v>
      </c>
      <c r="K8" s="2" t="s">
        <v>43</v>
      </c>
    </row>
    <row r="9" spans="1:11">
      <c r="A9" s="3">
        <v>11</v>
      </c>
      <c r="B9" s="3" t="s">
        <v>11</v>
      </c>
      <c r="C9" s="3" t="s">
        <v>44</v>
      </c>
      <c r="D9" s="3"/>
      <c r="E9" s="3">
        <v>2025</v>
      </c>
      <c r="F9" s="3" t="s">
        <v>45</v>
      </c>
      <c r="G9" s="3"/>
      <c r="H9" s="3" t="s">
        <v>46</v>
      </c>
      <c r="I9" s="3">
        <v>12</v>
      </c>
      <c r="J9" s="3" t="s">
        <v>21</v>
      </c>
      <c r="K9" s="3" t="s">
        <v>47</v>
      </c>
    </row>
    <row r="10" spans="1:11">
      <c r="A10" s="2">
        <v>12</v>
      </c>
      <c r="B10" s="2" t="s">
        <v>11</v>
      </c>
      <c r="C10" s="2" t="s">
        <v>48</v>
      </c>
      <c r="D10" s="2" t="s">
        <v>49</v>
      </c>
      <c r="E10" s="2">
        <v>2025</v>
      </c>
      <c r="F10" s="2"/>
      <c r="G10" s="2"/>
      <c r="H10" s="2"/>
      <c r="I10" s="2">
        <v>15</v>
      </c>
      <c r="J10" s="2" t="s">
        <v>26</v>
      </c>
      <c r="K10" s="2" t="s">
        <v>43</v>
      </c>
    </row>
    <row r="11" spans="1:11">
      <c r="A11" s="3">
        <v>13</v>
      </c>
      <c r="B11" s="3" t="s">
        <v>11</v>
      </c>
      <c r="C11" s="3" t="s">
        <v>50</v>
      </c>
      <c r="D11" s="3"/>
      <c r="E11" s="3">
        <v>2025</v>
      </c>
      <c r="F11" s="3" t="s">
        <v>51</v>
      </c>
      <c r="G11" s="3"/>
      <c r="H11" s="3" t="s">
        <v>52</v>
      </c>
      <c r="I11" s="3">
        <v>12</v>
      </c>
      <c r="J11" s="3" t="s">
        <v>21</v>
      </c>
      <c r="K11" s="3" t="s">
        <v>43</v>
      </c>
    </row>
    <row r="12" spans="1:11">
      <c r="A12" s="2">
        <v>14</v>
      </c>
      <c r="B12" s="2" t="s">
        <v>11</v>
      </c>
      <c r="C12" s="2" t="s">
        <v>53</v>
      </c>
      <c r="D12" s="2"/>
      <c r="E12" s="2">
        <v>2025</v>
      </c>
      <c r="F12" s="2" t="s">
        <v>54</v>
      </c>
      <c r="G12" s="2"/>
      <c r="H12" s="2" t="s">
        <v>55</v>
      </c>
      <c r="I12" s="2">
        <v>15</v>
      </c>
      <c r="J12" s="2" t="s">
        <v>21</v>
      </c>
      <c r="K12" s="2" t="s">
        <v>43</v>
      </c>
    </row>
    <row r="13" spans="1:11">
      <c r="A13" s="3">
        <v>41</v>
      </c>
      <c r="B13" s="3" t="s">
        <v>11</v>
      </c>
      <c r="C13" s="3" t="s">
        <v>56</v>
      </c>
      <c r="D13" s="3" t="s">
        <v>57</v>
      </c>
      <c r="E13" s="3">
        <v>2025</v>
      </c>
      <c r="F13" s="3" t="s">
        <v>58</v>
      </c>
      <c r="G13" s="3"/>
      <c r="H13" s="3" t="s">
        <v>59</v>
      </c>
      <c r="I13" s="3">
        <v>9</v>
      </c>
      <c r="J13" s="3" t="s">
        <v>60</v>
      </c>
      <c r="K13" s="3" t="s">
        <v>61</v>
      </c>
    </row>
    <row r="14" spans="1:11">
      <c r="A14" s="2">
        <v>42</v>
      </c>
      <c r="B14" s="2" t="s">
        <v>11</v>
      </c>
      <c r="C14" s="2" t="s">
        <v>62</v>
      </c>
      <c r="D14" s="2"/>
      <c r="E14" s="2">
        <v>2025</v>
      </c>
      <c r="F14" s="2" t="s">
        <v>63</v>
      </c>
      <c r="G14" s="2"/>
      <c r="H14" s="2" t="s">
        <v>64</v>
      </c>
      <c r="I14" s="2">
        <v>10</v>
      </c>
      <c r="J14" s="2" t="s">
        <v>65</v>
      </c>
      <c r="K14" s="2" t="s">
        <v>66</v>
      </c>
    </row>
    <row r="15" spans="1:11">
      <c r="A15" s="3">
        <v>15</v>
      </c>
      <c r="B15" s="3" t="s">
        <v>11</v>
      </c>
      <c r="C15" s="3" t="s">
        <v>67</v>
      </c>
      <c r="D15" s="3" t="s">
        <v>68</v>
      </c>
      <c r="E15" s="3">
        <v>2025</v>
      </c>
      <c r="F15" s="3" t="s">
        <v>69</v>
      </c>
      <c r="G15" s="3"/>
      <c r="H15" s="3" t="s">
        <v>70</v>
      </c>
      <c r="I15" s="3">
        <v>16</v>
      </c>
      <c r="J15" s="3" t="s">
        <v>21</v>
      </c>
      <c r="K15" s="3" t="s">
        <v>71</v>
      </c>
    </row>
    <row r="16" spans="1:11">
      <c r="A16" s="2">
        <v>16</v>
      </c>
      <c r="B16" s="2" t="s">
        <v>11</v>
      </c>
      <c r="C16" s="2" t="s">
        <v>72</v>
      </c>
      <c r="D16" s="2"/>
      <c r="E16" s="2">
        <v>2025</v>
      </c>
      <c r="F16" s="2" t="s">
        <v>73</v>
      </c>
      <c r="G16" s="2"/>
      <c r="H16" s="2" t="s">
        <v>74</v>
      </c>
      <c r="I16" s="2">
        <v>9</v>
      </c>
      <c r="J16" s="2" t="s">
        <v>21</v>
      </c>
      <c r="K16" s="2" t="s">
        <v>75</v>
      </c>
    </row>
    <row r="17" spans="1:11">
      <c r="A17" s="3">
        <v>17</v>
      </c>
      <c r="B17" s="3" t="s">
        <v>11</v>
      </c>
      <c r="C17" s="3" t="s">
        <v>76</v>
      </c>
      <c r="D17" s="3" t="s">
        <v>77</v>
      </c>
      <c r="E17" s="3">
        <v>2025</v>
      </c>
      <c r="F17" s="3" t="s">
        <v>78</v>
      </c>
      <c r="G17" s="3"/>
      <c r="H17" s="3" t="s">
        <v>79</v>
      </c>
      <c r="I17" s="3">
        <v>10</v>
      </c>
      <c r="J17" s="3"/>
      <c r="K17" s="3" t="s">
        <v>80</v>
      </c>
    </row>
    <row r="18" spans="1:11">
      <c r="A18" s="2">
        <v>8</v>
      </c>
      <c r="B18" s="2" t="s">
        <v>11</v>
      </c>
      <c r="C18" s="2" t="s">
        <v>81</v>
      </c>
      <c r="D18" s="2" t="s">
        <v>82</v>
      </c>
      <c r="E18" s="2">
        <v>2024</v>
      </c>
      <c r="F18" s="2"/>
      <c r="G18" s="2"/>
      <c r="H18" s="2" t="s">
        <v>83</v>
      </c>
      <c r="I18" s="2">
        <v>12</v>
      </c>
      <c r="J18" s="2" t="s">
        <v>84</v>
      </c>
      <c r="K18" s="2" t="s">
        <v>71</v>
      </c>
    </row>
    <row r="19" spans="1:11">
      <c r="A19" s="3">
        <v>9</v>
      </c>
      <c r="B19" s="3" t="s">
        <v>11</v>
      </c>
      <c r="C19" s="3" t="s">
        <v>85</v>
      </c>
      <c r="D19" s="3"/>
      <c r="E19" s="3">
        <v>2024</v>
      </c>
      <c r="F19" s="3"/>
      <c r="G19" s="3"/>
      <c r="H19" s="3" t="s">
        <v>86</v>
      </c>
      <c r="I19" s="3">
        <v>30</v>
      </c>
      <c r="J19" s="3" t="s">
        <v>87</v>
      </c>
      <c r="K19" s="3" t="s">
        <v>88</v>
      </c>
    </row>
    <row r="20" spans="1:11">
      <c r="A20" s="2">
        <v>46</v>
      </c>
      <c r="B20" s="2" t="s">
        <v>11</v>
      </c>
      <c r="C20" s="2" t="s">
        <v>89</v>
      </c>
      <c r="D20" s="2" t="s">
        <v>90</v>
      </c>
      <c r="E20" s="2">
        <v>2024</v>
      </c>
      <c r="F20" s="2" t="s">
        <v>91</v>
      </c>
      <c r="G20" s="2"/>
      <c r="H20" s="2"/>
      <c r="I20" s="2">
        <v>6</v>
      </c>
      <c r="J20" s="2" t="s">
        <v>92</v>
      </c>
      <c r="K20" s="2" t="s">
        <v>93</v>
      </c>
    </row>
    <row r="21" spans="1:11">
      <c r="A21" s="3">
        <v>36</v>
      </c>
      <c r="B21" s="3" t="s">
        <v>11</v>
      </c>
      <c r="C21" s="3" t="s">
        <v>94</v>
      </c>
      <c r="D21" s="3"/>
      <c r="E21" s="3">
        <v>2024</v>
      </c>
      <c r="F21" s="3"/>
      <c r="G21" s="3"/>
      <c r="H21" s="3" t="s">
        <v>95</v>
      </c>
      <c r="I21" s="3">
        <v>15</v>
      </c>
      <c r="J21" s="3" t="s">
        <v>65</v>
      </c>
      <c r="K21" s="3" t="s">
        <v>96</v>
      </c>
    </row>
    <row r="22" spans="1:11">
      <c r="A22" s="2">
        <v>7</v>
      </c>
      <c r="B22" s="2" t="s">
        <v>11</v>
      </c>
      <c r="C22" s="2" t="s">
        <v>97</v>
      </c>
      <c r="D22" s="2"/>
      <c r="E22" s="2">
        <v>2024</v>
      </c>
      <c r="F22" s="2"/>
      <c r="G22" s="2"/>
      <c r="H22" s="2"/>
      <c r="I22" s="2">
        <v>38</v>
      </c>
      <c r="J22" s="2" t="s">
        <v>98</v>
      </c>
      <c r="K22" s="2" t="s">
        <v>99</v>
      </c>
    </row>
    <row r="23" spans="1:11">
      <c r="A23" s="3">
        <v>47</v>
      </c>
      <c r="B23" s="3" t="s">
        <v>11</v>
      </c>
      <c r="C23" s="3" t="s">
        <v>100</v>
      </c>
      <c r="D23" s="3"/>
      <c r="E23" s="3">
        <v>2024</v>
      </c>
      <c r="F23" s="3" t="s">
        <v>101</v>
      </c>
      <c r="G23" s="3"/>
      <c r="H23" s="3" t="s">
        <v>102</v>
      </c>
      <c r="I23" s="3">
        <v>9</v>
      </c>
      <c r="J23" s="3" t="s">
        <v>65</v>
      </c>
      <c r="K23" s="3" t="s">
        <v>103</v>
      </c>
    </row>
    <row r="24" spans="1:11">
      <c r="A24" s="2">
        <v>10</v>
      </c>
      <c r="B24" s="2" t="s">
        <v>11</v>
      </c>
      <c r="C24" s="2" t="s">
        <v>104</v>
      </c>
      <c r="D24" s="2" t="s">
        <v>105</v>
      </c>
      <c r="E24" s="2">
        <v>2024</v>
      </c>
      <c r="F24" s="2" t="s">
        <v>106</v>
      </c>
      <c r="G24" s="2"/>
      <c r="H24" s="2" t="s">
        <v>107</v>
      </c>
      <c r="I24" s="2">
        <v>17</v>
      </c>
      <c r="J24" s="2" t="s">
        <v>21</v>
      </c>
      <c r="K24" s="2" t="s">
        <v>108</v>
      </c>
    </row>
    <row r="25" spans="1:11">
      <c r="A25" s="3">
        <v>1</v>
      </c>
      <c r="B25" s="3" t="s">
        <v>11</v>
      </c>
      <c r="C25" s="3" t="s">
        <v>109</v>
      </c>
      <c r="D25" s="3"/>
      <c r="E25" s="3">
        <v>2023</v>
      </c>
      <c r="F25" s="3" t="s">
        <v>110</v>
      </c>
      <c r="G25" s="3"/>
      <c r="H25" s="3" t="s">
        <v>111</v>
      </c>
      <c r="I25" s="3">
        <v>1</v>
      </c>
      <c r="J25" s="3"/>
      <c r="K25" s="3" t="s">
        <v>112</v>
      </c>
    </row>
    <row r="26" spans="1:11">
      <c r="A26" s="2">
        <v>2</v>
      </c>
      <c r="B26" s="2" t="s">
        <v>11</v>
      </c>
      <c r="C26" s="2" t="s">
        <v>113</v>
      </c>
      <c r="D26" s="2" t="s">
        <v>114</v>
      </c>
      <c r="E26" s="2">
        <v>2023</v>
      </c>
      <c r="F26" s="2" t="s">
        <v>115</v>
      </c>
      <c r="G26" s="2"/>
      <c r="H26" s="2" t="s">
        <v>116</v>
      </c>
      <c r="I26" s="2">
        <v>18</v>
      </c>
      <c r="J26" s="2" t="s">
        <v>21</v>
      </c>
      <c r="K26" s="2" t="s">
        <v>117</v>
      </c>
    </row>
    <row r="27" spans="1:11">
      <c r="A27" s="3">
        <v>4</v>
      </c>
      <c r="B27" s="3" t="s">
        <v>11</v>
      </c>
      <c r="C27" s="3" t="s">
        <v>118</v>
      </c>
      <c r="D27" s="3"/>
      <c r="E27" s="3">
        <v>2023</v>
      </c>
      <c r="F27" s="3" t="s">
        <v>119</v>
      </c>
      <c r="G27" s="3"/>
      <c r="H27" s="3" t="s">
        <v>120</v>
      </c>
      <c r="I27" s="3">
        <v>12</v>
      </c>
      <c r="J27" s="3" t="s">
        <v>21</v>
      </c>
      <c r="K27" s="3" t="s">
        <v>121</v>
      </c>
    </row>
    <row r="28" spans="1:11">
      <c r="A28" s="2">
        <v>5</v>
      </c>
      <c r="B28" s="2" t="s">
        <v>11</v>
      </c>
      <c r="C28" s="2" t="s">
        <v>122</v>
      </c>
      <c r="D28" s="2" t="s">
        <v>123</v>
      </c>
      <c r="E28" s="2">
        <v>2023</v>
      </c>
      <c r="F28" s="2"/>
      <c r="G28" s="2"/>
      <c r="H28" s="2" t="s">
        <v>124</v>
      </c>
      <c r="I28" s="2">
        <v>13</v>
      </c>
      <c r="J28" s="2" t="s">
        <v>21</v>
      </c>
      <c r="K28" s="2" t="s">
        <v>125</v>
      </c>
    </row>
    <row r="29" spans="1:11">
      <c r="A29" s="3">
        <v>3</v>
      </c>
      <c r="B29" s="3" t="s">
        <v>11</v>
      </c>
      <c r="C29" s="3" t="s">
        <v>126</v>
      </c>
      <c r="D29" s="3"/>
      <c r="E29" s="3">
        <v>2023</v>
      </c>
      <c r="F29" s="3"/>
      <c r="G29" s="3"/>
      <c r="H29" s="3" t="s">
        <v>127</v>
      </c>
      <c r="I29" s="3">
        <v>61</v>
      </c>
      <c r="J29" s="3" t="s">
        <v>128</v>
      </c>
      <c r="K29" s="3" t="s">
        <v>129</v>
      </c>
    </row>
    <row r="30" spans="1:11">
      <c r="A30" s="2">
        <v>6</v>
      </c>
      <c r="B30" s="2" t="s">
        <v>11</v>
      </c>
      <c r="C30" s="2" t="s">
        <v>130</v>
      </c>
      <c r="D30" s="2"/>
      <c r="E30" s="2">
        <v>2023</v>
      </c>
      <c r="F30" s="2"/>
      <c r="G30" s="2"/>
      <c r="H30" s="2" t="s">
        <v>131</v>
      </c>
      <c r="I30" s="2">
        <v>13</v>
      </c>
      <c r="J30" s="2" t="s">
        <v>84</v>
      </c>
      <c r="K30" s="2" t="s">
        <v>132</v>
      </c>
    </row>
    <row r="31" spans="1:11">
      <c r="A31" s="3">
        <v>39</v>
      </c>
      <c r="B31" s="3" t="s">
        <v>11</v>
      </c>
      <c r="C31" s="3" t="s">
        <v>133</v>
      </c>
      <c r="D31" s="3" t="s">
        <v>134</v>
      </c>
      <c r="E31" s="3">
        <v>2022</v>
      </c>
      <c r="F31" s="3" t="s">
        <v>135</v>
      </c>
      <c r="G31" s="3"/>
      <c r="H31" s="3"/>
      <c r="I31" s="3">
        <v>13</v>
      </c>
      <c r="J31" s="3" t="s">
        <v>26</v>
      </c>
      <c r="K31" s="3" t="s">
        <v>136</v>
      </c>
    </row>
    <row r="32" spans="1:11">
      <c r="A32" s="2">
        <v>44</v>
      </c>
      <c r="B32" s="2" t="s">
        <v>11</v>
      </c>
      <c r="C32" s="2" t="s">
        <v>137</v>
      </c>
      <c r="D32" s="2"/>
      <c r="E32" s="2">
        <v>2022</v>
      </c>
      <c r="F32" s="2" t="s">
        <v>138</v>
      </c>
      <c r="G32" s="2"/>
      <c r="H32" s="2" t="s">
        <v>139</v>
      </c>
      <c r="I32" s="2">
        <v>9</v>
      </c>
      <c r="J32" s="2" t="s">
        <v>84</v>
      </c>
      <c r="K32" s="2" t="s">
        <v>140</v>
      </c>
    </row>
    <row r="33" spans="1:11">
      <c r="A33" s="3">
        <v>20</v>
      </c>
      <c r="B33" s="3" t="s">
        <v>11</v>
      </c>
      <c r="C33" s="3" t="s">
        <v>141</v>
      </c>
      <c r="D33" s="3"/>
      <c r="E33" s="3">
        <v>2021</v>
      </c>
      <c r="F33" s="3"/>
      <c r="G33" s="3"/>
      <c r="H33" s="3"/>
      <c r="I33" s="3">
        <v>25</v>
      </c>
      <c r="J33" s="3" t="s">
        <v>142</v>
      </c>
      <c r="K33" s="3" t="s">
        <v>143</v>
      </c>
    </row>
    <row r="34" spans="1:11">
      <c r="A34" s="2">
        <v>51</v>
      </c>
      <c r="B34" s="2" t="s">
        <v>11</v>
      </c>
      <c r="C34" s="2" t="s">
        <v>144</v>
      </c>
      <c r="D34" s="2" t="s">
        <v>145</v>
      </c>
      <c r="E34" s="2">
        <v>2021</v>
      </c>
      <c r="F34" s="2" t="s">
        <v>146</v>
      </c>
      <c r="G34" s="2"/>
      <c r="H34" s="2" t="s">
        <v>147</v>
      </c>
      <c r="I34" s="2">
        <v>6</v>
      </c>
      <c r="J34" s="2" t="s">
        <v>21</v>
      </c>
      <c r="K34" s="2" t="s">
        <v>148</v>
      </c>
    </row>
    <row r="35" spans="1:11">
      <c r="A35" s="3">
        <v>52</v>
      </c>
      <c r="B35" s="3" t="s">
        <v>11</v>
      </c>
      <c r="C35" s="3" t="s">
        <v>149</v>
      </c>
      <c r="D35" s="3"/>
      <c r="E35" s="3">
        <v>2021</v>
      </c>
      <c r="F35" s="3" t="s">
        <v>150</v>
      </c>
      <c r="G35" s="3"/>
      <c r="H35" s="3"/>
      <c r="I35" s="3">
        <v>23</v>
      </c>
      <c r="J35" s="3" t="s">
        <v>21</v>
      </c>
      <c r="K35" s="3" t="s">
        <v>151</v>
      </c>
    </row>
    <row r="36" spans="1:11">
      <c r="A36" s="2">
        <v>58</v>
      </c>
      <c r="B36" s="2" t="s">
        <v>11</v>
      </c>
      <c r="C36" s="2" t="s">
        <v>152</v>
      </c>
      <c r="D36" s="2"/>
      <c r="E36" s="2">
        <v>2021</v>
      </c>
      <c r="F36" s="2"/>
      <c r="G36" s="2"/>
      <c r="H36" s="2" t="s">
        <v>153</v>
      </c>
      <c r="I36" s="2">
        <v>10</v>
      </c>
      <c r="J36" s="2" t="s">
        <v>65</v>
      </c>
      <c r="K36" s="2" t="s">
        <v>154</v>
      </c>
    </row>
    <row r="37" spans="1:11">
      <c r="A37" s="3">
        <v>35</v>
      </c>
      <c r="B37" s="3" t="s">
        <v>11</v>
      </c>
      <c r="C37" s="3" t="s">
        <v>155</v>
      </c>
      <c r="D37" s="3"/>
      <c r="E37" s="3">
        <v>2020</v>
      </c>
      <c r="F37" s="3"/>
      <c r="G37" s="3"/>
      <c r="H37" s="3" t="s">
        <v>156</v>
      </c>
      <c r="I37" s="3">
        <v>14</v>
      </c>
      <c r="J37" s="3" t="s">
        <v>26</v>
      </c>
      <c r="K37" s="3" t="s">
        <v>157</v>
      </c>
    </row>
    <row r="38" spans="1:11">
      <c r="A38" s="2">
        <v>49</v>
      </c>
      <c r="B38" s="2" t="s">
        <v>11</v>
      </c>
      <c r="C38" s="2" t="s">
        <v>158</v>
      </c>
      <c r="D38" s="2"/>
      <c r="E38" s="2">
        <v>2020</v>
      </c>
      <c r="F38" s="2"/>
      <c r="G38" s="2"/>
      <c r="H38" s="2" t="s">
        <v>159</v>
      </c>
      <c r="I38" s="2">
        <v>10</v>
      </c>
      <c r="J38" s="2"/>
      <c r="K38" s="2" t="s">
        <v>112</v>
      </c>
    </row>
    <row r="39" spans="1:11">
      <c r="A39" s="3">
        <v>34</v>
      </c>
      <c r="B39" s="3" t="s">
        <v>11</v>
      </c>
      <c r="C39" s="3" t="s">
        <v>160</v>
      </c>
      <c r="D39" s="3"/>
      <c r="E39" s="3">
        <v>2019</v>
      </c>
      <c r="F39" s="3"/>
      <c r="G39" s="3"/>
      <c r="H39" s="3" t="s">
        <v>161</v>
      </c>
      <c r="I39" s="3">
        <v>10</v>
      </c>
      <c r="J39" s="3" t="s">
        <v>162</v>
      </c>
      <c r="K39" s="3" t="s">
        <v>163</v>
      </c>
    </row>
    <row r="40" spans="1:11">
      <c r="A40" s="2">
        <v>32</v>
      </c>
      <c r="B40" s="2" t="s">
        <v>11</v>
      </c>
      <c r="C40" s="2" t="s">
        <v>164</v>
      </c>
      <c r="D40" s="2"/>
      <c r="E40" s="2">
        <v>2018</v>
      </c>
      <c r="F40" s="2" t="s">
        <v>165</v>
      </c>
      <c r="G40" s="2"/>
      <c r="H40" s="2"/>
      <c r="I40" s="2">
        <v>7</v>
      </c>
      <c r="J40" s="2" t="s">
        <v>21</v>
      </c>
      <c r="K40" s="2" t="s">
        <v>166</v>
      </c>
    </row>
    <row r="41" spans="1:11">
      <c r="A41" s="3">
        <v>48</v>
      </c>
      <c r="B41" s="3" t="s">
        <v>11</v>
      </c>
      <c r="C41" s="3" t="s">
        <v>167</v>
      </c>
      <c r="D41" s="3" t="s">
        <v>77</v>
      </c>
      <c r="E41" s="3">
        <v>2018</v>
      </c>
      <c r="F41" s="3" t="s">
        <v>168</v>
      </c>
      <c r="G41" s="3"/>
      <c r="H41" s="3" t="s">
        <v>169</v>
      </c>
      <c r="I41" s="3">
        <v>7</v>
      </c>
      <c r="J41" s="3" t="s">
        <v>170</v>
      </c>
      <c r="K41" s="3" t="s">
        <v>171</v>
      </c>
    </row>
    <row r="42" spans="1:11">
      <c r="A42" s="2">
        <v>24</v>
      </c>
      <c r="B42" s="2" t="s">
        <v>11</v>
      </c>
      <c r="C42" s="2" t="s">
        <v>172</v>
      </c>
      <c r="D42" s="2" t="s">
        <v>173</v>
      </c>
      <c r="E42" s="2">
        <v>2016</v>
      </c>
      <c r="F42" s="2" t="s">
        <v>174</v>
      </c>
      <c r="G42" s="2"/>
      <c r="H42" s="2"/>
      <c r="I42" s="2">
        <v>6</v>
      </c>
      <c r="J42" s="2" t="s">
        <v>170</v>
      </c>
      <c r="K42" s="2" t="s">
        <v>71</v>
      </c>
    </row>
    <row r="43" spans="1:11">
      <c r="A43" s="3">
        <v>28</v>
      </c>
      <c r="B43" s="3" t="s">
        <v>11</v>
      </c>
      <c r="C43" s="3" t="s">
        <v>175</v>
      </c>
      <c r="D43" s="3" t="s">
        <v>176</v>
      </c>
      <c r="E43" s="3">
        <v>2015</v>
      </c>
      <c r="F43" s="3" t="s">
        <v>177</v>
      </c>
      <c r="G43" s="3"/>
      <c r="H43" s="3" t="s">
        <v>178</v>
      </c>
      <c r="I43" s="3">
        <v>26</v>
      </c>
      <c r="J43" s="3" t="s">
        <v>21</v>
      </c>
      <c r="K43" s="3" t="s">
        <v>179</v>
      </c>
    </row>
    <row r="44" spans="1:11">
      <c r="A44" s="2">
        <v>25</v>
      </c>
      <c r="B44" s="2" t="s">
        <v>11</v>
      </c>
      <c r="C44" s="2" t="s">
        <v>180</v>
      </c>
      <c r="D44" s="2" t="s">
        <v>181</v>
      </c>
      <c r="E44" s="2">
        <v>2015</v>
      </c>
      <c r="F44" s="2" t="s">
        <v>182</v>
      </c>
      <c r="G44" s="2"/>
      <c r="H44" s="2"/>
      <c r="I44" s="2">
        <v>6</v>
      </c>
      <c r="J44" s="2" t="s">
        <v>21</v>
      </c>
      <c r="K44" s="2" t="s">
        <v>183</v>
      </c>
    </row>
    <row r="45" spans="1:11">
      <c r="A45" s="3">
        <v>29</v>
      </c>
      <c r="B45" s="3" t="s">
        <v>11</v>
      </c>
      <c r="C45" s="3" t="s">
        <v>184</v>
      </c>
      <c r="D45" s="3" t="s">
        <v>185</v>
      </c>
      <c r="E45" s="3">
        <v>2012</v>
      </c>
      <c r="F45" s="3" t="s">
        <v>186</v>
      </c>
      <c r="G45" s="3"/>
      <c r="H45" s="3" t="s">
        <v>187</v>
      </c>
      <c r="I45" s="3">
        <v>8</v>
      </c>
      <c r="J45" s="3" t="s">
        <v>21</v>
      </c>
      <c r="K45" s="3" t="s">
        <v>151</v>
      </c>
    </row>
    <row r="46" spans="1:11">
      <c r="A46" s="2">
        <v>40</v>
      </c>
      <c r="B46" s="2" t="s">
        <v>11</v>
      </c>
      <c r="C46" s="2" t="s">
        <v>188</v>
      </c>
      <c r="D46" s="2"/>
      <c r="E46" s="2">
        <v>2012</v>
      </c>
      <c r="F46" s="2" t="s">
        <v>189</v>
      </c>
      <c r="G46" s="2"/>
      <c r="H46" s="2"/>
      <c r="I46" s="2">
        <v>24</v>
      </c>
      <c r="J46" s="2" t="s">
        <v>190</v>
      </c>
      <c r="K46" s="2" t="s">
        <v>191</v>
      </c>
    </row>
    <row r="47" spans="1:11">
      <c r="A47" s="3">
        <v>22</v>
      </c>
      <c r="B47" s="3" t="s">
        <v>11</v>
      </c>
      <c r="C47" s="3" t="s">
        <v>192</v>
      </c>
      <c r="D47" s="3" t="s">
        <v>193</v>
      </c>
      <c r="E47" s="3">
        <v>2011</v>
      </c>
      <c r="F47" s="3" t="s">
        <v>194</v>
      </c>
      <c r="G47" s="3"/>
      <c r="H47" s="3" t="s">
        <v>195</v>
      </c>
      <c r="I47" s="3">
        <v>6</v>
      </c>
      <c r="J47" s="3" t="s">
        <v>84</v>
      </c>
      <c r="K47" s="3" t="s">
        <v>196</v>
      </c>
    </row>
    <row r="48" spans="1:11">
      <c r="A48" s="2">
        <v>23</v>
      </c>
      <c r="B48" s="2" t="s">
        <v>11</v>
      </c>
      <c r="C48" s="2" t="s">
        <v>192</v>
      </c>
      <c r="D48" s="2" t="s">
        <v>193</v>
      </c>
      <c r="E48" s="2">
        <v>2011</v>
      </c>
      <c r="F48" s="2" t="s">
        <v>194</v>
      </c>
      <c r="G48" s="2"/>
      <c r="H48" s="2" t="s">
        <v>195</v>
      </c>
      <c r="I48" s="2">
        <v>6</v>
      </c>
      <c r="J48" s="2" t="s">
        <v>84</v>
      </c>
      <c r="K48" s="2" t="s">
        <v>196</v>
      </c>
    </row>
    <row r="49" spans="1:11">
      <c r="A49" s="3">
        <v>45</v>
      </c>
      <c r="B49" s="3" t="s">
        <v>11</v>
      </c>
      <c r="C49" s="3" t="s">
        <v>197</v>
      </c>
      <c r="D49" s="3" t="s">
        <v>198</v>
      </c>
      <c r="E49" s="3">
        <v>2009</v>
      </c>
      <c r="F49" s="3" t="s">
        <v>199</v>
      </c>
      <c r="G49" s="3"/>
      <c r="H49" s="3" t="s">
        <v>200</v>
      </c>
      <c r="I49" s="3">
        <v>15</v>
      </c>
      <c r="J49" s="3" t="s">
        <v>201</v>
      </c>
      <c r="K49" s="3" t="s">
        <v>112</v>
      </c>
    </row>
    <row r="50" spans="1:11">
      <c r="A50" s="2">
        <v>54</v>
      </c>
      <c r="B50" s="2" t="s">
        <v>11</v>
      </c>
      <c r="C50" s="2" t="s">
        <v>202</v>
      </c>
      <c r="D50" s="2"/>
      <c r="E50" s="2">
        <v>2003</v>
      </c>
      <c r="F50" s="2"/>
      <c r="G50" s="2"/>
      <c r="H50" s="2" t="s">
        <v>203</v>
      </c>
      <c r="I50" s="2">
        <v>140</v>
      </c>
      <c r="J50" s="2" t="s">
        <v>142</v>
      </c>
      <c r="K50" s="2" t="s">
        <v>204</v>
      </c>
    </row>
    <row r="51" spans="1:11">
      <c r="A51" s="3">
        <v>43</v>
      </c>
      <c r="B51" s="3" t="s">
        <v>11</v>
      </c>
      <c r="C51" s="3" t="s">
        <v>205</v>
      </c>
      <c r="D51" s="3"/>
      <c r="E51" s="3">
        <v>1999</v>
      </c>
      <c r="F51" s="3"/>
      <c r="G51" s="3"/>
      <c r="H51" s="3" t="s">
        <v>206</v>
      </c>
      <c r="I51" s="3">
        <v>3</v>
      </c>
      <c r="J51" s="3" t="s">
        <v>21</v>
      </c>
      <c r="K51" s="3" t="s">
        <v>183</v>
      </c>
    </row>
    <row r="52" spans="1:11">
      <c r="A52" s="2">
        <v>31</v>
      </c>
      <c r="B52" s="2" t="s">
        <v>11</v>
      </c>
      <c r="C52" s="2" t="s">
        <v>207</v>
      </c>
      <c r="D52" s="2"/>
      <c r="E52" s="2">
        <v>1978</v>
      </c>
      <c r="F52" s="2"/>
      <c r="G52" s="2"/>
      <c r="H52" s="2" t="s">
        <v>208</v>
      </c>
      <c r="I52" s="2">
        <v>8</v>
      </c>
      <c r="J52" s="2" t="s">
        <v>21</v>
      </c>
      <c r="K52" s="2" t="s">
        <v>143</v>
      </c>
    </row>
    <row r="53" spans="1:11">
      <c r="A53" s="3">
        <v>30</v>
      </c>
      <c r="B53" s="3" t="s">
        <v>11</v>
      </c>
      <c r="C53" s="3" t="s">
        <v>209</v>
      </c>
      <c r="D53" s="3"/>
      <c r="E53" s="3">
        <v>1963</v>
      </c>
      <c r="F53" s="3" t="s">
        <v>210</v>
      </c>
      <c r="G53" s="3"/>
      <c r="H53" s="3"/>
      <c r="I53" s="3">
        <v>4</v>
      </c>
      <c r="J53" s="3" t="s">
        <v>21</v>
      </c>
      <c r="K53" s="3" t="s">
        <v>211</v>
      </c>
    </row>
    <row r="54" spans="1:11">
      <c r="A54" s="2">
        <v>50</v>
      </c>
      <c r="B54" s="2" t="s">
        <v>11</v>
      </c>
      <c r="C54" s="2" t="s">
        <v>212</v>
      </c>
      <c r="D54" s="2"/>
      <c r="E54" s="2">
        <v>1961</v>
      </c>
      <c r="F54" s="2"/>
      <c r="G54" s="2"/>
      <c r="H54" s="2" t="s">
        <v>213</v>
      </c>
      <c r="I54" s="2">
        <v>7</v>
      </c>
      <c r="J54" s="2" t="s">
        <v>21</v>
      </c>
      <c r="K54" s="2" t="s">
        <v>214</v>
      </c>
    </row>
    <row r="55" spans="1:11">
      <c r="A55" s="3">
        <v>53</v>
      </c>
      <c r="B55" s="3" t="s">
        <v>11</v>
      </c>
      <c r="C55" s="3" t="s">
        <v>215</v>
      </c>
      <c r="D55" s="3"/>
      <c r="E55" s="3"/>
      <c r="F55" s="3"/>
      <c r="G55" s="3"/>
      <c r="H55" s="3" t="s">
        <v>216</v>
      </c>
      <c r="I55" s="3">
        <v>4</v>
      </c>
      <c r="J55" s="3" t="s">
        <v>170</v>
      </c>
      <c r="K55" s="3" t="s">
        <v>217</v>
      </c>
    </row>
    <row r="56" spans="1:11">
      <c r="A56" s="2">
        <v>55</v>
      </c>
      <c r="B56" s="2" t="s">
        <v>11</v>
      </c>
      <c r="C56" s="2" t="s">
        <v>218</v>
      </c>
      <c r="D56" s="2"/>
      <c r="E56" s="2"/>
      <c r="F56" s="2"/>
      <c r="G56" s="2"/>
      <c r="H56" s="2" t="s">
        <v>219</v>
      </c>
      <c r="I56" s="2">
        <v>7</v>
      </c>
      <c r="J56" s="2" t="s">
        <v>65</v>
      </c>
      <c r="K56" s="2" t="s">
        <v>220</v>
      </c>
    </row>
    <row r="57" spans="1:11">
      <c r="A57" s="3">
        <v>37</v>
      </c>
      <c r="B57" s="3" t="s">
        <v>11</v>
      </c>
      <c r="C57" s="3" t="s">
        <v>221</v>
      </c>
      <c r="D57" s="3"/>
      <c r="E57" s="3"/>
      <c r="F57" s="3"/>
      <c r="G57" s="3"/>
      <c r="H57" s="3"/>
      <c r="I57" s="3"/>
      <c r="J57" s="3"/>
      <c r="K57" s="3" t="s">
        <v>222</v>
      </c>
    </row>
    <row r="58" spans="1:11">
      <c r="A58" s="2">
        <v>38</v>
      </c>
      <c r="B58" s="2" t="s">
        <v>11</v>
      </c>
      <c r="C58" s="2" t="s">
        <v>223</v>
      </c>
      <c r="D58" s="2" t="s">
        <v>224</v>
      </c>
      <c r="E58" s="2"/>
      <c r="F58" s="2"/>
      <c r="G58" s="2"/>
      <c r="H58" s="2"/>
      <c r="I58" s="2">
        <v>16</v>
      </c>
      <c r="J58" s="2"/>
      <c r="K58" s="2" t="s">
        <v>225</v>
      </c>
    </row>
    <row r="59" spans="1:11">
      <c r="A59" s="3">
        <v>27</v>
      </c>
      <c r="B59" s="3" t="s">
        <v>11</v>
      </c>
      <c r="C59" s="3" t="s">
        <v>226</v>
      </c>
      <c r="D59" s="3"/>
      <c r="E59" s="3"/>
      <c r="F59" s="3"/>
      <c r="G59" s="3"/>
      <c r="H59" s="3" t="s">
        <v>227</v>
      </c>
      <c r="I59" s="3">
        <v>2</v>
      </c>
      <c r="J59" s="3" t="s">
        <v>142</v>
      </c>
      <c r="K59" s="3" t="s">
        <v>31</v>
      </c>
    </row>
    <row r="60" spans="1:11">
      <c r="A60" s="2">
        <v>21</v>
      </c>
      <c r="B60" s="2" t="s">
        <v>11</v>
      </c>
      <c r="C60" s="2" t="s">
        <v>228</v>
      </c>
      <c r="D60" s="2"/>
      <c r="E60" s="2"/>
      <c r="F60" s="2"/>
      <c r="G60" s="2"/>
      <c r="H60" s="2"/>
      <c r="I60" s="2">
        <v>27</v>
      </c>
      <c r="J60" s="2"/>
      <c r="K60" s="2" t="s">
        <v>112</v>
      </c>
    </row>
    <row r="61" spans="1:11">
      <c r="A61" s="3">
        <v>75</v>
      </c>
      <c r="B61" s="3" t="s">
        <v>229</v>
      </c>
      <c r="C61" s="3" t="s">
        <v>230</v>
      </c>
      <c r="D61" s="3"/>
      <c r="E61" s="3">
        <v>2026</v>
      </c>
      <c r="F61" s="3" t="s">
        <v>231</v>
      </c>
      <c r="G61" s="3"/>
      <c r="H61" s="3" t="s">
        <v>232</v>
      </c>
      <c r="I61" s="3">
        <v>24</v>
      </c>
      <c r="J61" s="3" t="s">
        <v>233</v>
      </c>
      <c r="K61" s="3" t="s">
        <v>234</v>
      </c>
    </row>
    <row r="62" spans="1:11">
      <c r="A62" s="2">
        <v>71</v>
      </c>
      <c r="B62" s="2" t="s">
        <v>229</v>
      </c>
      <c r="C62" s="2" t="s">
        <v>235</v>
      </c>
      <c r="D62" s="2" t="s">
        <v>236</v>
      </c>
      <c r="E62" s="2">
        <v>2026</v>
      </c>
      <c r="F62" s="2"/>
      <c r="G62" s="2"/>
      <c r="H62" s="2"/>
      <c r="I62" s="2">
        <v>10</v>
      </c>
      <c r="J62" s="2" t="s">
        <v>84</v>
      </c>
      <c r="K62" s="2" t="s">
        <v>237</v>
      </c>
    </row>
    <row r="63" spans="1:11">
      <c r="A63" s="3">
        <v>72</v>
      </c>
      <c r="B63" s="3" t="s">
        <v>229</v>
      </c>
      <c r="C63" s="3" t="s">
        <v>238</v>
      </c>
      <c r="D63" s="3" t="s">
        <v>239</v>
      </c>
      <c r="E63" s="3">
        <v>2026</v>
      </c>
      <c r="F63" s="3"/>
      <c r="G63" s="3"/>
      <c r="H63" s="3"/>
      <c r="I63" s="3">
        <v>13</v>
      </c>
      <c r="J63" s="3" t="s">
        <v>65</v>
      </c>
      <c r="K63" s="3" t="s">
        <v>234</v>
      </c>
    </row>
    <row r="64" spans="1:11">
      <c r="A64" s="2">
        <v>73</v>
      </c>
      <c r="B64" s="2" t="s">
        <v>229</v>
      </c>
      <c r="C64" s="2" t="s">
        <v>240</v>
      </c>
      <c r="D64" s="2" t="s">
        <v>241</v>
      </c>
      <c r="E64" s="2">
        <v>2026</v>
      </c>
      <c r="F64" s="2"/>
      <c r="G64" s="2"/>
      <c r="H64" s="2"/>
      <c r="I64" s="2">
        <v>6</v>
      </c>
      <c r="J64" s="2" t="s">
        <v>65</v>
      </c>
      <c r="K64" s="2" t="s">
        <v>242</v>
      </c>
    </row>
    <row r="65" spans="1:11">
      <c r="A65" s="3">
        <v>65</v>
      </c>
      <c r="B65" s="3" t="s">
        <v>229</v>
      </c>
      <c r="C65" s="3" t="s">
        <v>243</v>
      </c>
      <c r="D65" s="3" t="s">
        <v>244</v>
      </c>
      <c r="E65" s="3">
        <v>2025</v>
      </c>
      <c r="F65" s="3"/>
      <c r="G65" s="3"/>
      <c r="H65" s="3"/>
      <c r="I65" s="3">
        <v>24</v>
      </c>
      <c r="J65" s="3" t="s">
        <v>245</v>
      </c>
      <c r="K65" s="3" t="s">
        <v>166</v>
      </c>
    </row>
    <row r="66" spans="1:11">
      <c r="A66" s="2">
        <v>79</v>
      </c>
      <c r="B66" s="2" t="s">
        <v>229</v>
      </c>
      <c r="C66" s="2" t="s">
        <v>246</v>
      </c>
      <c r="D66" s="2"/>
      <c r="E66" s="2">
        <v>2025</v>
      </c>
      <c r="F66" s="2" t="s">
        <v>247</v>
      </c>
      <c r="G66" s="2"/>
      <c r="H66" s="2" t="s">
        <v>248</v>
      </c>
      <c r="I66" s="2">
        <v>11</v>
      </c>
      <c r="J66" s="2" t="s">
        <v>84</v>
      </c>
      <c r="K66" s="2" t="s">
        <v>129</v>
      </c>
    </row>
    <row r="67" spans="1:11">
      <c r="A67" s="3">
        <v>66</v>
      </c>
      <c r="B67" s="3" t="s">
        <v>229</v>
      </c>
      <c r="C67" s="3" t="s">
        <v>249</v>
      </c>
      <c r="D67" s="3"/>
      <c r="E67" s="3">
        <v>2025</v>
      </c>
      <c r="F67" s="3"/>
      <c r="G67" s="3"/>
      <c r="H67" s="3"/>
      <c r="I67" s="3">
        <v>15</v>
      </c>
      <c r="J67" s="3" t="s">
        <v>250</v>
      </c>
      <c r="K67" s="3" t="s">
        <v>251</v>
      </c>
    </row>
    <row r="68" spans="1:11">
      <c r="A68" s="2">
        <v>67</v>
      </c>
      <c r="B68" s="2" t="s">
        <v>229</v>
      </c>
      <c r="C68" s="2" t="s">
        <v>252</v>
      </c>
      <c r="D68" s="2" t="s">
        <v>33</v>
      </c>
      <c r="E68" s="2">
        <v>2025</v>
      </c>
      <c r="F68" s="2"/>
      <c r="G68" s="2"/>
      <c r="H68" s="2"/>
      <c r="I68" s="2">
        <v>20</v>
      </c>
      <c r="J68" s="2" t="s">
        <v>26</v>
      </c>
      <c r="K68" s="2" t="s">
        <v>253</v>
      </c>
    </row>
    <row r="69" spans="1:11">
      <c r="A69" s="3">
        <v>68</v>
      </c>
      <c r="B69" s="3" t="s">
        <v>229</v>
      </c>
      <c r="C69" s="3" t="s">
        <v>254</v>
      </c>
      <c r="D69" s="3" t="s">
        <v>255</v>
      </c>
      <c r="E69" s="3">
        <v>2025</v>
      </c>
      <c r="F69" s="3"/>
      <c r="G69" s="3"/>
      <c r="H69" s="3" t="s">
        <v>256</v>
      </c>
      <c r="I69" s="3">
        <v>7</v>
      </c>
      <c r="J69" s="3" t="s">
        <v>257</v>
      </c>
      <c r="K69" s="3" t="s">
        <v>258</v>
      </c>
    </row>
    <row r="70" spans="1:11">
      <c r="A70" s="2">
        <v>69</v>
      </c>
      <c r="B70" s="2" t="s">
        <v>229</v>
      </c>
      <c r="C70" s="2" t="s">
        <v>259</v>
      </c>
      <c r="D70" s="2" t="s">
        <v>260</v>
      </c>
      <c r="E70" s="2">
        <v>2025</v>
      </c>
      <c r="F70" s="2"/>
      <c r="G70" s="2"/>
      <c r="H70" s="2"/>
      <c r="I70" s="2">
        <v>13</v>
      </c>
      <c r="J70" s="2" t="s">
        <v>21</v>
      </c>
      <c r="K70" s="2" t="s">
        <v>261</v>
      </c>
    </row>
    <row r="71" spans="1:11">
      <c r="A71" s="3">
        <v>70</v>
      </c>
      <c r="B71" s="3" t="s">
        <v>229</v>
      </c>
      <c r="C71" s="3" t="s">
        <v>262</v>
      </c>
      <c r="D71" s="3" t="s">
        <v>263</v>
      </c>
      <c r="E71" s="3">
        <v>2025</v>
      </c>
      <c r="F71" s="3"/>
      <c r="G71" s="3"/>
      <c r="H71" s="3"/>
      <c r="I71" s="3">
        <v>10</v>
      </c>
      <c r="J71" s="3" t="s">
        <v>21</v>
      </c>
      <c r="K71" s="3" t="s">
        <v>264</v>
      </c>
    </row>
    <row r="72" spans="1:11">
      <c r="A72" s="2">
        <v>63</v>
      </c>
      <c r="B72" s="2" t="s">
        <v>229</v>
      </c>
      <c r="C72" s="2" t="s">
        <v>265</v>
      </c>
      <c r="D72" s="2"/>
      <c r="E72" s="2">
        <v>2024</v>
      </c>
      <c r="F72" s="2"/>
      <c r="G72" s="2"/>
      <c r="H72" s="2" t="s">
        <v>266</v>
      </c>
      <c r="I72" s="2">
        <v>8</v>
      </c>
      <c r="J72" s="2" t="s">
        <v>65</v>
      </c>
      <c r="K72" s="2" t="s">
        <v>267</v>
      </c>
    </row>
    <row r="73" spans="1:11">
      <c r="A73" s="3">
        <v>76</v>
      </c>
      <c r="B73" s="3" t="s">
        <v>229</v>
      </c>
      <c r="C73" s="3" t="s">
        <v>268</v>
      </c>
      <c r="D73" s="3" t="s">
        <v>269</v>
      </c>
      <c r="E73" s="3">
        <v>2024</v>
      </c>
      <c r="F73" s="3" t="s">
        <v>270</v>
      </c>
      <c r="G73" s="3"/>
      <c r="H73" s="3" t="s">
        <v>271</v>
      </c>
      <c r="I73" s="3">
        <v>10</v>
      </c>
      <c r="J73" s="3" t="s">
        <v>21</v>
      </c>
      <c r="K73" s="3" t="s">
        <v>272</v>
      </c>
    </row>
    <row r="74" spans="1:11">
      <c r="A74" s="2">
        <v>61</v>
      </c>
      <c r="B74" s="2" t="s">
        <v>229</v>
      </c>
      <c r="C74" s="2" t="s">
        <v>273</v>
      </c>
      <c r="D74" s="2"/>
      <c r="E74" s="2">
        <v>2024</v>
      </c>
      <c r="F74" s="2"/>
      <c r="G74" s="2"/>
      <c r="H74" s="2" t="s">
        <v>274</v>
      </c>
      <c r="I74" s="2">
        <v>13</v>
      </c>
      <c r="J74" s="2" t="s">
        <v>275</v>
      </c>
      <c r="K74" s="2" t="s">
        <v>276</v>
      </c>
    </row>
    <row r="75" spans="1:11">
      <c r="A75" s="3">
        <v>82</v>
      </c>
      <c r="B75" s="3" t="s">
        <v>229</v>
      </c>
      <c r="C75" s="3" t="s">
        <v>277</v>
      </c>
      <c r="D75" s="3"/>
      <c r="E75" s="3">
        <v>2024</v>
      </c>
      <c r="F75" s="3" t="s">
        <v>278</v>
      </c>
      <c r="G75" s="3"/>
      <c r="H75" s="3"/>
      <c r="I75" s="3">
        <v>11</v>
      </c>
      <c r="J75" s="3" t="s">
        <v>21</v>
      </c>
      <c r="K75" s="3" t="s">
        <v>279</v>
      </c>
    </row>
    <row r="76" spans="1:11">
      <c r="A76" s="2">
        <v>62</v>
      </c>
      <c r="B76" s="2" t="s">
        <v>229</v>
      </c>
      <c r="C76" s="2" t="s">
        <v>280</v>
      </c>
      <c r="D76" s="2"/>
      <c r="E76" s="2">
        <v>2024</v>
      </c>
      <c r="F76" s="2"/>
      <c r="G76" s="2"/>
      <c r="H76" s="2" t="s">
        <v>281</v>
      </c>
      <c r="I76" s="2">
        <v>16</v>
      </c>
      <c r="J76" s="2" t="s">
        <v>84</v>
      </c>
      <c r="K76" s="2" t="s">
        <v>282</v>
      </c>
    </row>
    <row r="77" spans="1:11">
      <c r="A77" s="3">
        <v>64</v>
      </c>
      <c r="B77" s="3" t="s">
        <v>229</v>
      </c>
      <c r="C77" s="3" t="s">
        <v>283</v>
      </c>
      <c r="D77" s="3"/>
      <c r="E77" s="3">
        <v>2024</v>
      </c>
      <c r="F77" s="3"/>
      <c r="G77" s="3"/>
      <c r="H77" s="3"/>
      <c r="I77" s="3">
        <v>54</v>
      </c>
      <c r="J77" s="3" t="s">
        <v>21</v>
      </c>
      <c r="K77" s="3" t="s">
        <v>284</v>
      </c>
    </row>
    <row r="78" spans="1:11">
      <c r="A78" s="2">
        <v>60</v>
      </c>
      <c r="B78" s="2" t="s">
        <v>229</v>
      </c>
      <c r="C78" s="2" t="s">
        <v>285</v>
      </c>
      <c r="D78" s="2"/>
      <c r="E78" s="2">
        <v>2023</v>
      </c>
      <c r="F78" s="2" t="s">
        <v>286</v>
      </c>
      <c r="G78" s="2"/>
      <c r="H78" s="2" t="s">
        <v>287</v>
      </c>
      <c r="I78" s="2">
        <v>12</v>
      </c>
      <c r="J78" s="2" t="s">
        <v>21</v>
      </c>
      <c r="K78" s="2" t="s">
        <v>288</v>
      </c>
    </row>
    <row r="79" spans="1:11">
      <c r="A79" s="3">
        <v>80</v>
      </c>
      <c r="B79" s="3" t="s">
        <v>229</v>
      </c>
      <c r="C79" s="3" t="s">
        <v>289</v>
      </c>
      <c r="D79" s="3"/>
      <c r="E79" s="3">
        <v>2017</v>
      </c>
      <c r="F79" s="3" t="s">
        <v>290</v>
      </c>
      <c r="G79" s="3"/>
      <c r="H79" s="3" t="s">
        <v>291</v>
      </c>
      <c r="I79" s="3">
        <v>6</v>
      </c>
      <c r="J79" s="3" t="s">
        <v>65</v>
      </c>
      <c r="K79" s="3" t="s">
        <v>292</v>
      </c>
    </row>
    <row r="80" spans="1:11">
      <c r="A80" s="2">
        <v>74</v>
      </c>
      <c r="B80" s="2" t="s">
        <v>229</v>
      </c>
      <c r="C80" s="2" t="s">
        <v>293</v>
      </c>
      <c r="D80" s="2"/>
      <c r="E80" s="2">
        <v>2015</v>
      </c>
      <c r="F80" s="2" t="s">
        <v>294</v>
      </c>
      <c r="G80" s="2"/>
      <c r="H80" s="2" t="s">
        <v>295</v>
      </c>
      <c r="I80" s="2">
        <v>11</v>
      </c>
      <c r="J80" s="2" t="s">
        <v>21</v>
      </c>
      <c r="K80" s="2" t="s">
        <v>296</v>
      </c>
    </row>
    <row r="81" spans="1:11">
      <c r="A81" s="3">
        <v>77</v>
      </c>
      <c r="B81" s="3" t="s">
        <v>229</v>
      </c>
      <c r="C81" s="3" t="s">
        <v>297</v>
      </c>
      <c r="D81" s="3" t="s">
        <v>298</v>
      </c>
      <c r="E81" s="3">
        <v>2015</v>
      </c>
      <c r="F81" s="3"/>
      <c r="G81" s="3"/>
      <c r="H81" s="3" t="s">
        <v>299</v>
      </c>
      <c r="I81" s="3">
        <v>263</v>
      </c>
      <c r="J81" s="3" t="s">
        <v>84</v>
      </c>
      <c r="K81" s="3" t="s">
        <v>300</v>
      </c>
    </row>
    <row r="82" spans="1:11">
      <c r="A82" s="2">
        <v>78</v>
      </c>
      <c r="B82" s="2" t="s">
        <v>229</v>
      </c>
      <c r="C82" s="2" t="s">
        <v>301</v>
      </c>
      <c r="D82" s="2"/>
      <c r="E82" s="2">
        <v>2014</v>
      </c>
      <c r="F82" s="2" t="s">
        <v>302</v>
      </c>
      <c r="G82" s="2"/>
      <c r="H82" s="2"/>
      <c r="I82" s="2">
        <v>2</v>
      </c>
      <c r="J82" s="2" t="s">
        <v>84</v>
      </c>
      <c r="K82" s="2" t="s">
        <v>303</v>
      </c>
    </row>
    <row r="83" spans="1:11">
      <c r="A83" s="3">
        <v>83</v>
      </c>
      <c r="B83" s="3" t="s">
        <v>229</v>
      </c>
      <c r="C83" s="3" t="s">
        <v>304</v>
      </c>
      <c r="D83" s="3"/>
      <c r="E83" s="3">
        <v>2006</v>
      </c>
      <c r="F83" s="3" t="s">
        <v>305</v>
      </c>
      <c r="G83" s="3"/>
      <c r="H83" s="3" t="s">
        <v>306</v>
      </c>
      <c r="I83" s="3">
        <v>17</v>
      </c>
      <c r="J83" s="3" t="s">
        <v>21</v>
      </c>
      <c r="K83" s="3" t="s">
        <v>307</v>
      </c>
    </row>
    <row r="84" spans="1:11">
      <c r="A84" s="2">
        <v>81</v>
      </c>
      <c r="B84" s="2" t="s">
        <v>229</v>
      </c>
      <c r="C84" s="2" t="s">
        <v>308</v>
      </c>
      <c r="D84" s="2" t="s">
        <v>309</v>
      </c>
      <c r="E84" s="2">
        <v>1998</v>
      </c>
      <c r="F84" s="2"/>
      <c r="G84" s="2"/>
      <c r="H84" s="2" t="s">
        <v>310</v>
      </c>
      <c r="I84" s="2">
        <v>7</v>
      </c>
      <c r="J84" s="2" t="s">
        <v>84</v>
      </c>
      <c r="K84" s="2" t="s">
        <v>272</v>
      </c>
    </row>
    <row r="85" spans="1:11">
      <c r="A85" s="3">
        <v>88</v>
      </c>
      <c r="B85" s="3" t="s">
        <v>311</v>
      </c>
      <c r="C85" s="3" t="s">
        <v>312</v>
      </c>
      <c r="D85" s="3" t="s">
        <v>313</v>
      </c>
      <c r="E85" s="3">
        <v>2025</v>
      </c>
      <c r="F85" s="3"/>
      <c r="G85" s="3"/>
      <c r="H85" s="3" t="s">
        <v>314</v>
      </c>
      <c r="I85" s="3">
        <v>42</v>
      </c>
      <c r="J85" s="3" t="s">
        <v>170</v>
      </c>
      <c r="K85" s="3" t="s">
        <v>315</v>
      </c>
    </row>
    <row r="86" spans="1:11">
      <c r="A86" s="2">
        <v>94</v>
      </c>
      <c r="B86" s="2" t="s">
        <v>311</v>
      </c>
      <c r="C86" s="2" t="s">
        <v>316</v>
      </c>
      <c r="D86" s="2" t="s">
        <v>317</v>
      </c>
      <c r="E86" s="2">
        <v>2025</v>
      </c>
      <c r="F86" s="2" t="s">
        <v>318</v>
      </c>
      <c r="G86" s="2"/>
      <c r="H86" s="2" t="s">
        <v>319</v>
      </c>
      <c r="I86" s="2">
        <v>14</v>
      </c>
      <c r="J86" s="2" t="s">
        <v>320</v>
      </c>
      <c r="K86" s="2" t="s">
        <v>321</v>
      </c>
    </row>
    <row r="87" spans="1:11">
      <c r="A87" s="3">
        <v>86</v>
      </c>
      <c r="B87" s="3" t="s">
        <v>311</v>
      </c>
      <c r="C87" s="3" t="s">
        <v>322</v>
      </c>
      <c r="D87" s="3" t="s">
        <v>323</v>
      </c>
      <c r="E87" s="3">
        <v>2024</v>
      </c>
      <c r="F87" s="3" t="s">
        <v>324</v>
      </c>
      <c r="G87" s="3"/>
      <c r="H87" s="3" t="s">
        <v>325</v>
      </c>
      <c r="I87" s="3">
        <v>38</v>
      </c>
      <c r="J87" s="3" t="s">
        <v>142</v>
      </c>
      <c r="K87" s="3" t="s">
        <v>321</v>
      </c>
    </row>
    <row r="88" spans="1:11">
      <c r="A88" s="2">
        <v>91</v>
      </c>
      <c r="B88" s="2" t="s">
        <v>311</v>
      </c>
      <c r="C88" s="2" t="s">
        <v>326</v>
      </c>
      <c r="D88" s="2"/>
      <c r="E88" s="2">
        <v>2024</v>
      </c>
      <c r="F88" s="2" t="s">
        <v>327</v>
      </c>
      <c r="G88" s="2"/>
      <c r="H88" s="2" t="s">
        <v>328</v>
      </c>
      <c r="I88" s="2">
        <v>9</v>
      </c>
      <c r="J88" s="2" t="s">
        <v>84</v>
      </c>
      <c r="K88" s="2" t="s">
        <v>329</v>
      </c>
    </row>
    <row r="89" spans="1:11">
      <c r="A89" s="3">
        <v>92</v>
      </c>
      <c r="B89" s="3" t="s">
        <v>311</v>
      </c>
      <c r="C89" s="3" t="s">
        <v>330</v>
      </c>
      <c r="D89" s="3" t="s">
        <v>331</v>
      </c>
      <c r="E89" s="3">
        <v>2024</v>
      </c>
      <c r="F89" s="3" t="s">
        <v>332</v>
      </c>
      <c r="G89" s="3"/>
      <c r="H89" s="3" t="s">
        <v>333</v>
      </c>
      <c r="I89" s="3">
        <v>24</v>
      </c>
      <c r="J89" s="3" t="s">
        <v>65</v>
      </c>
      <c r="K89" s="3" t="s">
        <v>321</v>
      </c>
    </row>
    <row r="90" spans="1:11">
      <c r="A90" s="2">
        <v>85</v>
      </c>
      <c r="B90" s="2" t="s">
        <v>311</v>
      </c>
      <c r="C90" s="2" t="s">
        <v>334</v>
      </c>
      <c r="D90" s="2"/>
      <c r="E90" s="2">
        <v>2024</v>
      </c>
      <c r="F90" s="2"/>
      <c r="G90" s="2"/>
      <c r="H90" s="2" t="s">
        <v>335</v>
      </c>
      <c r="I90" s="2">
        <v>17</v>
      </c>
      <c r="J90" s="2" t="s">
        <v>84</v>
      </c>
      <c r="K90" s="2" t="s">
        <v>336</v>
      </c>
    </row>
    <row r="91" spans="1:11">
      <c r="A91" s="3">
        <v>87</v>
      </c>
      <c r="B91" s="3" t="s">
        <v>311</v>
      </c>
      <c r="C91" s="3" t="s">
        <v>337</v>
      </c>
      <c r="D91" s="3"/>
      <c r="E91" s="3">
        <v>2024</v>
      </c>
      <c r="F91" s="3"/>
      <c r="G91" s="3"/>
      <c r="H91" s="3"/>
      <c r="I91" s="3"/>
      <c r="J91" s="3"/>
      <c r="K91" s="3" t="s">
        <v>338</v>
      </c>
    </row>
    <row r="92" spans="1:11">
      <c r="A92" s="2">
        <v>89</v>
      </c>
      <c r="B92" s="2" t="s">
        <v>311</v>
      </c>
      <c r="C92" s="2" t="s">
        <v>339</v>
      </c>
      <c r="D92" s="2"/>
      <c r="E92" s="2">
        <v>2024</v>
      </c>
      <c r="F92" s="2"/>
      <c r="G92" s="2"/>
      <c r="H92" s="2" t="s">
        <v>340</v>
      </c>
      <c r="I92" s="2">
        <v>11</v>
      </c>
      <c r="J92" s="2" t="s">
        <v>142</v>
      </c>
      <c r="K92" s="2" t="s">
        <v>341</v>
      </c>
    </row>
    <row r="93" spans="1:11">
      <c r="A93" s="3">
        <v>95</v>
      </c>
      <c r="B93" s="3" t="s">
        <v>311</v>
      </c>
      <c r="C93" s="3" t="s">
        <v>342</v>
      </c>
      <c r="D93" s="3"/>
      <c r="E93" s="3">
        <v>2024</v>
      </c>
      <c r="F93" s="3"/>
      <c r="G93" s="3"/>
      <c r="H93" s="3" t="s">
        <v>343</v>
      </c>
      <c r="I93" s="3">
        <v>20</v>
      </c>
      <c r="J93" s="3" t="s">
        <v>344</v>
      </c>
      <c r="K93" s="3" t="s">
        <v>345</v>
      </c>
    </row>
    <row r="94" spans="1:11">
      <c r="A94" s="2">
        <v>84</v>
      </c>
      <c r="B94" s="2" t="s">
        <v>311</v>
      </c>
      <c r="C94" s="2" t="s">
        <v>346</v>
      </c>
      <c r="D94" s="2" t="s">
        <v>347</v>
      </c>
      <c r="E94" s="2">
        <v>2023</v>
      </c>
      <c r="F94" s="2" t="s">
        <v>348</v>
      </c>
      <c r="G94" s="2"/>
      <c r="H94" s="2" t="s">
        <v>349</v>
      </c>
      <c r="I94" s="2">
        <v>31</v>
      </c>
      <c r="J94" s="2" t="s">
        <v>142</v>
      </c>
      <c r="K94" s="2" t="s">
        <v>350</v>
      </c>
    </row>
    <row r="95" spans="1:11">
      <c r="A95" s="3">
        <v>93</v>
      </c>
      <c r="B95" s="3" t="s">
        <v>311</v>
      </c>
      <c r="C95" s="3" t="s">
        <v>351</v>
      </c>
      <c r="D95" s="3"/>
      <c r="E95" s="3">
        <v>2023</v>
      </c>
      <c r="F95" s="3" t="s">
        <v>352</v>
      </c>
      <c r="G95" s="3"/>
      <c r="H95" s="3" t="s">
        <v>353</v>
      </c>
      <c r="I95" s="3">
        <v>15</v>
      </c>
      <c r="J95" s="3" t="s">
        <v>142</v>
      </c>
      <c r="K95" s="3" t="s">
        <v>354</v>
      </c>
    </row>
    <row r="96" spans="1:11">
      <c r="A96" s="2">
        <v>90</v>
      </c>
      <c r="B96" s="2" t="s">
        <v>311</v>
      </c>
      <c r="C96" s="2" t="s">
        <v>355</v>
      </c>
      <c r="D96" s="2"/>
      <c r="E96" s="2">
        <v>2019</v>
      </c>
      <c r="F96" s="2" t="s">
        <v>356</v>
      </c>
      <c r="G96" s="2"/>
      <c r="H96" s="2" t="s">
        <v>357</v>
      </c>
      <c r="I96" s="2">
        <v>21</v>
      </c>
      <c r="J96" s="2" t="s">
        <v>142</v>
      </c>
      <c r="K96" s="2" t="s">
        <v>358</v>
      </c>
    </row>
    <row r="97" spans="1:11">
      <c r="A97" s="3">
        <v>96</v>
      </c>
      <c r="B97" s="3" t="s">
        <v>311</v>
      </c>
      <c r="C97" s="3" t="s">
        <v>359</v>
      </c>
      <c r="D97" s="3"/>
      <c r="E97" s="3"/>
      <c r="F97" s="3"/>
      <c r="G97" s="3"/>
      <c r="H97" s="3" t="s">
        <v>360</v>
      </c>
      <c r="I97" s="3">
        <v>21</v>
      </c>
      <c r="J97" s="3" t="s">
        <v>21</v>
      </c>
      <c r="K97" s="3" t="s">
        <v>361</v>
      </c>
    </row>
    <row r="98" spans="1:11">
      <c r="A98" s="2">
        <v>110</v>
      </c>
      <c r="B98" s="2" t="s">
        <v>362</v>
      </c>
      <c r="C98" s="2" t="s">
        <v>363</v>
      </c>
      <c r="D98" s="2"/>
      <c r="E98" s="2">
        <v>2026</v>
      </c>
      <c r="F98" s="2" t="s">
        <v>364</v>
      </c>
      <c r="G98" s="2"/>
      <c r="H98" s="2" t="s">
        <v>365</v>
      </c>
      <c r="I98" s="2">
        <v>7</v>
      </c>
      <c r="J98" s="2" t="s">
        <v>142</v>
      </c>
      <c r="K98" s="2" t="s">
        <v>366</v>
      </c>
    </row>
    <row r="99" spans="1:11">
      <c r="A99" s="3">
        <v>119</v>
      </c>
      <c r="B99" s="3" t="s">
        <v>362</v>
      </c>
      <c r="C99" s="3" t="s">
        <v>367</v>
      </c>
      <c r="D99" s="3"/>
      <c r="E99" s="3">
        <v>2026</v>
      </c>
      <c r="F99" s="3" t="s">
        <v>368</v>
      </c>
      <c r="G99" s="3"/>
      <c r="H99" s="3" t="s">
        <v>369</v>
      </c>
      <c r="I99" s="3">
        <v>8</v>
      </c>
      <c r="J99" s="3" t="s">
        <v>15</v>
      </c>
      <c r="K99" s="3" t="s">
        <v>370</v>
      </c>
    </row>
    <row r="100" spans="1:11">
      <c r="A100" s="2">
        <v>143</v>
      </c>
      <c r="B100" s="2" t="s">
        <v>362</v>
      </c>
      <c r="C100" s="2" t="s">
        <v>371</v>
      </c>
      <c r="D100" s="2"/>
      <c r="E100" s="2">
        <v>2026</v>
      </c>
      <c r="F100" s="2" t="s">
        <v>372</v>
      </c>
      <c r="G100" s="2"/>
      <c r="H100" s="2" t="s">
        <v>373</v>
      </c>
      <c r="I100" s="2">
        <v>10</v>
      </c>
      <c r="J100" s="2" t="s">
        <v>84</v>
      </c>
      <c r="K100" s="2" t="s">
        <v>374</v>
      </c>
    </row>
    <row r="101" spans="1:11">
      <c r="A101" s="3">
        <v>144</v>
      </c>
      <c r="B101" s="3" t="s">
        <v>362</v>
      </c>
      <c r="C101" s="3" t="s">
        <v>375</v>
      </c>
      <c r="D101" s="3"/>
      <c r="E101" s="3">
        <v>2026</v>
      </c>
      <c r="F101" s="3" t="s">
        <v>376</v>
      </c>
      <c r="G101" s="3"/>
      <c r="H101" s="3" t="s">
        <v>377</v>
      </c>
      <c r="I101" s="3">
        <v>12</v>
      </c>
      <c r="J101" s="3" t="s">
        <v>170</v>
      </c>
      <c r="K101" s="3" t="s">
        <v>378</v>
      </c>
    </row>
    <row r="102" spans="1:11">
      <c r="A102" s="2">
        <v>150</v>
      </c>
      <c r="B102" s="2" t="s">
        <v>362</v>
      </c>
      <c r="C102" s="2" t="s">
        <v>379</v>
      </c>
      <c r="D102" s="2"/>
      <c r="E102" s="2">
        <v>2026</v>
      </c>
      <c r="F102" s="2" t="s">
        <v>380</v>
      </c>
      <c r="G102" s="2"/>
      <c r="H102" s="2" t="s">
        <v>381</v>
      </c>
      <c r="I102" s="2">
        <v>19</v>
      </c>
      <c r="J102" s="2" t="s">
        <v>382</v>
      </c>
      <c r="K102" s="2" t="s">
        <v>383</v>
      </c>
    </row>
    <row r="103" spans="1:11">
      <c r="A103" s="3">
        <v>103</v>
      </c>
      <c r="B103" s="3" t="s">
        <v>362</v>
      </c>
      <c r="C103" s="3" t="s">
        <v>384</v>
      </c>
      <c r="D103" s="3"/>
      <c r="E103" s="3">
        <v>2025</v>
      </c>
      <c r="F103" s="3" t="s">
        <v>385</v>
      </c>
      <c r="G103" s="3"/>
      <c r="H103" s="3" t="s">
        <v>386</v>
      </c>
      <c r="I103" s="3">
        <v>8</v>
      </c>
      <c r="J103" s="3" t="s">
        <v>142</v>
      </c>
      <c r="K103" s="3" t="s">
        <v>387</v>
      </c>
    </row>
    <row r="104" spans="1:11">
      <c r="A104" s="2">
        <v>161</v>
      </c>
      <c r="B104" s="2" t="s">
        <v>362</v>
      </c>
      <c r="C104" s="2" t="s">
        <v>388</v>
      </c>
      <c r="D104" s="2"/>
      <c r="E104" s="2">
        <v>2025</v>
      </c>
      <c r="F104" s="2" t="s">
        <v>389</v>
      </c>
      <c r="G104" s="2"/>
      <c r="H104" s="2"/>
      <c r="I104" s="2">
        <v>18</v>
      </c>
      <c r="J104" s="2"/>
      <c r="K104" s="2" t="s">
        <v>390</v>
      </c>
    </row>
    <row r="105" spans="1:11">
      <c r="A105" s="3">
        <v>122</v>
      </c>
      <c r="B105" s="3" t="s">
        <v>362</v>
      </c>
      <c r="C105" s="3" t="s">
        <v>391</v>
      </c>
      <c r="D105" s="3"/>
      <c r="E105" s="3">
        <v>2025</v>
      </c>
      <c r="F105" s="3" t="s">
        <v>392</v>
      </c>
      <c r="G105" s="3"/>
      <c r="H105" s="3" t="s">
        <v>393</v>
      </c>
      <c r="I105" s="3">
        <v>18</v>
      </c>
      <c r="J105" s="3" t="s">
        <v>84</v>
      </c>
      <c r="K105" s="3" t="s">
        <v>394</v>
      </c>
    </row>
    <row r="106" spans="1:11">
      <c r="A106" s="2">
        <v>101</v>
      </c>
      <c r="B106" s="2" t="s">
        <v>362</v>
      </c>
      <c r="C106" s="2" t="s">
        <v>395</v>
      </c>
      <c r="D106" s="2" t="s">
        <v>396</v>
      </c>
      <c r="E106" s="2">
        <v>2025</v>
      </c>
      <c r="F106" s="2"/>
      <c r="G106" s="2"/>
      <c r="H106" s="2" t="s">
        <v>397</v>
      </c>
      <c r="I106" s="2">
        <v>17</v>
      </c>
      <c r="J106" s="2" t="s">
        <v>398</v>
      </c>
      <c r="K106" s="2" t="s">
        <v>399</v>
      </c>
    </row>
    <row r="107" spans="1:11">
      <c r="A107" s="3">
        <v>155</v>
      </c>
      <c r="B107" s="3" t="s">
        <v>362</v>
      </c>
      <c r="C107" s="3" t="s">
        <v>400</v>
      </c>
      <c r="D107" s="3" t="s">
        <v>401</v>
      </c>
      <c r="E107" s="3">
        <v>2025</v>
      </c>
      <c r="F107" s="3"/>
      <c r="G107" s="3"/>
      <c r="H107" s="3" t="s">
        <v>402</v>
      </c>
      <c r="I107" s="3">
        <v>35</v>
      </c>
      <c r="J107" s="3" t="s">
        <v>26</v>
      </c>
      <c r="K107" s="3" t="s">
        <v>403</v>
      </c>
    </row>
    <row r="108" spans="1:11">
      <c r="A108" s="2">
        <v>106</v>
      </c>
      <c r="B108" s="2" t="s">
        <v>362</v>
      </c>
      <c r="C108" s="2" t="s">
        <v>404</v>
      </c>
      <c r="D108" s="2"/>
      <c r="E108" s="2">
        <v>2024</v>
      </c>
      <c r="F108" s="2"/>
      <c r="G108" s="2"/>
      <c r="H108" s="2" t="s">
        <v>405</v>
      </c>
      <c r="I108" s="2">
        <v>7</v>
      </c>
      <c r="J108" s="2" t="s">
        <v>142</v>
      </c>
      <c r="K108" s="2" t="s">
        <v>406</v>
      </c>
    </row>
    <row r="109" spans="1:11">
      <c r="A109" s="3">
        <v>111</v>
      </c>
      <c r="B109" s="3" t="s">
        <v>362</v>
      </c>
      <c r="C109" s="3" t="s">
        <v>407</v>
      </c>
      <c r="D109" s="3"/>
      <c r="E109" s="3">
        <v>2024</v>
      </c>
      <c r="F109" s="3" t="s">
        <v>408</v>
      </c>
      <c r="G109" s="3"/>
      <c r="H109" s="3" t="s">
        <v>409</v>
      </c>
      <c r="I109" s="3">
        <v>6</v>
      </c>
      <c r="J109" s="3" t="s">
        <v>142</v>
      </c>
      <c r="K109" s="3" t="s">
        <v>378</v>
      </c>
    </row>
    <row r="110" spans="1:11">
      <c r="A110" s="2">
        <v>126</v>
      </c>
      <c r="B110" s="2" t="s">
        <v>362</v>
      </c>
      <c r="C110" s="2" t="s">
        <v>410</v>
      </c>
      <c r="D110" s="2"/>
      <c r="E110" s="2">
        <v>2024</v>
      </c>
      <c r="F110" s="2"/>
      <c r="G110" s="2"/>
      <c r="H110" s="2" t="s">
        <v>411</v>
      </c>
      <c r="I110" s="2">
        <v>20</v>
      </c>
      <c r="J110" s="2"/>
      <c r="K110" s="2" t="s">
        <v>412</v>
      </c>
    </row>
    <row r="111" spans="1:11">
      <c r="A111" s="3">
        <v>136</v>
      </c>
      <c r="B111" s="3" t="s">
        <v>362</v>
      </c>
      <c r="C111" s="3" t="s">
        <v>413</v>
      </c>
      <c r="D111" s="3"/>
      <c r="E111" s="3">
        <v>2024</v>
      </c>
      <c r="F111" s="3" t="s">
        <v>414</v>
      </c>
      <c r="G111" s="3"/>
      <c r="H111" s="3"/>
      <c r="I111" s="3">
        <v>34</v>
      </c>
      <c r="J111" s="3" t="s">
        <v>92</v>
      </c>
      <c r="K111" s="3" t="s">
        <v>415</v>
      </c>
    </row>
    <row r="112" spans="1:11">
      <c r="A112" s="2">
        <v>146</v>
      </c>
      <c r="B112" s="2" t="s">
        <v>362</v>
      </c>
      <c r="C112" s="2" t="s">
        <v>416</v>
      </c>
      <c r="D112" s="2"/>
      <c r="E112" s="2">
        <v>2024</v>
      </c>
      <c r="F112" s="2"/>
      <c r="G112" s="2"/>
      <c r="H112" s="2" t="s">
        <v>417</v>
      </c>
      <c r="I112" s="2">
        <v>23</v>
      </c>
      <c r="J112" s="2" t="s">
        <v>418</v>
      </c>
      <c r="K112" s="2" t="s">
        <v>419</v>
      </c>
    </row>
    <row r="113" spans="1:11">
      <c r="A113" s="3">
        <v>148</v>
      </c>
      <c r="B113" s="3" t="s">
        <v>362</v>
      </c>
      <c r="C113" s="3" t="s">
        <v>420</v>
      </c>
      <c r="D113" s="3"/>
      <c r="E113" s="3">
        <v>2024</v>
      </c>
      <c r="F113" s="3" t="s">
        <v>421</v>
      </c>
      <c r="G113" s="3"/>
      <c r="H113" s="3" t="s">
        <v>422</v>
      </c>
      <c r="I113" s="3">
        <v>8</v>
      </c>
      <c r="J113" s="3" t="s">
        <v>423</v>
      </c>
      <c r="K113" s="3" t="s">
        <v>424</v>
      </c>
    </row>
    <row r="114" spans="1:11">
      <c r="A114" s="2">
        <v>160</v>
      </c>
      <c r="B114" s="2" t="s">
        <v>362</v>
      </c>
      <c r="C114" s="2" t="s">
        <v>425</v>
      </c>
      <c r="D114" s="2" t="s">
        <v>426</v>
      </c>
      <c r="E114" s="2">
        <v>2023</v>
      </c>
      <c r="F114" s="2" t="s">
        <v>427</v>
      </c>
      <c r="G114" s="2"/>
      <c r="H114" s="2" t="s">
        <v>428</v>
      </c>
      <c r="I114" s="2">
        <v>12</v>
      </c>
      <c r="J114" s="2" t="s">
        <v>429</v>
      </c>
      <c r="K114" s="2" t="s">
        <v>430</v>
      </c>
    </row>
    <row r="115" spans="1:11">
      <c r="A115" s="3">
        <v>145</v>
      </c>
      <c r="B115" s="3" t="s">
        <v>362</v>
      </c>
      <c r="C115" s="3" t="s">
        <v>431</v>
      </c>
      <c r="D115" s="3"/>
      <c r="E115" s="3">
        <v>2023</v>
      </c>
      <c r="F115" s="3" t="s">
        <v>432</v>
      </c>
      <c r="G115" s="3"/>
      <c r="H115" s="3" t="s">
        <v>433</v>
      </c>
      <c r="I115" s="3">
        <v>14</v>
      </c>
      <c r="J115" s="3" t="s">
        <v>142</v>
      </c>
      <c r="K115" s="3" t="s">
        <v>434</v>
      </c>
    </row>
    <row r="116" spans="1:11">
      <c r="A116" s="2">
        <v>153</v>
      </c>
      <c r="B116" s="2" t="s">
        <v>362</v>
      </c>
      <c r="C116" s="2" t="s">
        <v>435</v>
      </c>
      <c r="D116" s="2" t="s">
        <v>436</v>
      </c>
      <c r="E116" s="2">
        <v>2023</v>
      </c>
      <c r="F116" s="2" t="s">
        <v>437</v>
      </c>
      <c r="G116" s="2"/>
      <c r="H116" s="2" t="s">
        <v>438</v>
      </c>
      <c r="I116" s="2">
        <v>6</v>
      </c>
      <c r="J116" s="2" t="s">
        <v>92</v>
      </c>
      <c r="K116" s="2" t="s">
        <v>439</v>
      </c>
    </row>
    <row r="117" spans="1:11">
      <c r="A117" s="3">
        <v>98</v>
      </c>
      <c r="B117" s="3" t="s">
        <v>362</v>
      </c>
      <c r="C117" s="3" t="s">
        <v>440</v>
      </c>
      <c r="D117" s="3" t="s">
        <v>441</v>
      </c>
      <c r="E117" s="3">
        <v>2023</v>
      </c>
      <c r="F117" s="3"/>
      <c r="G117" s="3"/>
      <c r="H117" s="3"/>
      <c r="I117" s="3">
        <v>19</v>
      </c>
      <c r="J117" s="3" t="s">
        <v>84</v>
      </c>
      <c r="K117" s="3" t="s">
        <v>442</v>
      </c>
    </row>
    <row r="118" spans="1:11">
      <c r="A118" s="2">
        <v>149</v>
      </c>
      <c r="B118" s="2" t="s">
        <v>362</v>
      </c>
      <c r="C118" s="2" t="s">
        <v>443</v>
      </c>
      <c r="D118" s="2"/>
      <c r="E118" s="2">
        <v>2023</v>
      </c>
      <c r="F118" s="2"/>
      <c r="G118" s="2"/>
      <c r="H118" s="2" t="s">
        <v>444</v>
      </c>
      <c r="I118" s="2">
        <v>10</v>
      </c>
      <c r="J118" s="2" t="s">
        <v>84</v>
      </c>
      <c r="K118" s="2" t="s">
        <v>445</v>
      </c>
    </row>
    <row r="119" spans="1:11">
      <c r="A119" s="3">
        <v>99</v>
      </c>
      <c r="B119" s="3" t="s">
        <v>362</v>
      </c>
      <c r="C119" s="3" t="s">
        <v>446</v>
      </c>
      <c r="D119" s="3"/>
      <c r="E119" s="3">
        <v>2023</v>
      </c>
      <c r="F119" s="3" t="s">
        <v>447</v>
      </c>
      <c r="G119" s="3"/>
      <c r="H119" s="3"/>
      <c r="I119" s="3">
        <v>61</v>
      </c>
      <c r="J119" s="3" t="s">
        <v>448</v>
      </c>
      <c r="K119" s="3" t="s">
        <v>449</v>
      </c>
    </row>
    <row r="120" spans="1:11">
      <c r="A120" s="2">
        <v>100</v>
      </c>
      <c r="B120" s="2" t="s">
        <v>362</v>
      </c>
      <c r="C120" s="2" t="s">
        <v>450</v>
      </c>
      <c r="D120" s="2" t="s">
        <v>451</v>
      </c>
      <c r="E120" s="2">
        <v>2023</v>
      </c>
      <c r="F120" s="2" t="s">
        <v>452</v>
      </c>
      <c r="G120" s="2"/>
      <c r="H120" s="2"/>
      <c r="I120" s="2">
        <v>42</v>
      </c>
      <c r="J120" s="2" t="s">
        <v>453</v>
      </c>
      <c r="K120" s="2" t="s">
        <v>449</v>
      </c>
    </row>
    <row r="121" spans="1:11">
      <c r="A121" s="3">
        <v>147</v>
      </c>
      <c r="B121" s="3" t="s">
        <v>362</v>
      </c>
      <c r="C121" s="3" t="s">
        <v>454</v>
      </c>
      <c r="D121" s="3"/>
      <c r="E121" s="3">
        <v>2023</v>
      </c>
      <c r="F121" s="3" t="s">
        <v>455</v>
      </c>
      <c r="G121" s="3"/>
      <c r="H121" s="3"/>
      <c r="I121" s="3">
        <v>338</v>
      </c>
      <c r="J121" s="3"/>
      <c r="K121" s="3" t="s">
        <v>456</v>
      </c>
    </row>
    <row r="122" spans="1:11">
      <c r="A122" s="2">
        <v>97</v>
      </c>
      <c r="B122" s="2" t="s">
        <v>362</v>
      </c>
      <c r="C122" s="2" t="s">
        <v>457</v>
      </c>
      <c r="D122" s="2"/>
      <c r="E122" s="2">
        <v>2022</v>
      </c>
      <c r="F122" s="2" t="s">
        <v>458</v>
      </c>
      <c r="G122" s="2"/>
      <c r="H122" s="2"/>
      <c r="I122" s="2">
        <v>89</v>
      </c>
      <c r="J122" s="2" t="s">
        <v>459</v>
      </c>
      <c r="K122" s="2" t="s">
        <v>460</v>
      </c>
    </row>
    <row r="123" spans="1:11">
      <c r="A123" s="3">
        <v>114</v>
      </c>
      <c r="B123" s="3" t="s">
        <v>362</v>
      </c>
      <c r="C123" s="3" t="s">
        <v>461</v>
      </c>
      <c r="D123" s="3"/>
      <c r="E123" s="3">
        <v>2021</v>
      </c>
      <c r="F123" s="3" t="s">
        <v>462</v>
      </c>
      <c r="G123" s="3"/>
      <c r="H123" s="3" t="s">
        <v>463</v>
      </c>
      <c r="I123" s="3">
        <v>13</v>
      </c>
      <c r="J123" s="3" t="s">
        <v>170</v>
      </c>
      <c r="K123" s="3" t="s">
        <v>464</v>
      </c>
    </row>
    <row r="124" spans="1:11">
      <c r="A124" s="2">
        <v>120</v>
      </c>
      <c r="B124" s="2" t="s">
        <v>362</v>
      </c>
      <c r="C124" s="2" t="s">
        <v>465</v>
      </c>
      <c r="D124" s="2" t="s">
        <v>466</v>
      </c>
      <c r="E124" s="2">
        <v>2021</v>
      </c>
      <c r="F124" s="2" t="s">
        <v>467</v>
      </c>
      <c r="G124" s="2"/>
      <c r="H124" s="2" t="s">
        <v>468</v>
      </c>
      <c r="I124" s="2">
        <v>306</v>
      </c>
      <c r="J124" s="2" t="s">
        <v>84</v>
      </c>
      <c r="K124" s="2" t="s">
        <v>378</v>
      </c>
    </row>
    <row r="125" spans="1:11">
      <c r="A125" s="3">
        <v>135</v>
      </c>
      <c r="B125" s="3" t="s">
        <v>362</v>
      </c>
      <c r="C125" s="3" t="s">
        <v>469</v>
      </c>
      <c r="D125" s="3"/>
      <c r="E125" s="3">
        <v>2021</v>
      </c>
      <c r="F125" s="3" t="s">
        <v>470</v>
      </c>
      <c r="G125" s="3"/>
      <c r="H125" s="3" t="s">
        <v>471</v>
      </c>
      <c r="I125" s="3">
        <v>12</v>
      </c>
      <c r="J125" s="3" t="s">
        <v>21</v>
      </c>
      <c r="K125" s="3" t="s">
        <v>472</v>
      </c>
    </row>
    <row r="126" spans="1:11">
      <c r="A126" s="2">
        <v>162</v>
      </c>
      <c r="B126" s="2" t="s">
        <v>362</v>
      </c>
      <c r="C126" s="2" t="s">
        <v>473</v>
      </c>
      <c r="D126" s="2"/>
      <c r="E126" s="2">
        <v>2020</v>
      </c>
      <c r="F126" s="2" t="s">
        <v>474</v>
      </c>
      <c r="G126" s="2"/>
      <c r="H126" s="2" t="s">
        <v>475</v>
      </c>
      <c r="I126" s="2">
        <v>10</v>
      </c>
      <c r="J126" s="2" t="s">
        <v>21</v>
      </c>
      <c r="K126" s="2" t="s">
        <v>412</v>
      </c>
    </row>
    <row r="127" spans="1:11">
      <c r="A127" s="3">
        <v>115</v>
      </c>
      <c r="B127" s="3" t="s">
        <v>362</v>
      </c>
      <c r="C127" s="3" t="s">
        <v>476</v>
      </c>
      <c r="D127" s="3" t="s">
        <v>477</v>
      </c>
      <c r="E127" s="3">
        <v>2019</v>
      </c>
      <c r="F127" s="3"/>
      <c r="G127" s="3"/>
      <c r="H127" s="3" t="s">
        <v>478</v>
      </c>
      <c r="I127" s="3">
        <v>8</v>
      </c>
      <c r="J127" s="3" t="s">
        <v>21</v>
      </c>
      <c r="K127" s="3" t="s">
        <v>479</v>
      </c>
    </row>
    <row r="128" spans="1:11">
      <c r="A128" s="2">
        <v>141</v>
      </c>
      <c r="B128" s="2" t="s">
        <v>362</v>
      </c>
      <c r="C128" s="2" t="s">
        <v>480</v>
      </c>
      <c r="D128" s="2"/>
      <c r="E128" s="2">
        <v>2019</v>
      </c>
      <c r="F128" s="2"/>
      <c r="G128" s="2"/>
      <c r="H128" s="2" t="s">
        <v>481</v>
      </c>
      <c r="I128" s="2">
        <v>15</v>
      </c>
      <c r="J128" s="2" t="s">
        <v>21</v>
      </c>
      <c r="K128" s="2" t="s">
        <v>482</v>
      </c>
    </row>
    <row r="129" spans="1:11">
      <c r="A129" s="3">
        <v>166</v>
      </c>
      <c r="B129" s="3" t="s">
        <v>362</v>
      </c>
      <c r="C129" s="3" t="s">
        <v>483</v>
      </c>
      <c r="D129" s="3" t="s">
        <v>484</v>
      </c>
      <c r="E129" s="3">
        <v>2018</v>
      </c>
      <c r="F129" s="3"/>
      <c r="G129" s="3"/>
      <c r="H129" s="3" t="s">
        <v>485</v>
      </c>
      <c r="I129" s="3">
        <v>14</v>
      </c>
      <c r="J129" s="3" t="s">
        <v>21</v>
      </c>
      <c r="K129" s="3" t="s">
        <v>472</v>
      </c>
    </row>
    <row r="130" spans="1:11">
      <c r="A130" s="2">
        <v>128</v>
      </c>
      <c r="B130" s="2" t="s">
        <v>362</v>
      </c>
      <c r="C130" s="2" t="s">
        <v>355</v>
      </c>
      <c r="D130" s="2"/>
      <c r="E130" s="2">
        <v>2018</v>
      </c>
      <c r="F130" s="2" t="s">
        <v>486</v>
      </c>
      <c r="G130" s="2"/>
      <c r="H130" s="2" t="s">
        <v>487</v>
      </c>
      <c r="I130" s="2">
        <v>7</v>
      </c>
      <c r="J130" s="2" t="s">
        <v>21</v>
      </c>
      <c r="K130" s="2" t="s">
        <v>488</v>
      </c>
    </row>
    <row r="131" spans="1:11">
      <c r="A131" s="3">
        <v>109</v>
      </c>
      <c r="B131" s="3" t="s">
        <v>362</v>
      </c>
      <c r="C131" s="3" t="s">
        <v>489</v>
      </c>
      <c r="D131" s="3"/>
      <c r="E131" s="3">
        <v>2016</v>
      </c>
      <c r="F131" s="3" t="s">
        <v>490</v>
      </c>
      <c r="G131" s="3"/>
      <c r="H131" s="3" t="s">
        <v>491</v>
      </c>
      <c r="I131" s="3">
        <v>6</v>
      </c>
      <c r="J131" s="3" t="s">
        <v>142</v>
      </c>
      <c r="K131" s="3" t="s">
        <v>492</v>
      </c>
    </row>
    <row r="132" spans="1:11">
      <c r="A132" s="2">
        <v>104</v>
      </c>
      <c r="B132" s="2" t="s">
        <v>362</v>
      </c>
      <c r="C132" s="2" t="s">
        <v>493</v>
      </c>
      <c r="D132" s="2"/>
      <c r="E132" s="2">
        <v>2016</v>
      </c>
      <c r="F132" s="2" t="s">
        <v>494</v>
      </c>
      <c r="G132" s="2"/>
      <c r="H132" s="2" t="s">
        <v>495</v>
      </c>
      <c r="I132" s="2">
        <v>13</v>
      </c>
      <c r="J132" s="2" t="s">
        <v>84</v>
      </c>
      <c r="K132" s="2" t="s">
        <v>496</v>
      </c>
    </row>
    <row r="133" spans="1:11">
      <c r="A133" s="3">
        <v>167</v>
      </c>
      <c r="B133" s="3" t="s">
        <v>362</v>
      </c>
      <c r="C133" s="3" t="s">
        <v>469</v>
      </c>
      <c r="D133" s="3"/>
      <c r="E133" s="3">
        <v>2013</v>
      </c>
      <c r="F133" s="3" t="s">
        <v>497</v>
      </c>
      <c r="G133" s="3"/>
      <c r="H133" s="3" t="s">
        <v>498</v>
      </c>
      <c r="I133" s="3">
        <v>8</v>
      </c>
      <c r="J133" s="3" t="s">
        <v>21</v>
      </c>
      <c r="K133" s="3" t="s">
        <v>456</v>
      </c>
    </row>
    <row r="134" spans="1:11">
      <c r="A134" s="2">
        <v>129</v>
      </c>
      <c r="B134" s="2" t="s">
        <v>362</v>
      </c>
      <c r="C134" s="2" t="s">
        <v>499</v>
      </c>
      <c r="D134" s="2" t="s">
        <v>500</v>
      </c>
      <c r="E134" s="2">
        <v>2013</v>
      </c>
      <c r="F134" s="2" t="s">
        <v>501</v>
      </c>
      <c r="G134" s="2"/>
      <c r="H134" s="2" t="s">
        <v>502</v>
      </c>
      <c r="I134" s="2">
        <v>20</v>
      </c>
      <c r="J134" s="2" t="s">
        <v>21</v>
      </c>
      <c r="K134" s="2" t="s">
        <v>503</v>
      </c>
    </row>
    <row r="135" spans="1:11">
      <c r="A135" s="3">
        <v>130</v>
      </c>
      <c r="B135" s="3" t="s">
        <v>362</v>
      </c>
      <c r="C135" s="3" t="s">
        <v>504</v>
      </c>
      <c r="D135" s="3" t="s">
        <v>504</v>
      </c>
      <c r="E135" s="3">
        <v>2013</v>
      </c>
      <c r="F135" s="3" t="s">
        <v>505</v>
      </c>
      <c r="G135" s="3"/>
      <c r="H135" s="3" t="s">
        <v>506</v>
      </c>
      <c r="I135" s="3">
        <v>32</v>
      </c>
      <c r="J135" s="3" t="s">
        <v>92</v>
      </c>
      <c r="K135" s="3" t="s">
        <v>507</v>
      </c>
    </row>
    <row r="136" spans="1:11">
      <c r="A136" s="2">
        <v>152</v>
      </c>
      <c r="B136" s="2" t="s">
        <v>362</v>
      </c>
      <c r="C136" s="2" t="s">
        <v>508</v>
      </c>
      <c r="D136" s="2"/>
      <c r="E136" s="2">
        <v>2013</v>
      </c>
      <c r="F136" s="2"/>
      <c r="G136" s="2"/>
      <c r="H136" s="2"/>
      <c r="I136" s="2">
        <v>8</v>
      </c>
      <c r="J136" s="2" t="s">
        <v>21</v>
      </c>
      <c r="K136" s="2" t="s">
        <v>509</v>
      </c>
    </row>
    <row r="137" spans="1:11">
      <c r="A137" s="3">
        <v>121</v>
      </c>
      <c r="B137" s="3" t="s">
        <v>362</v>
      </c>
      <c r="C137" s="3" t="s">
        <v>510</v>
      </c>
      <c r="D137" s="3" t="s">
        <v>511</v>
      </c>
      <c r="E137" s="3">
        <v>2012</v>
      </c>
      <c r="F137" s="3" t="s">
        <v>512</v>
      </c>
      <c r="G137" s="3"/>
      <c r="H137" s="3" t="s">
        <v>513</v>
      </c>
      <c r="I137" s="3">
        <v>13</v>
      </c>
      <c r="J137" s="3" t="s">
        <v>21</v>
      </c>
      <c r="K137" s="3" t="s">
        <v>419</v>
      </c>
    </row>
    <row r="138" spans="1:11">
      <c r="A138" s="2">
        <v>118</v>
      </c>
      <c r="B138" s="2" t="s">
        <v>362</v>
      </c>
      <c r="C138" s="2" t="s">
        <v>514</v>
      </c>
      <c r="D138" s="2"/>
      <c r="E138" s="2">
        <v>2012</v>
      </c>
      <c r="F138" s="2"/>
      <c r="G138" s="2"/>
      <c r="H138" s="2" t="s">
        <v>515</v>
      </c>
      <c r="I138" s="2">
        <v>110</v>
      </c>
      <c r="J138" s="2" t="s">
        <v>21</v>
      </c>
      <c r="K138" s="2" t="s">
        <v>516</v>
      </c>
    </row>
    <row r="139" spans="1:11">
      <c r="A139" s="3">
        <v>112</v>
      </c>
      <c r="B139" s="3" t="s">
        <v>362</v>
      </c>
      <c r="C139" s="3" t="s">
        <v>517</v>
      </c>
      <c r="D139" s="3"/>
      <c r="E139" s="3">
        <v>2010</v>
      </c>
      <c r="F139" s="3" t="s">
        <v>518</v>
      </c>
      <c r="G139" s="3"/>
      <c r="H139" s="3" t="s">
        <v>519</v>
      </c>
      <c r="I139" s="3">
        <v>5</v>
      </c>
      <c r="J139" s="3" t="s">
        <v>65</v>
      </c>
      <c r="K139" s="3" t="s">
        <v>520</v>
      </c>
    </row>
    <row r="140" spans="1:11">
      <c r="A140" s="2">
        <v>158</v>
      </c>
      <c r="B140" s="2" t="s">
        <v>362</v>
      </c>
      <c r="C140" s="2" t="s">
        <v>521</v>
      </c>
      <c r="D140" s="2"/>
      <c r="E140" s="2">
        <v>2010</v>
      </c>
      <c r="F140" s="2" t="s">
        <v>522</v>
      </c>
      <c r="G140" s="2"/>
      <c r="H140" s="2" t="s">
        <v>523</v>
      </c>
      <c r="I140" s="2">
        <v>14</v>
      </c>
      <c r="J140" s="2" t="s">
        <v>21</v>
      </c>
      <c r="K140" s="2" t="s">
        <v>509</v>
      </c>
    </row>
    <row r="141" spans="1:11">
      <c r="A141" s="3">
        <v>124</v>
      </c>
      <c r="B141" s="3" t="s">
        <v>362</v>
      </c>
      <c r="C141" s="3" t="s">
        <v>524</v>
      </c>
      <c r="D141" s="3" t="s">
        <v>525</v>
      </c>
      <c r="E141" s="3">
        <v>2009</v>
      </c>
      <c r="F141" s="3"/>
      <c r="G141" s="3"/>
      <c r="H141" s="3" t="s">
        <v>526</v>
      </c>
      <c r="I141" s="3">
        <v>132</v>
      </c>
      <c r="J141" s="3" t="s">
        <v>21</v>
      </c>
      <c r="K141" s="3" t="s">
        <v>527</v>
      </c>
    </row>
    <row r="142" spans="1:11">
      <c r="A142" s="2">
        <v>117</v>
      </c>
      <c r="B142" s="2" t="s">
        <v>362</v>
      </c>
      <c r="C142" s="2" t="s">
        <v>528</v>
      </c>
      <c r="D142" s="2" t="s">
        <v>529</v>
      </c>
      <c r="E142" s="2">
        <v>2009</v>
      </c>
      <c r="F142" s="2" t="s">
        <v>530</v>
      </c>
      <c r="G142" s="2"/>
      <c r="H142" s="2"/>
      <c r="I142" s="2">
        <v>7</v>
      </c>
      <c r="J142" s="2" t="s">
        <v>21</v>
      </c>
      <c r="K142" s="2" t="s">
        <v>449</v>
      </c>
    </row>
    <row r="143" spans="1:11">
      <c r="A143" s="3">
        <v>139</v>
      </c>
      <c r="B143" s="3" t="s">
        <v>362</v>
      </c>
      <c r="C143" s="3" t="s">
        <v>531</v>
      </c>
      <c r="D143" s="3" t="s">
        <v>532</v>
      </c>
      <c r="E143" s="3">
        <v>2009</v>
      </c>
      <c r="F143" s="3" t="s">
        <v>533</v>
      </c>
      <c r="G143" s="3"/>
      <c r="H143" s="3" t="s">
        <v>534</v>
      </c>
      <c r="I143" s="3">
        <v>14</v>
      </c>
      <c r="J143" s="3" t="s">
        <v>21</v>
      </c>
      <c r="K143" s="3" t="s">
        <v>535</v>
      </c>
    </row>
    <row r="144" spans="1:11">
      <c r="A144" s="2">
        <v>107</v>
      </c>
      <c r="B144" s="2" t="s">
        <v>362</v>
      </c>
      <c r="C144" s="2" t="s">
        <v>536</v>
      </c>
      <c r="D144" s="2"/>
      <c r="E144" s="2">
        <v>2008</v>
      </c>
      <c r="F144" s="2" t="s">
        <v>537</v>
      </c>
      <c r="G144" s="2"/>
      <c r="H144" s="2" t="s">
        <v>538</v>
      </c>
      <c r="I144" s="2">
        <v>9</v>
      </c>
      <c r="J144" s="2" t="s">
        <v>84</v>
      </c>
      <c r="K144" s="2" t="s">
        <v>539</v>
      </c>
    </row>
    <row r="145" spans="1:11">
      <c r="A145" s="3">
        <v>102</v>
      </c>
      <c r="B145" s="3" t="s">
        <v>362</v>
      </c>
      <c r="C145" s="3" t="s">
        <v>540</v>
      </c>
      <c r="D145" s="3"/>
      <c r="E145" s="3">
        <v>2007</v>
      </c>
      <c r="F145" s="3" t="s">
        <v>541</v>
      </c>
      <c r="G145" s="3"/>
      <c r="H145" s="3" t="s">
        <v>542</v>
      </c>
      <c r="I145" s="3">
        <v>10</v>
      </c>
      <c r="J145" s="3" t="s">
        <v>92</v>
      </c>
      <c r="K145" s="3" t="s">
        <v>449</v>
      </c>
    </row>
    <row r="146" spans="1:11">
      <c r="A146" s="2">
        <v>142</v>
      </c>
      <c r="B146" s="2" t="s">
        <v>362</v>
      </c>
      <c r="C146" s="2" t="s">
        <v>543</v>
      </c>
      <c r="D146" s="2"/>
      <c r="E146" s="2">
        <v>2007</v>
      </c>
      <c r="F146" s="2"/>
      <c r="G146" s="2"/>
      <c r="H146" s="2" t="s">
        <v>544</v>
      </c>
      <c r="I146" s="2">
        <v>230</v>
      </c>
      <c r="J146" s="2" t="s">
        <v>21</v>
      </c>
      <c r="K146" s="2" t="s">
        <v>545</v>
      </c>
    </row>
    <row r="147" spans="1:11">
      <c r="A147" s="3">
        <v>137</v>
      </c>
      <c r="B147" s="3" t="s">
        <v>362</v>
      </c>
      <c r="C147" s="3" t="s">
        <v>546</v>
      </c>
      <c r="D147" s="3"/>
      <c r="E147" s="3">
        <v>2006</v>
      </c>
      <c r="F147" s="3"/>
      <c r="G147" s="3"/>
      <c r="H147" s="3"/>
      <c r="I147" s="3">
        <v>6</v>
      </c>
      <c r="J147" s="3" t="s">
        <v>21</v>
      </c>
      <c r="K147" s="3" t="s">
        <v>547</v>
      </c>
    </row>
    <row r="148" spans="1:11">
      <c r="A148" s="2">
        <v>108</v>
      </c>
      <c r="B148" s="2" t="s">
        <v>362</v>
      </c>
      <c r="C148" s="2" t="s">
        <v>548</v>
      </c>
      <c r="D148" s="2" t="s">
        <v>549</v>
      </c>
      <c r="E148" s="2">
        <v>2005</v>
      </c>
      <c r="F148" s="2" t="s">
        <v>550</v>
      </c>
      <c r="G148" s="2"/>
      <c r="H148" s="2" t="s">
        <v>551</v>
      </c>
      <c r="I148" s="2">
        <v>8</v>
      </c>
      <c r="J148" s="2" t="s">
        <v>21</v>
      </c>
      <c r="K148" s="2" t="s">
        <v>378</v>
      </c>
    </row>
    <row r="149" spans="1:11">
      <c r="A149" s="3">
        <v>164</v>
      </c>
      <c r="B149" s="3" t="s">
        <v>362</v>
      </c>
      <c r="C149" s="3" t="s">
        <v>552</v>
      </c>
      <c r="D149" s="3"/>
      <c r="E149" s="3">
        <v>2005</v>
      </c>
      <c r="F149" s="3" t="s">
        <v>553</v>
      </c>
      <c r="G149" s="3"/>
      <c r="H149" s="3" t="s">
        <v>554</v>
      </c>
      <c r="I149" s="3">
        <v>5</v>
      </c>
      <c r="J149" s="3" t="s">
        <v>21</v>
      </c>
      <c r="K149" s="3" t="s">
        <v>555</v>
      </c>
    </row>
    <row r="150" spans="1:11">
      <c r="A150" s="2">
        <v>157</v>
      </c>
      <c r="B150" s="2" t="s">
        <v>362</v>
      </c>
      <c r="C150" s="2" t="s">
        <v>556</v>
      </c>
      <c r="D150" s="2"/>
      <c r="E150" s="2">
        <v>2005</v>
      </c>
      <c r="F150" s="2" t="s">
        <v>557</v>
      </c>
      <c r="G150" s="2"/>
      <c r="H150" s="2" t="s">
        <v>558</v>
      </c>
      <c r="I150" s="2">
        <v>8</v>
      </c>
      <c r="J150" s="2" t="s">
        <v>21</v>
      </c>
      <c r="K150" s="2" t="s">
        <v>559</v>
      </c>
    </row>
    <row r="151" spans="1:11">
      <c r="A151" s="3">
        <v>156</v>
      </c>
      <c r="B151" s="3" t="s">
        <v>362</v>
      </c>
      <c r="C151" s="3" t="s">
        <v>560</v>
      </c>
      <c r="D151" s="3"/>
      <c r="E151" s="3">
        <v>2005</v>
      </c>
      <c r="F151" s="3" t="s">
        <v>557</v>
      </c>
      <c r="G151" s="3"/>
      <c r="H151" s="3"/>
      <c r="I151" s="3">
        <v>8</v>
      </c>
      <c r="J151" s="3" t="s">
        <v>21</v>
      </c>
      <c r="K151" s="3" t="s">
        <v>559</v>
      </c>
    </row>
    <row r="152" spans="1:11">
      <c r="A152" s="2">
        <v>138</v>
      </c>
      <c r="B152" s="2" t="s">
        <v>362</v>
      </c>
      <c r="C152" s="2" t="s">
        <v>561</v>
      </c>
      <c r="D152" s="2"/>
      <c r="E152" s="2">
        <v>2004</v>
      </c>
      <c r="F152" s="2" t="s">
        <v>562</v>
      </c>
      <c r="G152" s="2"/>
      <c r="H152" s="2" t="s">
        <v>563</v>
      </c>
      <c r="I152" s="2">
        <v>4</v>
      </c>
      <c r="J152" s="2" t="s">
        <v>21</v>
      </c>
      <c r="K152" s="2" t="s">
        <v>564</v>
      </c>
    </row>
    <row r="153" spans="1:11">
      <c r="A153" s="3">
        <v>125</v>
      </c>
      <c r="B153" s="3" t="s">
        <v>362</v>
      </c>
      <c r="C153" s="3" t="s">
        <v>565</v>
      </c>
      <c r="D153" s="3" t="s">
        <v>566</v>
      </c>
      <c r="E153" s="3">
        <v>2001</v>
      </c>
      <c r="F153" s="3"/>
      <c r="G153" s="3"/>
      <c r="H153" s="3" t="s">
        <v>567</v>
      </c>
      <c r="I153" s="3">
        <v>33</v>
      </c>
      <c r="J153" s="3" t="s">
        <v>21</v>
      </c>
      <c r="K153" s="3" t="s">
        <v>507</v>
      </c>
    </row>
    <row r="154" spans="1:11">
      <c r="A154" s="2">
        <v>165</v>
      </c>
      <c r="B154" s="2" t="s">
        <v>362</v>
      </c>
      <c r="C154" s="2" t="s">
        <v>568</v>
      </c>
      <c r="D154" s="2"/>
      <c r="E154" s="2">
        <v>2001</v>
      </c>
      <c r="F154" s="2" t="s">
        <v>569</v>
      </c>
      <c r="G154" s="2"/>
      <c r="H154" s="2"/>
      <c r="I154" s="2">
        <v>4</v>
      </c>
      <c r="J154" s="2" t="s">
        <v>570</v>
      </c>
      <c r="K154" s="2" t="s">
        <v>507</v>
      </c>
    </row>
    <row r="155" spans="1:11">
      <c r="A155" s="3">
        <v>123</v>
      </c>
      <c r="B155" s="3" t="s">
        <v>362</v>
      </c>
      <c r="C155" s="3" t="s">
        <v>571</v>
      </c>
      <c r="D155" s="3" t="s">
        <v>572</v>
      </c>
      <c r="E155" s="3">
        <v>1998</v>
      </c>
      <c r="F155" s="3"/>
      <c r="G155" s="3"/>
      <c r="H155" s="3" t="s">
        <v>573</v>
      </c>
      <c r="I155" s="3">
        <v>4</v>
      </c>
      <c r="J155" s="3" t="s">
        <v>26</v>
      </c>
      <c r="K155" s="3" t="s">
        <v>574</v>
      </c>
    </row>
    <row r="156" spans="1:11">
      <c r="A156" s="2">
        <v>127</v>
      </c>
      <c r="B156" s="2" t="s">
        <v>362</v>
      </c>
      <c r="C156" s="2" t="s">
        <v>575</v>
      </c>
      <c r="D156" s="2"/>
      <c r="E156" s="2">
        <v>1992</v>
      </c>
      <c r="F156" s="2"/>
      <c r="G156" s="2"/>
      <c r="H156" s="2" t="s">
        <v>576</v>
      </c>
      <c r="I156" s="2">
        <v>279</v>
      </c>
      <c r="J156" s="2" t="s">
        <v>418</v>
      </c>
      <c r="K156" s="2" t="s">
        <v>449</v>
      </c>
    </row>
    <row r="157" spans="1:11">
      <c r="A157" s="3">
        <v>131</v>
      </c>
      <c r="B157" s="3" t="s">
        <v>362</v>
      </c>
      <c r="C157" s="3" t="s">
        <v>577</v>
      </c>
      <c r="D157" s="3" t="s">
        <v>578</v>
      </c>
      <c r="E157" s="3">
        <v>1990</v>
      </c>
      <c r="F157" s="3"/>
      <c r="G157" s="3"/>
      <c r="H157" s="3" t="s">
        <v>579</v>
      </c>
      <c r="I157" s="3">
        <v>9</v>
      </c>
      <c r="J157" s="3" t="s">
        <v>92</v>
      </c>
      <c r="K157" s="3" t="s">
        <v>449</v>
      </c>
    </row>
    <row r="158" spans="1:11">
      <c r="A158" s="2">
        <v>140</v>
      </c>
      <c r="B158" s="2" t="s">
        <v>362</v>
      </c>
      <c r="C158" s="2" t="s">
        <v>580</v>
      </c>
      <c r="D158" s="2" t="s">
        <v>581</v>
      </c>
      <c r="E158" s="2">
        <v>1990</v>
      </c>
      <c r="F158" s="2"/>
      <c r="G158" s="2"/>
      <c r="H158" s="2"/>
      <c r="I158" s="2">
        <v>9</v>
      </c>
      <c r="J158" s="2" t="s">
        <v>21</v>
      </c>
      <c r="K158" s="2" t="s">
        <v>449</v>
      </c>
    </row>
    <row r="159" spans="1:11">
      <c r="A159" s="3">
        <v>105</v>
      </c>
      <c r="B159" s="3" t="s">
        <v>362</v>
      </c>
      <c r="C159" s="3" t="s">
        <v>582</v>
      </c>
      <c r="D159" s="3"/>
      <c r="E159" s="3">
        <v>1982</v>
      </c>
      <c r="F159" s="3"/>
      <c r="G159" s="3"/>
      <c r="H159" s="3" t="s">
        <v>583</v>
      </c>
      <c r="I159" s="3">
        <v>8</v>
      </c>
      <c r="J159" s="3" t="s">
        <v>21</v>
      </c>
      <c r="K159" s="3" t="s">
        <v>390</v>
      </c>
    </row>
    <row r="160" spans="1:11">
      <c r="A160" s="2">
        <v>116</v>
      </c>
      <c r="B160" s="2" t="s">
        <v>362</v>
      </c>
      <c r="C160" s="2" t="s">
        <v>584</v>
      </c>
      <c r="D160" s="2"/>
      <c r="E160" s="2">
        <v>1978</v>
      </c>
      <c r="F160" s="2"/>
      <c r="G160" s="2"/>
      <c r="H160" s="2" t="s">
        <v>585</v>
      </c>
      <c r="I160" s="2">
        <v>17</v>
      </c>
      <c r="J160" s="2" t="s">
        <v>92</v>
      </c>
      <c r="K160" s="2" t="s">
        <v>586</v>
      </c>
    </row>
    <row r="161" spans="1:11">
      <c r="A161" s="3">
        <v>163</v>
      </c>
      <c r="B161" s="3" t="s">
        <v>362</v>
      </c>
      <c r="C161" s="3" t="s">
        <v>587</v>
      </c>
      <c r="D161" s="3" t="s">
        <v>588</v>
      </c>
      <c r="E161" s="3">
        <v>1977</v>
      </c>
      <c r="F161" s="3"/>
      <c r="G161" s="3"/>
      <c r="H161" s="3"/>
      <c r="I161" s="3">
        <v>9</v>
      </c>
      <c r="J161" s="3" t="s">
        <v>21</v>
      </c>
      <c r="K161" s="3" t="s">
        <v>449</v>
      </c>
    </row>
    <row r="162" spans="1:11">
      <c r="A162" s="2">
        <v>154</v>
      </c>
      <c r="B162" s="2" t="s">
        <v>362</v>
      </c>
      <c r="C162" s="2" t="s">
        <v>589</v>
      </c>
      <c r="D162" s="2"/>
      <c r="E162" s="2">
        <v>1973</v>
      </c>
      <c r="F162" s="2"/>
      <c r="G162" s="2"/>
      <c r="H162" s="2" t="s">
        <v>590</v>
      </c>
      <c r="I162" s="2">
        <v>27</v>
      </c>
      <c r="J162" s="2" t="s">
        <v>92</v>
      </c>
      <c r="K162" s="2" t="s">
        <v>419</v>
      </c>
    </row>
    <row r="163" spans="1:11">
      <c r="A163" s="3">
        <v>134</v>
      </c>
      <c r="B163" s="3" t="s">
        <v>362</v>
      </c>
      <c r="C163" s="3" t="s">
        <v>591</v>
      </c>
      <c r="D163" s="3"/>
      <c r="E163" s="3">
        <v>1966</v>
      </c>
      <c r="F163" s="3"/>
      <c r="G163" s="3"/>
      <c r="H163" s="3" t="s">
        <v>592</v>
      </c>
      <c r="I163" s="3">
        <v>9</v>
      </c>
      <c r="J163" s="3" t="s">
        <v>21</v>
      </c>
      <c r="K163" s="3" t="s">
        <v>593</v>
      </c>
    </row>
    <row r="164" spans="1:11">
      <c r="A164" s="2">
        <v>133</v>
      </c>
      <c r="B164" s="2" t="s">
        <v>362</v>
      </c>
      <c r="C164" s="2" t="s">
        <v>212</v>
      </c>
      <c r="D164" s="2"/>
      <c r="E164" s="2">
        <v>1961</v>
      </c>
      <c r="F164" s="2"/>
      <c r="G164" s="2"/>
      <c r="H164" s="2" t="s">
        <v>594</v>
      </c>
      <c r="I164" s="2">
        <v>7</v>
      </c>
      <c r="J164" s="2"/>
      <c r="K164" s="2" t="s">
        <v>378</v>
      </c>
    </row>
    <row r="165" spans="1:11">
      <c r="A165" s="3">
        <v>113</v>
      </c>
      <c r="B165" s="3" t="s">
        <v>362</v>
      </c>
      <c r="C165" s="3" t="s">
        <v>595</v>
      </c>
      <c r="D165" s="3" t="s">
        <v>596</v>
      </c>
      <c r="E165" s="3">
        <v>1960</v>
      </c>
      <c r="F165" s="3"/>
      <c r="G165" s="3"/>
      <c r="H165" s="3" t="s">
        <v>597</v>
      </c>
      <c r="I165" s="3">
        <v>4</v>
      </c>
      <c r="J165" s="3" t="s">
        <v>21</v>
      </c>
      <c r="K165" s="3" t="s">
        <v>419</v>
      </c>
    </row>
    <row r="166" spans="1:11">
      <c r="A166" s="2">
        <v>159</v>
      </c>
      <c r="B166" s="2" t="s">
        <v>362</v>
      </c>
      <c r="C166" s="2" t="s">
        <v>598</v>
      </c>
      <c r="D166" s="2"/>
      <c r="E166" s="2">
        <v>1960</v>
      </c>
      <c r="F166" s="2"/>
      <c r="G166" s="2"/>
      <c r="H166" s="2" t="s">
        <v>599</v>
      </c>
      <c r="I166" s="2">
        <v>7</v>
      </c>
      <c r="J166" s="2" t="s">
        <v>21</v>
      </c>
      <c r="K166" s="2" t="s">
        <v>390</v>
      </c>
    </row>
    <row r="167" spans="1:11">
      <c r="A167" s="3">
        <v>132</v>
      </c>
      <c r="B167" s="3" t="s">
        <v>362</v>
      </c>
      <c r="C167" s="3" t="s">
        <v>600</v>
      </c>
      <c r="D167" s="3"/>
      <c r="E167" s="3"/>
      <c r="F167" s="3"/>
      <c r="G167" s="3"/>
      <c r="H167" s="3"/>
      <c r="I167" s="3"/>
      <c r="J167" s="3"/>
      <c r="K167" s="3" t="s">
        <v>449</v>
      </c>
    </row>
    <row r="168" spans="1:11">
      <c r="A168" s="2">
        <v>151</v>
      </c>
      <c r="B168" s="2" t="s">
        <v>362</v>
      </c>
      <c r="C168" s="2" t="s">
        <v>601</v>
      </c>
      <c r="D168" s="2"/>
      <c r="E168" s="2"/>
      <c r="F168" s="2"/>
      <c r="G168" s="2"/>
      <c r="H168" s="2"/>
      <c r="I168" s="2">
        <v>2</v>
      </c>
      <c r="J168" s="2" t="s">
        <v>453</v>
      </c>
      <c r="K168" s="2" t="s">
        <v>390</v>
      </c>
    </row>
    <row r="169" spans="1:11">
      <c r="A169" s="3">
        <v>179</v>
      </c>
      <c r="B169" s="3" t="s">
        <v>602</v>
      </c>
      <c r="C169" s="3" t="s">
        <v>603</v>
      </c>
      <c r="D169" s="3"/>
      <c r="E169" s="3">
        <v>2025</v>
      </c>
      <c r="F169" s="3"/>
      <c r="G169" s="3"/>
      <c r="H169" s="3"/>
      <c r="I169" s="3">
        <v>100</v>
      </c>
      <c r="J169" s="3"/>
      <c r="K169" s="3" t="s">
        <v>604</v>
      </c>
    </row>
    <row r="170" spans="1:11">
      <c r="A170" s="2">
        <v>177</v>
      </c>
      <c r="B170" s="2" t="s">
        <v>602</v>
      </c>
      <c r="C170" s="2" t="s">
        <v>605</v>
      </c>
      <c r="D170" s="2"/>
      <c r="E170" s="2">
        <v>2024</v>
      </c>
      <c r="F170" s="2" t="s">
        <v>606</v>
      </c>
      <c r="G170" s="2"/>
      <c r="H170" s="2" t="s">
        <v>607</v>
      </c>
      <c r="I170" s="2">
        <v>28</v>
      </c>
      <c r="J170" s="2" t="s">
        <v>142</v>
      </c>
      <c r="K170" s="2" t="s">
        <v>608</v>
      </c>
    </row>
    <row r="171" spans="1:11">
      <c r="A171" s="3">
        <v>176</v>
      </c>
      <c r="B171" s="3" t="s">
        <v>602</v>
      </c>
      <c r="C171" s="3" t="s">
        <v>609</v>
      </c>
      <c r="D171" s="3"/>
      <c r="E171" s="3">
        <v>2024</v>
      </c>
      <c r="F171" s="3"/>
      <c r="G171" s="3"/>
      <c r="H171" s="3"/>
      <c r="I171" s="3">
        <v>81</v>
      </c>
      <c r="J171" s="3" t="s">
        <v>610</v>
      </c>
      <c r="K171" s="3" t="s">
        <v>611</v>
      </c>
    </row>
    <row r="172" spans="1:11">
      <c r="A172" s="2">
        <v>174</v>
      </c>
      <c r="B172" s="2" t="s">
        <v>602</v>
      </c>
      <c r="C172" s="2" t="s">
        <v>612</v>
      </c>
      <c r="D172" s="2" t="s">
        <v>613</v>
      </c>
      <c r="E172" s="2">
        <v>2023</v>
      </c>
      <c r="F172" s="2"/>
      <c r="G172" s="2"/>
      <c r="H172" s="2" t="s">
        <v>614</v>
      </c>
      <c r="I172" s="2">
        <v>323</v>
      </c>
      <c r="J172" s="2"/>
      <c r="K172" s="2" t="s">
        <v>615</v>
      </c>
    </row>
    <row r="173" spans="1:11">
      <c r="A173" s="3">
        <v>169</v>
      </c>
      <c r="B173" s="3" t="s">
        <v>602</v>
      </c>
      <c r="C173" s="3" t="s">
        <v>616</v>
      </c>
      <c r="D173" s="3" t="s">
        <v>617</v>
      </c>
      <c r="E173" s="3">
        <v>2023</v>
      </c>
      <c r="F173" s="3" t="s">
        <v>618</v>
      </c>
      <c r="G173" s="3"/>
      <c r="H173" s="3"/>
      <c r="I173" s="3">
        <v>13</v>
      </c>
      <c r="J173" s="3" t="s">
        <v>21</v>
      </c>
      <c r="K173" s="3" t="s">
        <v>611</v>
      </c>
    </row>
    <row r="174" spans="1:11">
      <c r="A174" s="2">
        <v>170</v>
      </c>
      <c r="B174" s="2" t="s">
        <v>602</v>
      </c>
      <c r="C174" s="2" t="s">
        <v>619</v>
      </c>
      <c r="D174" s="2" t="s">
        <v>620</v>
      </c>
      <c r="E174" s="2">
        <v>2023</v>
      </c>
      <c r="F174" s="2" t="s">
        <v>621</v>
      </c>
      <c r="G174" s="2"/>
      <c r="H174" s="2"/>
      <c r="I174" s="2">
        <v>40</v>
      </c>
      <c r="J174" s="2" t="s">
        <v>453</v>
      </c>
      <c r="K174" s="2" t="s">
        <v>608</v>
      </c>
    </row>
    <row r="175" spans="1:11">
      <c r="A175" s="3">
        <v>171</v>
      </c>
      <c r="B175" s="3" t="s">
        <v>602</v>
      </c>
      <c r="C175" s="3" t="s">
        <v>622</v>
      </c>
      <c r="D175" s="3" t="s">
        <v>623</v>
      </c>
      <c r="E175" s="3">
        <v>2023</v>
      </c>
      <c r="F175" s="3" t="s">
        <v>624</v>
      </c>
      <c r="G175" s="3"/>
      <c r="H175" s="3"/>
      <c r="I175" s="3">
        <v>10</v>
      </c>
      <c r="J175" s="3" t="s">
        <v>21</v>
      </c>
      <c r="K175" s="3" t="s">
        <v>625</v>
      </c>
    </row>
    <row r="176" spans="1:11">
      <c r="A176" s="2">
        <v>168</v>
      </c>
      <c r="B176" s="2" t="s">
        <v>602</v>
      </c>
      <c r="C176" s="2" t="s">
        <v>626</v>
      </c>
      <c r="D176" s="2" t="s">
        <v>627</v>
      </c>
      <c r="E176" s="2">
        <v>2023</v>
      </c>
      <c r="F176" s="2" t="s">
        <v>628</v>
      </c>
      <c r="G176" s="2"/>
      <c r="H176" s="2"/>
      <c r="I176" s="2">
        <v>6</v>
      </c>
      <c r="J176" s="2" t="s">
        <v>21</v>
      </c>
      <c r="K176" s="2" t="s">
        <v>629</v>
      </c>
    </row>
    <row r="177" spans="1:11">
      <c r="A177" s="3">
        <v>172</v>
      </c>
      <c r="B177" s="3" t="s">
        <v>602</v>
      </c>
      <c r="C177" s="3" t="s">
        <v>630</v>
      </c>
      <c r="D177" s="3" t="s">
        <v>631</v>
      </c>
      <c r="E177" s="3">
        <v>2023</v>
      </c>
      <c r="F177" s="3" t="s">
        <v>632</v>
      </c>
      <c r="G177" s="3"/>
      <c r="H177" s="3"/>
      <c r="I177" s="3">
        <v>39</v>
      </c>
      <c r="J177" s="3" t="s">
        <v>92</v>
      </c>
      <c r="K177" s="3" t="s">
        <v>625</v>
      </c>
    </row>
    <row r="178" spans="1:11">
      <c r="A178" s="2">
        <v>173</v>
      </c>
      <c r="B178" s="2" t="s">
        <v>602</v>
      </c>
      <c r="C178" s="2" t="s">
        <v>633</v>
      </c>
      <c r="D178" s="2" t="s">
        <v>634</v>
      </c>
      <c r="E178" s="2">
        <v>2023</v>
      </c>
      <c r="F178" s="2" t="s">
        <v>635</v>
      </c>
      <c r="G178" s="2"/>
      <c r="H178" s="2"/>
      <c r="I178" s="2">
        <v>21</v>
      </c>
      <c r="J178" s="2" t="s">
        <v>21</v>
      </c>
      <c r="K178" s="2" t="s">
        <v>611</v>
      </c>
    </row>
    <row r="179" spans="1:11">
      <c r="A179" s="3">
        <v>175</v>
      </c>
      <c r="B179" s="3" t="s">
        <v>602</v>
      </c>
      <c r="C179" s="3" t="s">
        <v>636</v>
      </c>
      <c r="D179" s="3" t="s">
        <v>637</v>
      </c>
      <c r="E179" s="3">
        <v>2023</v>
      </c>
      <c r="F179" s="3" t="s">
        <v>638</v>
      </c>
      <c r="G179" s="3"/>
      <c r="H179" s="3"/>
      <c r="I179" s="3">
        <v>11</v>
      </c>
      <c r="J179" s="3" t="s">
        <v>15</v>
      </c>
      <c r="K179" s="3" t="s">
        <v>639</v>
      </c>
    </row>
    <row r="180" spans="1:11">
      <c r="A180" s="2">
        <v>178</v>
      </c>
      <c r="B180" s="2" t="s">
        <v>602</v>
      </c>
      <c r="C180" s="2" t="s">
        <v>640</v>
      </c>
      <c r="D180" s="2" t="s">
        <v>641</v>
      </c>
      <c r="E180" s="2">
        <v>2008</v>
      </c>
      <c r="F180" s="2" t="s">
        <v>642</v>
      </c>
      <c r="G180" s="2"/>
      <c r="H180" s="2" t="s">
        <v>643</v>
      </c>
      <c r="I180" s="2">
        <v>7</v>
      </c>
      <c r="J180" s="2" t="s">
        <v>21</v>
      </c>
      <c r="K180" s="2" t="s">
        <v>644</v>
      </c>
    </row>
    <row r="181" spans="1:11">
      <c r="A181" s="3">
        <v>182</v>
      </c>
      <c r="B181" s="3" t="s">
        <v>645</v>
      </c>
      <c r="C181" s="3" t="s">
        <v>646</v>
      </c>
      <c r="D181" s="3"/>
      <c r="E181" s="3">
        <v>2024</v>
      </c>
      <c r="F181" s="3"/>
      <c r="G181" s="3"/>
      <c r="H181" s="3" t="s">
        <v>647</v>
      </c>
      <c r="I181" s="3">
        <v>10</v>
      </c>
      <c r="J181" s="3" t="s">
        <v>257</v>
      </c>
      <c r="K181" s="3" t="s">
        <v>648</v>
      </c>
    </row>
    <row r="182" spans="1:11">
      <c r="A182" s="2">
        <v>180</v>
      </c>
      <c r="B182" s="2" t="s">
        <v>645</v>
      </c>
      <c r="C182" s="2" t="s">
        <v>649</v>
      </c>
      <c r="D182" s="2" t="s">
        <v>650</v>
      </c>
      <c r="E182" s="2">
        <v>2023</v>
      </c>
      <c r="F182" s="2"/>
      <c r="G182" s="2"/>
      <c r="H182" s="2" t="s">
        <v>651</v>
      </c>
      <c r="I182" s="2">
        <v>21</v>
      </c>
      <c r="J182" s="2" t="s">
        <v>453</v>
      </c>
      <c r="K182" s="2" t="s">
        <v>652</v>
      </c>
    </row>
    <row r="183" spans="1:11">
      <c r="A183" s="3">
        <v>181</v>
      </c>
      <c r="B183" s="3" t="s">
        <v>645</v>
      </c>
      <c r="C183" s="3" t="s">
        <v>653</v>
      </c>
      <c r="D183" s="3" t="s">
        <v>654</v>
      </c>
      <c r="E183" s="3">
        <v>2023</v>
      </c>
      <c r="F183" s="3" t="s">
        <v>655</v>
      </c>
      <c r="G183" s="3"/>
      <c r="H183" s="3" t="s">
        <v>656</v>
      </c>
      <c r="I183" s="3">
        <v>34</v>
      </c>
      <c r="J183" s="3" t="s">
        <v>657</v>
      </c>
      <c r="K183" s="3" t="s">
        <v>658</v>
      </c>
    </row>
    <row r="184" spans="1:11">
      <c r="A184" s="2">
        <v>183</v>
      </c>
      <c r="B184" s="2" t="s">
        <v>659</v>
      </c>
      <c r="C184" s="2" t="s">
        <v>660</v>
      </c>
      <c r="D184" s="2"/>
      <c r="E184" s="2">
        <v>2023</v>
      </c>
      <c r="F184" s="2"/>
      <c r="G184" s="2"/>
      <c r="H184" s="2"/>
      <c r="I184" s="2">
        <v>91</v>
      </c>
      <c r="J184" s="2" t="s">
        <v>92</v>
      </c>
      <c r="K184" s="2" t="s">
        <v>661</v>
      </c>
    </row>
    <row r="185" spans="1:11">
      <c r="A185" s="3">
        <v>184</v>
      </c>
      <c r="B185" s="3" t="s">
        <v>659</v>
      </c>
      <c r="C185" s="3" t="s">
        <v>662</v>
      </c>
      <c r="D185" s="3" t="s">
        <v>663</v>
      </c>
      <c r="E185" s="3">
        <v>2022</v>
      </c>
      <c r="F185" s="3" t="s">
        <v>664</v>
      </c>
      <c r="G185" s="3"/>
      <c r="H185" s="3" t="s">
        <v>665</v>
      </c>
      <c r="I185" s="3">
        <v>24</v>
      </c>
      <c r="J185" s="3" t="s">
        <v>170</v>
      </c>
      <c r="K185" s="3" t="s">
        <v>666</v>
      </c>
    </row>
    <row r="186" spans="1:11">
      <c r="A186" s="2">
        <v>186</v>
      </c>
      <c r="B186" s="2" t="s">
        <v>659</v>
      </c>
      <c r="C186" s="2" t="s">
        <v>469</v>
      </c>
      <c r="D186" s="2"/>
      <c r="E186" s="2">
        <v>2021</v>
      </c>
      <c r="F186" s="2" t="s">
        <v>470</v>
      </c>
      <c r="G186" s="2"/>
      <c r="H186" s="2" t="s">
        <v>471</v>
      </c>
      <c r="I186" s="2">
        <v>12</v>
      </c>
      <c r="J186" s="2" t="s">
        <v>21</v>
      </c>
      <c r="K186" s="2" t="s">
        <v>472</v>
      </c>
    </row>
    <row r="187" spans="1:11">
      <c r="A187" s="3">
        <v>185</v>
      </c>
      <c r="B187" s="3" t="s">
        <v>659</v>
      </c>
      <c r="C187" s="3" t="s">
        <v>667</v>
      </c>
      <c r="D187" s="3" t="s">
        <v>668</v>
      </c>
      <c r="E187" s="3">
        <v>2019</v>
      </c>
      <c r="F187" s="3"/>
      <c r="G187" s="3"/>
      <c r="H187" s="3" t="s">
        <v>669</v>
      </c>
      <c r="I187" s="3">
        <v>75</v>
      </c>
      <c r="J187" s="3" t="s">
        <v>21</v>
      </c>
      <c r="K187" s="3" t="s">
        <v>670</v>
      </c>
    </row>
    <row r="188" spans="1:11">
      <c r="A188" s="2">
        <v>188</v>
      </c>
      <c r="B188" s="2" t="s">
        <v>671</v>
      </c>
      <c r="C188" s="2" t="s">
        <v>672</v>
      </c>
      <c r="D188" s="2" t="s">
        <v>673</v>
      </c>
      <c r="E188" s="2">
        <v>2024</v>
      </c>
      <c r="F188" s="2" t="s">
        <v>674</v>
      </c>
      <c r="G188" s="2"/>
      <c r="H188" s="2"/>
      <c r="I188" s="2">
        <v>50</v>
      </c>
      <c r="J188" s="2" t="s">
        <v>453</v>
      </c>
      <c r="K188" s="2" t="s">
        <v>675</v>
      </c>
    </row>
    <row r="189" spans="1:11">
      <c r="A189" s="3">
        <v>187</v>
      </c>
      <c r="B189" s="3" t="s">
        <v>671</v>
      </c>
      <c r="C189" s="3" t="s">
        <v>676</v>
      </c>
      <c r="D189" s="3" t="s">
        <v>677</v>
      </c>
      <c r="E189" s="3">
        <v>2023</v>
      </c>
      <c r="F189" s="3" t="s">
        <v>678</v>
      </c>
      <c r="G189" s="3"/>
      <c r="H189" s="3"/>
      <c r="I189" s="3">
        <v>20</v>
      </c>
      <c r="J189" s="3" t="s">
        <v>453</v>
      </c>
      <c r="K189" s="3" t="s">
        <v>679</v>
      </c>
    </row>
    <row r="190" spans="1:11">
      <c r="A190" s="2">
        <v>203</v>
      </c>
      <c r="B190" s="2" t="s">
        <v>680</v>
      </c>
      <c r="C190" s="2" t="s">
        <v>681</v>
      </c>
      <c r="D190" s="2" t="s">
        <v>682</v>
      </c>
      <c r="E190" s="2">
        <v>2026</v>
      </c>
      <c r="F190" s="2"/>
      <c r="G190" s="2"/>
      <c r="H190" s="2" t="s">
        <v>683</v>
      </c>
      <c r="I190" s="2">
        <v>13</v>
      </c>
      <c r="J190" s="2" t="s">
        <v>98</v>
      </c>
      <c r="K190" s="2" t="s">
        <v>684</v>
      </c>
    </row>
    <row r="191" spans="1:11">
      <c r="A191" s="3">
        <v>204</v>
      </c>
      <c r="B191" s="3" t="s">
        <v>680</v>
      </c>
      <c r="C191" s="3" t="s">
        <v>685</v>
      </c>
      <c r="D191" s="3" t="s">
        <v>686</v>
      </c>
      <c r="E191" s="3">
        <v>2026</v>
      </c>
      <c r="F191" s="3"/>
      <c r="G191" s="3"/>
      <c r="H191" s="3" t="s">
        <v>687</v>
      </c>
      <c r="I191" s="3">
        <v>24</v>
      </c>
      <c r="J191" s="3" t="s">
        <v>688</v>
      </c>
      <c r="K191" s="3" t="s">
        <v>689</v>
      </c>
    </row>
    <row r="192" spans="1:11">
      <c r="A192" s="2">
        <v>197</v>
      </c>
      <c r="B192" s="2" t="s">
        <v>680</v>
      </c>
      <c r="C192" s="2" t="s">
        <v>690</v>
      </c>
      <c r="D192" s="2"/>
      <c r="E192" s="2">
        <v>2025</v>
      </c>
      <c r="F192" s="2" t="s">
        <v>691</v>
      </c>
      <c r="G192" s="2"/>
      <c r="H192" s="2" t="s">
        <v>692</v>
      </c>
      <c r="I192" s="2">
        <v>12</v>
      </c>
      <c r="J192" s="2" t="s">
        <v>693</v>
      </c>
      <c r="K192" s="2" t="s">
        <v>694</v>
      </c>
    </row>
    <row r="193" spans="1:11">
      <c r="A193" s="3">
        <v>201</v>
      </c>
      <c r="B193" s="3" t="s">
        <v>680</v>
      </c>
      <c r="C193" s="3" t="s">
        <v>695</v>
      </c>
      <c r="D193" s="3" t="s">
        <v>696</v>
      </c>
      <c r="E193" s="3">
        <v>2025</v>
      </c>
      <c r="F193" s="3"/>
      <c r="G193" s="3"/>
      <c r="H193" s="3"/>
      <c r="I193" s="3">
        <v>29</v>
      </c>
      <c r="J193" s="3" t="s">
        <v>15</v>
      </c>
      <c r="K193" s="3" t="s">
        <v>697</v>
      </c>
    </row>
    <row r="194" spans="1:11">
      <c r="A194" s="2">
        <v>198</v>
      </c>
      <c r="B194" s="2" t="s">
        <v>680</v>
      </c>
      <c r="C194" s="2" t="s">
        <v>698</v>
      </c>
      <c r="D194" s="2"/>
      <c r="E194" s="2">
        <v>2025</v>
      </c>
      <c r="F194" s="2"/>
      <c r="G194" s="2"/>
      <c r="H194" s="2" t="s">
        <v>699</v>
      </c>
      <c r="I194" s="2">
        <v>15</v>
      </c>
      <c r="J194" s="2" t="s">
        <v>700</v>
      </c>
      <c r="K194" s="2" t="s">
        <v>701</v>
      </c>
    </row>
    <row r="195" spans="1:11">
      <c r="A195" s="3">
        <v>199</v>
      </c>
      <c r="B195" s="3" t="s">
        <v>680</v>
      </c>
      <c r="C195" s="3" t="s">
        <v>702</v>
      </c>
      <c r="D195" s="3" t="s">
        <v>703</v>
      </c>
      <c r="E195" s="3">
        <v>2025</v>
      </c>
      <c r="F195" s="3"/>
      <c r="G195" s="3"/>
      <c r="H195" s="3" t="s">
        <v>704</v>
      </c>
      <c r="I195" s="3">
        <v>48</v>
      </c>
      <c r="J195" s="3" t="s">
        <v>705</v>
      </c>
      <c r="K195" s="3" t="s">
        <v>706</v>
      </c>
    </row>
    <row r="196" spans="1:11">
      <c r="A196" s="2">
        <v>200</v>
      </c>
      <c r="B196" s="2" t="s">
        <v>680</v>
      </c>
      <c r="C196" s="2" t="s">
        <v>707</v>
      </c>
      <c r="D196" s="2" t="s">
        <v>708</v>
      </c>
      <c r="E196" s="2">
        <v>2025</v>
      </c>
      <c r="F196" s="2"/>
      <c r="G196" s="2"/>
      <c r="H196" s="2" t="s">
        <v>709</v>
      </c>
      <c r="I196" s="2">
        <v>10</v>
      </c>
      <c r="J196" s="2" t="s">
        <v>710</v>
      </c>
      <c r="K196" s="2" t="s">
        <v>711</v>
      </c>
    </row>
    <row r="197" spans="1:11">
      <c r="A197" s="3">
        <v>202</v>
      </c>
      <c r="B197" s="3" t="s">
        <v>680</v>
      </c>
      <c r="C197" s="3" t="s">
        <v>712</v>
      </c>
      <c r="D197" s="3" t="s">
        <v>713</v>
      </c>
      <c r="E197" s="3">
        <v>2025</v>
      </c>
      <c r="F197" s="3"/>
      <c r="G197" s="3"/>
      <c r="H197" s="3" t="s">
        <v>714</v>
      </c>
      <c r="I197" s="3">
        <v>9</v>
      </c>
      <c r="J197" s="3" t="s">
        <v>715</v>
      </c>
      <c r="K197" s="3" t="s">
        <v>716</v>
      </c>
    </row>
    <row r="198" spans="1:11">
      <c r="A198" s="2">
        <v>190</v>
      </c>
      <c r="B198" s="2" t="s">
        <v>680</v>
      </c>
      <c r="C198" s="2" t="s">
        <v>717</v>
      </c>
      <c r="D198" s="2"/>
      <c r="E198" s="2">
        <v>2024</v>
      </c>
      <c r="F198" s="2"/>
      <c r="G198" s="2"/>
      <c r="H198" s="2"/>
      <c r="I198" s="2">
        <v>6</v>
      </c>
      <c r="J198" s="2"/>
      <c r="K198" s="2" t="s">
        <v>718</v>
      </c>
    </row>
    <row r="199" spans="1:11">
      <c r="A199" s="3">
        <v>191</v>
      </c>
      <c r="B199" s="3" t="s">
        <v>680</v>
      </c>
      <c r="C199" s="3" t="s">
        <v>719</v>
      </c>
      <c r="D199" s="3" t="s">
        <v>720</v>
      </c>
      <c r="E199" s="3">
        <v>2024</v>
      </c>
      <c r="F199" s="3" t="s">
        <v>721</v>
      </c>
      <c r="G199" s="3"/>
      <c r="H199" s="3"/>
      <c r="I199" s="3">
        <v>19</v>
      </c>
      <c r="J199" s="3" t="s">
        <v>688</v>
      </c>
      <c r="K199" s="3" t="s">
        <v>722</v>
      </c>
    </row>
    <row r="200" spans="1:11">
      <c r="A200" s="2">
        <v>206</v>
      </c>
      <c r="B200" s="2" t="s">
        <v>680</v>
      </c>
      <c r="C200" s="2" t="s">
        <v>723</v>
      </c>
      <c r="D200" s="2"/>
      <c r="E200" s="2">
        <v>2024</v>
      </c>
      <c r="F200" s="2"/>
      <c r="G200" s="2"/>
      <c r="H200" s="2" t="s">
        <v>724</v>
      </c>
      <c r="I200" s="2">
        <v>7</v>
      </c>
      <c r="J200" s="2" t="s">
        <v>725</v>
      </c>
      <c r="K200" s="2" t="s">
        <v>726</v>
      </c>
    </row>
    <row r="201" spans="1:11">
      <c r="A201" s="3">
        <v>192</v>
      </c>
      <c r="B201" s="3" t="s">
        <v>680</v>
      </c>
      <c r="C201" s="3" t="s">
        <v>727</v>
      </c>
      <c r="D201" s="3" t="s">
        <v>728</v>
      </c>
      <c r="E201" s="3">
        <v>2024</v>
      </c>
      <c r="F201" s="3"/>
      <c r="G201" s="3"/>
      <c r="H201" s="3" t="s">
        <v>729</v>
      </c>
      <c r="I201" s="3">
        <v>38</v>
      </c>
      <c r="J201" s="3" t="s">
        <v>730</v>
      </c>
      <c r="K201" s="3" t="s">
        <v>731</v>
      </c>
    </row>
    <row r="202" spans="1:11">
      <c r="A202" s="2">
        <v>193</v>
      </c>
      <c r="B202" s="2" t="s">
        <v>680</v>
      </c>
      <c r="C202" s="2" t="s">
        <v>732</v>
      </c>
      <c r="D202" s="2"/>
      <c r="E202" s="2">
        <v>2024</v>
      </c>
      <c r="F202" s="2"/>
      <c r="G202" s="2"/>
      <c r="H202" s="2"/>
      <c r="I202" s="2"/>
      <c r="J202" s="2"/>
      <c r="K202" s="2" t="s">
        <v>733</v>
      </c>
    </row>
    <row r="203" spans="1:11">
      <c r="A203" s="3">
        <v>195</v>
      </c>
      <c r="B203" s="3" t="s">
        <v>680</v>
      </c>
      <c r="C203" s="3" t="s">
        <v>734</v>
      </c>
      <c r="D203" s="3"/>
      <c r="E203" s="3">
        <v>2024</v>
      </c>
      <c r="F203" s="3"/>
      <c r="G203" s="3"/>
      <c r="H203" s="3"/>
      <c r="I203" s="3">
        <v>17</v>
      </c>
      <c r="J203" s="3" t="s">
        <v>15</v>
      </c>
      <c r="K203" s="3" t="s">
        <v>735</v>
      </c>
    </row>
    <row r="204" spans="1:11">
      <c r="A204" s="2">
        <v>196</v>
      </c>
      <c r="B204" s="2" t="s">
        <v>680</v>
      </c>
      <c r="C204" s="2" t="s">
        <v>736</v>
      </c>
      <c r="D204" s="2"/>
      <c r="E204" s="2">
        <v>2024</v>
      </c>
      <c r="F204" s="2"/>
      <c r="G204" s="2"/>
      <c r="H204" s="2" t="s">
        <v>737</v>
      </c>
      <c r="I204" s="2">
        <v>11</v>
      </c>
      <c r="J204" s="2" t="s">
        <v>98</v>
      </c>
      <c r="K204" s="2" t="s">
        <v>738</v>
      </c>
    </row>
    <row r="205" spans="1:11">
      <c r="A205" s="3">
        <v>194</v>
      </c>
      <c r="B205" s="3" t="s">
        <v>680</v>
      </c>
      <c r="C205" s="3" t="s">
        <v>739</v>
      </c>
      <c r="D205" s="3"/>
      <c r="E205" s="3">
        <v>2024</v>
      </c>
      <c r="F205" s="3"/>
      <c r="G205" s="3"/>
      <c r="H205" s="3" t="s">
        <v>740</v>
      </c>
      <c r="I205" s="3">
        <v>27</v>
      </c>
      <c r="J205" s="3" t="s">
        <v>453</v>
      </c>
      <c r="K205" s="3" t="s">
        <v>741</v>
      </c>
    </row>
    <row r="206" spans="1:11">
      <c r="A206" s="2">
        <v>189</v>
      </c>
      <c r="B206" s="2" t="s">
        <v>680</v>
      </c>
      <c r="C206" s="2" t="s">
        <v>742</v>
      </c>
      <c r="D206" s="2" t="s">
        <v>743</v>
      </c>
      <c r="E206" s="2">
        <v>2023</v>
      </c>
      <c r="F206" s="2" t="s">
        <v>744</v>
      </c>
      <c r="G206" s="2"/>
      <c r="H206" s="2"/>
      <c r="I206" s="2">
        <v>19</v>
      </c>
      <c r="J206" s="2"/>
      <c r="K206" s="2" t="s">
        <v>745</v>
      </c>
    </row>
    <row r="207" spans="1:11">
      <c r="A207" s="3">
        <v>205</v>
      </c>
      <c r="B207" s="3" t="s">
        <v>680</v>
      </c>
      <c r="C207" s="3" t="s">
        <v>746</v>
      </c>
      <c r="D207" s="3" t="s">
        <v>747</v>
      </c>
      <c r="E207" s="3">
        <v>2023</v>
      </c>
      <c r="F207" s="3"/>
      <c r="G207" s="3"/>
      <c r="H207" s="3"/>
      <c r="I207" s="3">
        <v>1</v>
      </c>
      <c r="J207" s="3" t="s">
        <v>162</v>
      </c>
      <c r="K207" s="3" t="s">
        <v>748</v>
      </c>
    </row>
    <row r="208" spans="1:11">
      <c r="A208" s="2">
        <v>207</v>
      </c>
      <c r="B208" s="2" t="s">
        <v>680</v>
      </c>
      <c r="C208" s="2" t="s">
        <v>749</v>
      </c>
      <c r="D208" s="2" t="s">
        <v>750</v>
      </c>
      <c r="E208" s="2">
        <v>2019</v>
      </c>
      <c r="F208" s="2" t="s">
        <v>751</v>
      </c>
      <c r="G208" s="2"/>
      <c r="H208" s="2" t="s">
        <v>752</v>
      </c>
      <c r="I208" s="2">
        <v>24</v>
      </c>
      <c r="J208" s="2" t="s">
        <v>21</v>
      </c>
      <c r="K208" s="2" t="s">
        <v>753</v>
      </c>
    </row>
    <row r="209" spans="1:11">
      <c r="A209" s="3">
        <v>208</v>
      </c>
      <c r="B209" s="3" t="s">
        <v>680</v>
      </c>
      <c r="C209" s="3" t="s">
        <v>754</v>
      </c>
      <c r="D209" s="3"/>
      <c r="E209" s="3"/>
      <c r="F209" s="3"/>
      <c r="G209" s="3"/>
      <c r="H209" s="3"/>
      <c r="I209" s="3">
        <v>42</v>
      </c>
      <c r="J209" s="3" t="s">
        <v>755</v>
      </c>
      <c r="K209" s="3" t="s">
        <v>756</v>
      </c>
    </row>
    <row r="210" spans="1:11">
      <c r="A210" s="2">
        <v>209</v>
      </c>
      <c r="B210" s="2" t="s">
        <v>757</v>
      </c>
      <c r="C210" s="2" t="s">
        <v>758</v>
      </c>
      <c r="D210" s="2"/>
      <c r="E210" s="2">
        <v>2023</v>
      </c>
      <c r="F210" s="2"/>
      <c r="G210" s="2"/>
      <c r="H210" s="2" t="s">
        <v>759</v>
      </c>
      <c r="I210" s="2">
        <v>15</v>
      </c>
      <c r="J210" s="2" t="s">
        <v>37</v>
      </c>
      <c r="K210" s="2" t="s">
        <v>735</v>
      </c>
    </row>
    <row r="211" spans="1:11">
      <c r="A211" s="3">
        <v>211</v>
      </c>
      <c r="B211" s="3" t="s">
        <v>757</v>
      </c>
      <c r="C211" s="3" t="s">
        <v>760</v>
      </c>
      <c r="D211" s="3"/>
      <c r="E211" s="3">
        <v>2013</v>
      </c>
      <c r="F211" s="3"/>
      <c r="G211" s="3"/>
      <c r="H211" s="3"/>
      <c r="I211" s="3">
        <v>1</v>
      </c>
      <c r="J211" s="3"/>
      <c r="K211" s="3" t="s">
        <v>761</v>
      </c>
    </row>
    <row r="212" spans="1:11">
      <c r="A212" s="2">
        <v>213</v>
      </c>
      <c r="B212" s="2" t="s">
        <v>757</v>
      </c>
      <c r="C212" s="2" t="s">
        <v>762</v>
      </c>
      <c r="D212" s="2"/>
      <c r="E212" s="2">
        <v>2000</v>
      </c>
      <c r="F212" s="2"/>
      <c r="G212" s="2"/>
      <c r="H212" s="2"/>
      <c r="I212" s="2">
        <v>1</v>
      </c>
      <c r="J212" s="2"/>
      <c r="K212" s="2" t="s">
        <v>761</v>
      </c>
    </row>
    <row r="213" spans="1:11">
      <c r="A213" s="3">
        <v>210</v>
      </c>
      <c r="B213" s="3" t="s">
        <v>757</v>
      </c>
      <c r="C213" s="3" t="s">
        <v>763</v>
      </c>
      <c r="D213" s="3"/>
      <c r="E213" s="3"/>
      <c r="F213" s="3"/>
      <c r="G213" s="3"/>
      <c r="H213" s="3"/>
      <c r="I213" s="3">
        <v>1</v>
      </c>
      <c r="J213" s="3"/>
      <c r="K213" s="3" t="s">
        <v>761</v>
      </c>
    </row>
    <row r="214" spans="1:11">
      <c r="A214" s="2">
        <v>212</v>
      </c>
      <c r="B214" s="2" t="s">
        <v>757</v>
      </c>
      <c r="C214" s="2" t="s">
        <v>764</v>
      </c>
      <c r="D214" s="2"/>
      <c r="E214" s="2"/>
      <c r="F214" s="2"/>
      <c r="G214" s="2"/>
      <c r="H214" s="2"/>
      <c r="I214" s="2">
        <v>1</v>
      </c>
      <c r="J214" s="2"/>
      <c r="K214" s="2" t="s">
        <v>761</v>
      </c>
    </row>
    <row r="215" spans="1:11">
      <c r="A215" s="3">
        <v>261</v>
      </c>
      <c r="B215" s="3" t="s">
        <v>765</v>
      </c>
      <c r="C215" s="3" t="s">
        <v>766</v>
      </c>
      <c r="D215" s="3"/>
      <c r="E215" s="3">
        <v>2025</v>
      </c>
      <c r="F215" s="3" t="s">
        <v>767</v>
      </c>
      <c r="G215" s="3"/>
      <c r="H215" s="3"/>
      <c r="I215" s="3">
        <v>11</v>
      </c>
      <c r="J215" s="3"/>
      <c r="K215" s="3" t="s">
        <v>449</v>
      </c>
    </row>
    <row r="216" spans="1:11">
      <c r="A216" s="2">
        <v>260</v>
      </c>
      <c r="B216" s="2" t="s">
        <v>765</v>
      </c>
      <c r="C216" s="2" t="s">
        <v>766</v>
      </c>
      <c r="D216" s="2"/>
      <c r="E216" s="2">
        <v>2024</v>
      </c>
      <c r="F216" s="2" t="s">
        <v>768</v>
      </c>
      <c r="G216" s="2"/>
      <c r="H216" s="2"/>
      <c r="I216" s="2">
        <v>16</v>
      </c>
      <c r="J216" s="2"/>
      <c r="K216" s="2" t="s">
        <v>449</v>
      </c>
    </row>
    <row r="217" spans="1:11">
      <c r="A217" s="3">
        <v>270</v>
      </c>
      <c r="B217" s="3" t="s">
        <v>765</v>
      </c>
      <c r="C217" s="3" t="s">
        <v>769</v>
      </c>
      <c r="D217" s="3"/>
      <c r="E217" s="3">
        <v>2024</v>
      </c>
      <c r="F217" s="3" t="s">
        <v>770</v>
      </c>
      <c r="G217" s="3"/>
      <c r="H217" s="3" t="s">
        <v>771</v>
      </c>
      <c r="I217" s="3">
        <v>12</v>
      </c>
      <c r="J217" s="3" t="s">
        <v>92</v>
      </c>
      <c r="K217" s="3" t="s">
        <v>772</v>
      </c>
    </row>
    <row r="218" spans="1:11">
      <c r="A218" s="2">
        <v>274</v>
      </c>
      <c r="B218" s="2" t="s">
        <v>765</v>
      </c>
      <c r="C218" s="2" t="s">
        <v>773</v>
      </c>
      <c r="D218" s="2" t="s">
        <v>774</v>
      </c>
      <c r="E218" s="2">
        <v>2023</v>
      </c>
      <c r="F218" s="2"/>
      <c r="G218" s="2"/>
      <c r="H218" s="2"/>
      <c r="I218" s="2">
        <v>10</v>
      </c>
      <c r="J218" s="2" t="s">
        <v>453</v>
      </c>
      <c r="K218" s="2"/>
    </row>
    <row r="219" spans="1:11">
      <c r="A219" s="3">
        <v>264</v>
      </c>
      <c r="B219" s="3" t="s">
        <v>765</v>
      </c>
      <c r="C219" s="3" t="s">
        <v>775</v>
      </c>
      <c r="D219" s="3"/>
      <c r="E219" s="3">
        <v>2021</v>
      </c>
      <c r="F219" s="3"/>
      <c r="G219" s="3"/>
      <c r="H219" s="3" t="s">
        <v>776</v>
      </c>
      <c r="I219" s="3">
        <v>8</v>
      </c>
      <c r="J219" s="3" t="s">
        <v>700</v>
      </c>
      <c r="K219" s="3" t="s">
        <v>777</v>
      </c>
    </row>
    <row r="220" spans="1:11">
      <c r="A220" s="2">
        <v>279</v>
      </c>
      <c r="B220" s="2" t="s">
        <v>765</v>
      </c>
      <c r="C220" s="2" t="s">
        <v>778</v>
      </c>
      <c r="D220" s="2" t="s">
        <v>779</v>
      </c>
      <c r="E220" s="2">
        <v>2021</v>
      </c>
      <c r="F220" s="2"/>
      <c r="G220" s="2"/>
      <c r="H220" s="2"/>
      <c r="I220" s="2">
        <v>622</v>
      </c>
      <c r="J220" s="2" t="s">
        <v>570</v>
      </c>
      <c r="K220" s="2" t="s">
        <v>780</v>
      </c>
    </row>
    <row r="221" spans="1:11">
      <c r="A221" s="3">
        <v>275</v>
      </c>
      <c r="B221" s="3" t="s">
        <v>765</v>
      </c>
      <c r="C221" s="3" t="s">
        <v>781</v>
      </c>
      <c r="D221" s="3" t="s">
        <v>782</v>
      </c>
      <c r="E221" s="3">
        <v>2019</v>
      </c>
      <c r="F221" s="3"/>
      <c r="G221" s="3"/>
      <c r="H221" s="3" t="s">
        <v>783</v>
      </c>
      <c r="I221" s="3">
        <v>38</v>
      </c>
      <c r="J221" s="3" t="s">
        <v>84</v>
      </c>
      <c r="K221" s="3" t="s">
        <v>784</v>
      </c>
    </row>
    <row r="222" spans="1:11">
      <c r="A222" s="2">
        <v>256</v>
      </c>
      <c r="B222" s="2" t="s">
        <v>765</v>
      </c>
      <c r="C222" s="2" t="s">
        <v>785</v>
      </c>
      <c r="D222" s="2" t="s">
        <v>786</v>
      </c>
      <c r="E222" s="2">
        <v>2019</v>
      </c>
      <c r="F222" s="2" t="s">
        <v>787</v>
      </c>
      <c r="G222" s="2"/>
      <c r="H222" s="2"/>
      <c r="I222" s="2">
        <v>4</v>
      </c>
      <c r="J222" s="2" t="s">
        <v>21</v>
      </c>
      <c r="K222" s="2" t="s">
        <v>788</v>
      </c>
    </row>
    <row r="223" spans="1:11">
      <c r="A223" s="3">
        <v>218</v>
      </c>
      <c r="B223" s="3" t="s">
        <v>765</v>
      </c>
      <c r="C223" s="3" t="s">
        <v>789</v>
      </c>
      <c r="D223" s="3"/>
      <c r="E223" s="3">
        <v>2018</v>
      </c>
      <c r="F223" s="3" t="s">
        <v>790</v>
      </c>
      <c r="G223" s="3"/>
      <c r="H223" s="3" t="s">
        <v>791</v>
      </c>
      <c r="I223" s="3">
        <v>6</v>
      </c>
      <c r="J223" s="3" t="s">
        <v>21</v>
      </c>
      <c r="K223" s="3" t="s">
        <v>792</v>
      </c>
    </row>
    <row r="224" spans="1:11">
      <c r="A224" s="2">
        <v>263</v>
      </c>
      <c r="B224" s="2" t="s">
        <v>765</v>
      </c>
      <c r="C224" s="2" t="s">
        <v>793</v>
      </c>
      <c r="D224" s="2"/>
      <c r="E224" s="2">
        <v>2018</v>
      </c>
      <c r="F224" s="2"/>
      <c r="G224" s="2"/>
      <c r="H224" s="2"/>
      <c r="I224" s="2">
        <v>74</v>
      </c>
      <c r="J224" s="2"/>
      <c r="K224" s="2" t="s">
        <v>794</v>
      </c>
    </row>
    <row r="225" spans="1:11">
      <c r="A225" s="3">
        <v>217</v>
      </c>
      <c r="B225" s="3" t="s">
        <v>765</v>
      </c>
      <c r="C225" s="3" t="s">
        <v>795</v>
      </c>
      <c r="D225" s="3"/>
      <c r="E225" s="3">
        <v>2018</v>
      </c>
      <c r="F225" s="3"/>
      <c r="G225" s="3"/>
      <c r="H225" s="3"/>
      <c r="I225" s="3">
        <v>110</v>
      </c>
      <c r="J225" s="3" t="s">
        <v>84</v>
      </c>
      <c r="K225" s="3" t="s">
        <v>108</v>
      </c>
    </row>
    <row r="226" spans="1:11">
      <c r="A226" s="2">
        <v>277</v>
      </c>
      <c r="B226" s="2" t="s">
        <v>765</v>
      </c>
      <c r="C226" s="2" t="s">
        <v>796</v>
      </c>
      <c r="D226" s="2" t="s">
        <v>797</v>
      </c>
      <c r="E226" s="2">
        <v>2018</v>
      </c>
      <c r="F226" s="2"/>
      <c r="G226" s="2"/>
      <c r="H226" s="2" t="s">
        <v>798</v>
      </c>
      <c r="I226" s="2">
        <v>100</v>
      </c>
      <c r="J226" s="2" t="s">
        <v>142</v>
      </c>
      <c r="K226" s="2" t="s">
        <v>799</v>
      </c>
    </row>
    <row r="227" spans="1:11">
      <c r="A227" s="3">
        <v>278</v>
      </c>
      <c r="B227" s="3" t="s">
        <v>765</v>
      </c>
      <c r="C227" s="3" t="s">
        <v>800</v>
      </c>
      <c r="D227" s="3" t="s">
        <v>779</v>
      </c>
      <c r="E227" s="3">
        <v>2018</v>
      </c>
      <c r="F227" s="3"/>
      <c r="G227" s="3"/>
      <c r="H227" s="3"/>
      <c r="I227" s="3">
        <v>212</v>
      </c>
      <c r="J227" s="3" t="s">
        <v>570</v>
      </c>
      <c r="K227" s="3" t="s">
        <v>507</v>
      </c>
    </row>
    <row r="228" spans="1:11">
      <c r="A228" s="2">
        <v>267</v>
      </c>
      <c r="B228" s="2" t="s">
        <v>765</v>
      </c>
      <c r="C228" s="2" t="s">
        <v>801</v>
      </c>
      <c r="D228" s="2"/>
      <c r="E228" s="2">
        <v>2016</v>
      </c>
      <c r="F228" s="2" t="s">
        <v>802</v>
      </c>
      <c r="G228" s="2"/>
      <c r="H228" s="2"/>
      <c r="I228" s="2">
        <v>83</v>
      </c>
      <c r="J228" s="2" t="s">
        <v>803</v>
      </c>
      <c r="K228" s="2" t="s">
        <v>804</v>
      </c>
    </row>
    <row r="229" spans="1:11">
      <c r="A229" s="3">
        <v>288</v>
      </c>
      <c r="B229" s="3" t="s">
        <v>765</v>
      </c>
      <c r="C229" s="3" t="s">
        <v>805</v>
      </c>
      <c r="D229" s="3"/>
      <c r="E229" s="3">
        <v>2015</v>
      </c>
      <c r="F229" s="3" t="s">
        <v>806</v>
      </c>
      <c r="G229" s="3"/>
      <c r="H229" s="3"/>
      <c r="I229" s="3">
        <v>499</v>
      </c>
      <c r="J229" s="3" t="s">
        <v>21</v>
      </c>
      <c r="K229" s="3" t="s">
        <v>535</v>
      </c>
    </row>
    <row r="230" spans="1:11">
      <c r="A230" s="2">
        <v>286</v>
      </c>
      <c r="B230" s="2" t="s">
        <v>765</v>
      </c>
      <c r="C230" s="2" t="s">
        <v>807</v>
      </c>
      <c r="D230" s="2"/>
      <c r="E230" s="2">
        <v>2015</v>
      </c>
      <c r="F230" s="2"/>
      <c r="G230" s="2"/>
      <c r="H230" s="2" t="s">
        <v>808</v>
      </c>
      <c r="I230" s="2">
        <v>22</v>
      </c>
      <c r="J230" s="2" t="s">
        <v>170</v>
      </c>
      <c r="K230" s="2" t="s">
        <v>809</v>
      </c>
    </row>
    <row r="231" spans="1:11">
      <c r="A231" s="3">
        <v>220</v>
      </c>
      <c r="B231" s="3" t="s">
        <v>765</v>
      </c>
      <c r="C231" s="3" t="s">
        <v>810</v>
      </c>
      <c r="D231" s="3"/>
      <c r="E231" s="3">
        <v>2014</v>
      </c>
      <c r="F231" s="3"/>
      <c r="G231" s="3"/>
      <c r="H231" s="3" t="s">
        <v>811</v>
      </c>
      <c r="I231" s="3">
        <v>12</v>
      </c>
      <c r="J231" s="3" t="s">
        <v>15</v>
      </c>
      <c r="K231" s="3" t="s">
        <v>812</v>
      </c>
    </row>
    <row r="232" spans="1:11">
      <c r="A232" s="2">
        <v>221</v>
      </c>
      <c r="B232" s="2" t="s">
        <v>765</v>
      </c>
      <c r="C232" s="2" t="s">
        <v>813</v>
      </c>
      <c r="D232" s="2"/>
      <c r="E232" s="2">
        <v>2014</v>
      </c>
      <c r="F232" s="2"/>
      <c r="G232" s="2"/>
      <c r="H232" s="2" t="s">
        <v>814</v>
      </c>
      <c r="I232" s="2">
        <v>6</v>
      </c>
      <c r="J232" s="2" t="s">
        <v>170</v>
      </c>
      <c r="K232" s="2" t="s">
        <v>815</v>
      </c>
    </row>
    <row r="233" spans="1:11">
      <c r="A233" s="3">
        <v>273</v>
      </c>
      <c r="B233" s="3" t="s">
        <v>765</v>
      </c>
      <c r="C233" s="3" t="s">
        <v>816</v>
      </c>
      <c r="D233" s="3"/>
      <c r="E233" s="3">
        <v>2013</v>
      </c>
      <c r="F233" s="3" t="s">
        <v>817</v>
      </c>
      <c r="G233" s="3"/>
      <c r="H233" s="3"/>
      <c r="I233" s="3">
        <v>246</v>
      </c>
      <c r="J233" s="3" t="s">
        <v>257</v>
      </c>
      <c r="K233" s="3" t="s">
        <v>818</v>
      </c>
    </row>
    <row r="234" spans="1:11">
      <c r="A234" s="2">
        <v>251</v>
      </c>
      <c r="B234" s="2" t="s">
        <v>765</v>
      </c>
      <c r="C234" s="2" t="s">
        <v>819</v>
      </c>
      <c r="D234" s="2"/>
      <c r="E234" s="2">
        <v>2012</v>
      </c>
      <c r="F234" s="2" t="s">
        <v>820</v>
      </c>
      <c r="G234" s="2"/>
      <c r="H234" s="2" t="s">
        <v>821</v>
      </c>
      <c r="I234" s="2">
        <v>6</v>
      </c>
      <c r="J234" s="2" t="s">
        <v>92</v>
      </c>
      <c r="K234" s="2" t="s">
        <v>586</v>
      </c>
    </row>
    <row r="235" spans="1:11">
      <c r="A235" s="3">
        <v>219</v>
      </c>
      <c r="B235" s="3" t="s">
        <v>765</v>
      </c>
      <c r="C235" s="3" t="s">
        <v>822</v>
      </c>
      <c r="D235" s="3"/>
      <c r="E235" s="3">
        <v>2012</v>
      </c>
      <c r="F235" s="3"/>
      <c r="G235" s="3"/>
      <c r="H235" s="3" t="s">
        <v>823</v>
      </c>
      <c r="I235" s="3">
        <v>11</v>
      </c>
      <c r="J235" s="3" t="s">
        <v>15</v>
      </c>
      <c r="K235" s="3" t="s">
        <v>824</v>
      </c>
    </row>
    <row r="236" spans="1:11">
      <c r="A236" s="2">
        <v>269</v>
      </c>
      <c r="B236" s="2" t="s">
        <v>765</v>
      </c>
      <c r="C236" s="2" t="s">
        <v>825</v>
      </c>
      <c r="D236" s="2"/>
      <c r="E236" s="2">
        <v>2012</v>
      </c>
      <c r="F236" s="2"/>
      <c r="G236" s="2"/>
      <c r="H236" s="2"/>
      <c r="I236" s="2">
        <v>18</v>
      </c>
      <c r="J236" s="2" t="s">
        <v>170</v>
      </c>
      <c r="K236" s="2" t="s">
        <v>507</v>
      </c>
    </row>
    <row r="237" spans="1:11">
      <c r="A237" s="3">
        <v>266</v>
      </c>
      <c r="B237" s="3" t="s">
        <v>765</v>
      </c>
      <c r="C237" s="3" t="s">
        <v>826</v>
      </c>
      <c r="D237" s="3"/>
      <c r="E237" s="3">
        <v>2012</v>
      </c>
      <c r="F237" s="3" t="s">
        <v>827</v>
      </c>
      <c r="G237" s="3"/>
      <c r="H237" s="3" t="s">
        <v>828</v>
      </c>
      <c r="I237" s="3">
        <v>10</v>
      </c>
      <c r="J237" s="3" t="s">
        <v>15</v>
      </c>
      <c r="K237" s="3" t="s">
        <v>829</v>
      </c>
    </row>
    <row r="238" spans="1:11">
      <c r="A238" s="2">
        <v>262</v>
      </c>
      <c r="B238" s="2" t="s">
        <v>765</v>
      </c>
      <c r="C238" s="2" t="s">
        <v>355</v>
      </c>
      <c r="D238" s="2"/>
      <c r="E238" s="2">
        <v>2012</v>
      </c>
      <c r="F238" s="2" t="s">
        <v>830</v>
      </c>
      <c r="G238" s="2"/>
      <c r="H238" s="2" t="s">
        <v>831</v>
      </c>
      <c r="I238" s="2">
        <v>33</v>
      </c>
      <c r="J238" s="2" t="s">
        <v>92</v>
      </c>
      <c r="K238" s="2" t="s">
        <v>832</v>
      </c>
    </row>
    <row r="239" spans="1:11">
      <c r="A239" s="3">
        <v>297</v>
      </c>
      <c r="B239" s="3" t="s">
        <v>765</v>
      </c>
      <c r="C239" s="3" t="s">
        <v>833</v>
      </c>
      <c r="D239" s="3"/>
      <c r="E239" s="3">
        <v>2011</v>
      </c>
      <c r="F239" s="3" t="s">
        <v>834</v>
      </c>
      <c r="G239" s="3"/>
      <c r="H239" s="3" t="s">
        <v>835</v>
      </c>
      <c r="I239" s="3">
        <v>4</v>
      </c>
      <c r="J239" s="3"/>
      <c r="K239" s="3" t="s">
        <v>378</v>
      </c>
    </row>
    <row r="240" spans="1:11">
      <c r="A240" s="2">
        <v>216</v>
      </c>
      <c r="B240" s="2" t="s">
        <v>765</v>
      </c>
      <c r="C240" s="2"/>
      <c r="D240" s="2" t="s">
        <v>641</v>
      </c>
      <c r="E240" s="2">
        <v>2010</v>
      </c>
      <c r="F240" s="2"/>
      <c r="G240" s="2"/>
      <c r="H240" s="2" t="s">
        <v>836</v>
      </c>
      <c r="I240" s="2">
        <v>200</v>
      </c>
      <c r="J240" s="2" t="s">
        <v>21</v>
      </c>
      <c r="K240" s="2" t="s">
        <v>75</v>
      </c>
    </row>
    <row r="241" spans="1:11">
      <c r="A241" s="3">
        <v>254</v>
      </c>
      <c r="B241" s="3" t="s">
        <v>765</v>
      </c>
      <c r="C241" s="3" t="s">
        <v>837</v>
      </c>
      <c r="D241" s="3" t="s">
        <v>838</v>
      </c>
      <c r="E241" s="3">
        <v>2010</v>
      </c>
      <c r="F241" s="3" t="s">
        <v>839</v>
      </c>
      <c r="G241" s="3"/>
      <c r="H241" s="3" t="s">
        <v>840</v>
      </c>
      <c r="I241" s="3">
        <v>27</v>
      </c>
      <c r="J241" s="3" t="s">
        <v>84</v>
      </c>
      <c r="K241" s="3" t="s">
        <v>841</v>
      </c>
    </row>
    <row r="242" spans="1:11">
      <c r="A242" s="2">
        <v>276</v>
      </c>
      <c r="B242" s="2" t="s">
        <v>765</v>
      </c>
      <c r="C242" s="2" t="s">
        <v>842</v>
      </c>
      <c r="D242" s="2"/>
      <c r="E242" s="2">
        <v>2009</v>
      </c>
      <c r="F242" s="2"/>
      <c r="G242" s="2"/>
      <c r="H242" s="2" t="s">
        <v>843</v>
      </c>
      <c r="I242" s="2">
        <v>83</v>
      </c>
      <c r="J242" s="2" t="s">
        <v>21</v>
      </c>
      <c r="K242" s="2" t="s">
        <v>507</v>
      </c>
    </row>
    <row r="243" spans="1:11">
      <c r="A243" s="3">
        <v>215</v>
      </c>
      <c r="B243" s="3" t="s">
        <v>765</v>
      </c>
      <c r="C243" s="3" t="s">
        <v>844</v>
      </c>
      <c r="D243" s="3"/>
      <c r="E243" s="3">
        <v>2009</v>
      </c>
      <c r="F243" s="3"/>
      <c r="G243" s="3"/>
      <c r="H243" s="3" t="s">
        <v>845</v>
      </c>
      <c r="I243" s="3">
        <v>28</v>
      </c>
      <c r="J243" s="3" t="s">
        <v>170</v>
      </c>
      <c r="K243" s="3" t="s">
        <v>846</v>
      </c>
    </row>
    <row r="244" spans="1:11">
      <c r="A244" s="2">
        <v>280</v>
      </c>
      <c r="B244" s="2" t="s">
        <v>765</v>
      </c>
      <c r="C244" s="2" t="s">
        <v>847</v>
      </c>
      <c r="D244" s="2"/>
      <c r="E244" s="2">
        <v>2007</v>
      </c>
      <c r="F244" s="2"/>
      <c r="G244" s="2"/>
      <c r="H244" s="2" t="s">
        <v>848</v>
      </c>
      <c r="I244" s="2">
        <v>166</v>
      </c>
      <c r="J244" s="2" t="s">
        <v>92</v>
      </c>
      <c r="K244" s="2" t="s">
        <v>849</v>
      </c>
    </row>
    <row r="245" spans="1:11">
      <c r="A245" s="3">
        <v>301</v>
      </c>
      <c r="B245" s="3" t="s">
        <v>765</v>
      </c>
      <c r="C245" s="3" t="s">
        <v>850</v>
      </c>
      <c r="D245" s="3" t="s">
        <v>851</v>
      </c>
      <c r="E245" s="3">
        <v>2006</v>
      </c>
      <c r="F245" s="3" t="s">
        <v>852</v>
      </c>
      <c r="G245" s="3"/>
      <c r="H245" s="3"/>
      <c r="I245" s="3">
        <v>17</v>
      </c>
      <c r="J245" s="3" t="s">
        <v>142</v>
      </c>
      <c r="K245" s="3" t="s">
        <v>853</v>
      </c>
    </row>
    <row r="246" spans="1:11">
      <c r="A246" s="2">
        <v>289</v>
      </c>
      <c r="B246" s="2" t="s">
        <v>765</v>
      </c>
      <c r="C246" s="2" t="s">
        <v>854</v>
      </c>
      <c r="D246" s="2" t="s">
        <v>855</v>
      </c>
      <c r="E246" s="2">
        <v>2005</v>
      </c>
      <c r="F246" s="2"/>
      <c r="G246" s="2"/>
      <c r="H246" s="2"/>
      <c r="I246" s="2">
        <v>6</v>
      </c>
      <c r="J246" s="2" t="s">
        <v>453</v>
      </c>
      <c r="K246" s="2" t="s">
        <v>535</v>
      </c>
    </row>
    <row r="247" spans="1:11">
      <c r="A247" s="3">
        <v>281</v>
      </c>
      <c r="B247" s="3" t="s">
        <v>765</v>
      </c>
      <c r="C247" s="3" t="s">
        <v>856</v>
      </c>
      <c r="D247" s="3"/>
      <c r="E247" s="3">
        <v>2003</v>
      </c>
      <c r="F247" s="3" t="s">
        <v>857</v>
      </c>
      <c r="G247" s="3"/>
      <c r="H247" s="3" t="s">
        <v>858</v>
      </c>
      <c r="I247" s="3">
        <v>9</v>
      </c>
      <c r="J247" s="3" t="s">
        <v>65</v>
      </c>
      <c r="K247" s="3" t="s">
        <v>859</v>
      </c>
    </row>
    <row r="248" spans="1:11">
      <c r="A248" s="2">
        <v>293</v>
      </c>
      <c r="B248" s="2" t="s">
        <v>765</v>
      </c>
      <c r="C248" s="2" t="s">
        <v>854</v>
      </c>
      <c r="D248" s="2" t="s">
        <v>855</v>
      </c>
      <c r="E248" s="2">
        <v>2001</v>
      </c>
      <c r="F248" s="2"/>
      <c r="G248" s="2"/>
      <c r="H248" s="2"/>
      <c r="I248" s="2">
        <v>6</v>
      </c>
      <c r="J248" s="2" t="s">
        <v>92</v>
      </c>
      <c r="K248" s="2" t="s">
        <v>507</v>
      </c>
    </row>
    <row r="249" spans="1:11">
      <c r="A249" s="3">
        <v>265</v>
      </c>
      <c r="B249" s="3" t="s">
        <v>765</v>
      </c>
      <c r="C249" s="3" t="s">
        <v>860</v>
      </c>
      <c r="D249" s="3"/>
      <c r="E249" s="3">
        <v>2001</v>
      </c>
      <c r="F249" s="3"/>
      <c r="G249" s="3"/>
      <c r="H249" s="3" t="s">
        <v>861</v>
      </c>
      <c r="I249" s="3">
        <v>15</v>
      </c>
      <c r="J249" s="3" t="s">
        <v>21</v>
      </c>
      <c r="K249" s="3" t="s">
        <v>862</v>
      </c>
    </row>
    <row r="250" spans="1:11">
      <c r="A250" s="2">
        <v>303</v>
      </c>
      <c r="B250" s="2" t="s">
        <v>765</v>
      </c>
      <c r="C250" s="2" t="s">
        <v>854</v>
      </c>
      <c r="D250" s="2" t="s">
        <v>855</v>
      </c>
      <c r="E250" s="2">
        <v>1996</v>
      </c>
      <c r="F250" s="2" t="s">
        <v>863</v>
      </c>
      <c r="G250" s="2"/>
      <c r="H250" s="2"/>
      <c r="I250" s="2">
        <v>5</v>
      </c>
      <c r="J250" s="2" t="s">
        <v>21</v>
      </c>
      <c r="K250" s="2" t="s">
        <v>507</v>
      </c>
    </row>
    <row r="251" spans="1:11">
      <c r="A251" s="3">
        <v>222</v>
      </c>
      <c r="B251" s="3" t="s">
        <v>765</v>
      </c>
      <c r="C251" s="3" t="s">
        <v>864</v>
      </c>
      <c r="D251" s="3"/>
      <c r="E251" s="3">
        <v>1995</v>
      </c>
      <c r="F251" s="3"/>
      <c r="G251" s="3"/>
      <c r="H251" s="3"/>
      <c r="I251" s="3">
        <v>271</v>
      </c>
      <c r="J251" s="3" t="s">
        <v>21</v>
      </c>
      <c r="K251" s="3" t="s">
        <v>183</v>
      </c>
    </row>
    <row r="252" spans="1:11">
      <c r="A252" s="2">
        <v>300</v>
      </c>
      <c r="B252" s="2" t="s">
        <v>765</v>
      </c>
      <c r="C252" s="2" t="s">
        <v>854</v>
      </c>
      <c r="D252" s="2" t="s">
        <v>855</v>
      </c>
      <c r="E252" s="2">
        <v>1992</v>
      </c>
      <c r="F252" s="2" t="s">
        <v>865</v>
      </c>
      <c r="G252" s="2"/>
      <c r="H252" s="2"/>
      <c r="I252" s="2">
        <v>26</v>
      </c>
      <c r="J252" s="2"/>
      <c r="K252" s="2" t="s">
        <v>866</v>
      </c>
    </row>
    <row r="253" spans="1:11">
      <c r="A253" s="3">
        <v>285</v>
      </c>
      <c r="B253" s="3" t="s">
        <v>765</v>
      </c>
      <c r="C253" s="3" t="s">
        <v>854</v>
      </c>
      <c r="D253" s="3" t="s">
        <v>855</v>
      </c>
      <c r="E253" s="3">
        <v>1989</v>
      </c>
      <c r="F253" s="3" t="s">
        <v>867</v>
      </c>
      <c r="G253" s="3"/>
      <c r="H253" s="3"/>
      <c r="I253" s="3">
        <v>2</v>
      </c>
      <c r="J253" s="3" t="s">
        <v>21</v>
      </c>
      <c r="K253" s="3" t="s">
        <v>868</v>
      </c>
    </row>
    <row r="254" spans="1:11">
      <c r="A254" s="2">
        <v>252</v>
      </c>
      <c r="B254" s="2" t="s">
        <v>765</v>
      </c>
      <c r="C254" s="2" t="s">
        <v>869</v>
      </c>
      <c r="D254" s="2"/>
      <c r="E254" s="2">
        <v>1986</v>
      </c>
      <c r="F254" s="2"/>
      <c r="G254" s="2"/>
      <c r="H254" s="2"/>
      <c r="I254" s="2">
        <v>1</v>
      </c>
      <c r="J254" s="2"/>
      <c r="K254" s="2" t="s">
        <v>449</v>
      </c>
    </row>
    <row r="255" spans="1:11">
      <c r="A255" s="3">
        <v>214</v>
      </c>
      <c r="B255" s="3" t="s">
        <v>765</v>
      </c>
      <c r="C255" s="3" t="s">
        <v>870</v>
      </c>
      <c r="D255" s="3"/>
      <c r="E255" s="3">
        <v>1980</v>
      </c>
      <c r="F255" s="3"/>
      <c r="G255" s="3"/>
      <c r="H255" s="3" t="s">
        <v>871</v>
      </c>
      <c r="I255" s="3">
        <v>6</v>
      </c>
      <c r="J255" s="3" t="s">
        <v>21</v>
      </c>
      <c r="K255" s="3" t="s">
        <v>564</v>
      </c>
    </row>
    <row r="256" spans="1:11">
      <c r="A256" s="2">
        <v>295</v>
      </c>
      <c r="B256" s="2" t="s">
        <v>765</v>
      </c>
      <c r="C256" s="2" t="s">
        <v>854</v>
      </c>
      <c r="D256" s="2" t="s">
        <v>855</v>
      </c>
      <c r="E256" s="2">
        <v>1978</v>
      </c>
      <c r="F256" s="2" t="s">
        <v>872</v>
      </c>
      <c r="G256" s="2"/>
      <c r="H256" s="2"/>
      <c r="I256" s="2">
        <v>25</v>
      </c>
      <c r="J256" s="2" t="s">
        <v>726</v>
      </c>
      <c r="K256" s="2" t="s">
        <v>412</v>
      </c>
    </row>
    <row r="257" spans="1:11">
      <c r="A257" s="3">
        <v>272</v>
      </c>
      <c r="B257" s="3" t="s">
        <v>765</v>
      </c>
      <c r="C257" s="3" t="s">
        <v>873</v>
      </c>
      <c r="D257" s="3"/>
      <c r="E257" s="3">
        <v>1971</v>
      </c>
      <c r="F257" s="3"/>
      <c r="G257" s="3"/>
      <c r="H257" s="3" t="s">
        <v>874</v>
      </c>
      <c r="I257" s="3">
        <v>50</v>
      </c>
      <c r="J257" s="3" t="s">
        <v>875</v>
      </c>
      <c r="K257" s="3" t="s">
        <v>261</v>
      </c>
    </row>
    <row r="258" spans="1:11">
      <c r="A258" s="2">
        <v>257</v>
      </c>
      <c r="B258" s="2" t="s">
        <v>765</v>
      </c>
      <c r="C258" s="2" t="s">
        <v>876</v>
      </c>
      <c r="D258" s="2"/>
      <c r="E258" s="2">
        <v>1959</v>
      </c>
      <c r="F258" s="2" t="s">
        <v>877</v>
      </c>
      <c r="G258" s="2"/>
      <c r="H258" s="2" t="s">
        <v>878</v>
      </c>
      <c r="I258" s="2">
        <v>10</v>
      </c>
      <c r="J258" s="2" t="s">
        <v>21</v>
      </c>
      <c r="K258" s="2" t="s">
        <v>879</v>
      </c>
    </row>
    <row r="259" spans="1:11">
      <c r="A259" s="3">
        <v>292</v>
      </c>
      <c r="B259" s="3" t="s">
        <v>765</v>
      </c>
      <c r="C259" s="3" t="s">
        <v>854</v>
      </c>
      <c r="D259" s="3" t="s">
        <v>855</v>
      </c>
      <c r="E259" s="3">
        <v>1957</v>
      </c>
      <c r="F259" s="3" t="s">
        <v>880</v>
      </c>
      <c r="G259" s="3"/>
      <c r="H259" s="3"/>
      <c r="I259" s="3">
        <v>20</v>
      </c>
      <c r="J259" s="3"/>
      <c r="K259" s="3" t="s">
        <v>412</v>
      </c>
    </row>
    <row r="260" spans="1:11">
      <c r="A260" s="2">
        <v>284</v>
      </c>
      <c r="B260" s="2" t="s">
        <v>765</v>
      </c>
      <c r="C260" s="2" t="s">
        <v>854</v>
      </c>
      <c r="D260" s="2" t="s">
        <v>855</v>
      </c>
      <c r="E260" s="2">
        <v>1950</v>
      </c>
      <c r="F260" s="2" t="s">
        <v>881</v>
      </c>
      <c r="G260" s="2"/>
      <c r="H260" s="2"/>
      <c r="I260" s="2">
        <v>33</v>
      </c>
      <c r="J260" s="2" t="s">
        <v>26</v>
      </c>
      <c r="K260" s="2" t="s">
        <v>564</v>
      </c>
    </row>
    <row r="261" spans="1:11">
      <c r="A261" s="3">
        <v>258</v>
      </c>
      <c r="B261" s="3" t="s">
        <v>765</v>
      </c>
      <c r="C261" s="3" t="s">
        <v>882</v>
      </c>
      <c r="D261" s="3"/>
      <c r="E261" s="3"/>
      <c r="F261" s="3"/>
      <c r="G261" s="3"/>
      <c r="H261" s="3"/>
      <c r="I261" s="3">
        <v>9</v>
      </c>
      <c r="J261" s="3"/>
      <c r="K261" s="3" t="s">
        <v>883</v>
      </c>
    </row>
    <row r="262" spans="1:11">
      <c r="A262" s="2">
        <v>229</v>
      </c>
      <c r="B262" s="2" t="s">
        <v>765</v>
      </c>
      <c r="C262" s="2" t="s">
        <v>884</v>
      </c>
      <c r="D262" s="2"/>
      <c r="E262" s="2"/>
      <c r="F262" s="2"/>
      <c r="G262" s="2"/>
      <c r="H262" s="2"/>
      <c r="I262" s="2">
        <v>4</v>
      </c>
      <c r="J262" s="2"/>
      <c r="K262" s="2"/>
    </row>
    <row r="263" spans="1:11">
      <c r="A263" s="3">
        <v>282</v>
      </c>
      <c r="B263" s="3" t="s">
        <v>765</v>
      </c>
      <c r="C263" s="3" t="s">
        <v>885</v>
      </c>
      <c r="D263" s="3" t="s">
        <v>886</v>
      </c>
      <c r="E263" s="3"/>
      <c r="F263" s="3"/>
      <c r="G263" s="3"/>
      <c r="H263" s="3" t="s">
        <v>887</v>
      </c>
      <c r="I263" s="3">
        <v>8</v>
      </c>
      <c r="J263" s="3" t="s">
        <v>84</v>
      </c>
      <c r="K263" s="3" t="s">
        <v>71</v>
      </c>
    </row>
    <row r="264" spans="1:11">
      <c r="A264" s="2">
        <v>228</v>
      </c>
      <c r="B264" s="2" t="s">
        <v>765</v>
      </c>
      <c r="C264" s="2" t="s">
        <v>888</v>
      </c>
      <c r="D264" s="2"/>
      <c r="E264" s="2"/>
      <c r="F264" s="2"/>
      <c r="G264" s="2"/>
      <c r="H264" s="2"/>
      <c r="I264" s="2">
        <v>1</v>
      </c>
      <c r="J264" s="2"/>
      <c r="K264" s="2" t="s">
        <v>378</v>
      </c>
    </row>
    <row r="265" spans="1:11">
      <c r="A265" s="3">
        <v>247</v>
      </c>
      <c r="B265" s="3" t="s">
        <v>765</v>
      </c>
      <c r="C265" s="3" t="s">
        <v>889</v>
      </c>
      <c r="D265" s="3"/>
      <c r="E265" s="3"/>
      <c r="F265" s="3"/>
      <c r="G265" s="3"/>
      <c r="H265" s="3"/>
      <c r="I265" s="3">
        <v>20</v>
      </c>
      <c r="J265" s="3"/>
      <c r="K265" s="3" t="s">
        <v>449</v>
      </c>
    </row>
    <row r="266" spans="1:11">
      <c r="A266" s="2">
        <v>241</v>
      </c>
      <c r="B266" s="2" t="s">
        <v>765</v>
      </c>
      <c r="C266" s="2" t="s">
        <v>890</v>
      </c>
      <c r="D266" s="2"/>
      <c r="E266" s="2"/>
      <c r="F266" s="2"/>
      <c r="G266" s="2"/>
      <c r="H266" s="2"/>
      <c r="I266" s="2">
        <v>28</v>
      </c>
      <c r="J266" s="2"/>
      <c r="K266" s="2" t="s">
        <v>449</v>
      </c>
    </row>
    <row r="267" spans="1:11">
      <c r="A267" s="3">
        <v>244</v>
      </c>
      <c r="B267" s="3" t="s">
        <v>765</v>
      </c>
      <c r="C267" s="3" t="s">
        <v>891</v>
      </c>
      <c r="D267" s="3"/>
      <c r="E267" s="3"/>
      <c r="F267" s="3"/>
      <c r="G267" s="3"/>
      <c r="H267" s="3"/>
      <c r="I267" s="3">
        <v>36</v>
      </c>
      <c r="J267" s="3"/>
      <c r="K267" s="3" t="s">
        <v>378</v>
      </c>
    </row>
    <row r="268" spans="1:11">
      <c r="A268" s="2">
        <v>245</v>
      </c>
      <c r="B268" s="2" t="s">
        <v>765</v>
      </c>
      <c r="C268" s="2" t="s">
        <v>892</v>
      </c>
      <c r="D268" s="2"/>
      <c r="E268" s="2"/>
      <c r="F268" s="2"/>
      <c r="G268" s="2"/>
      <c r="H268" s="2"/>
      <c r="I268" s="2">
        <v>28</v>
      </c>
      <c r="J268" s="2"/>
      <c r="K268" s="2" t="s">
        <v>449</v>
      </c>
    </row>
    <row r="269" spans="1:11">
      <c r="A269" s="3">
        <v>226</v>
      </c>
      <c r="B269" s="3" t="s">
        <v>765</v>
      </c>
      <c r="C269" s="3" t="s">
        <v>893</v>
      </c>
      <c r="D269" s="3"/>
      <c r="E269" s="3"/>
      <c r="F269" s="3"/>
      <c r="G269" s="3"/>
      <c r="H269" s="3"/>
      <c r="I269" s="3">
        <v>1</v>
      </c>
      <c r="J269" s="3"/>
      <c r="K269" s="3" t="s">
        <v>449</v>
      </c>
    </row>
    <row r="270" spans="1:11">
      <c r="A270" s="2">
        <v>253</v>
      </c>
      <c r="B270" s="2" t="s">
        <v>765</v>
      </c>
      <c r="C270" s="2" t="s">
        <v>894</v>
      </c>
      <c r="D270" s="2" t="s">
        <v>895</v>
      </c>
      <c r="E270" s="2"/>
      <c r="F270" s="2"/>
      <c r="G270" s="2"/>
      <c r="H270" s="2"/>
      <c r="I270" s="2">
        <v>5</v>
      </c>
      <c r="J270" s="2"/>
      <c r="K270" s="2"/>
    </row>
    <row r="271" spans="1:11">
      <c r="A271" s="3">
        <v>235</v>
      </c>
      <c r="B271" s="3" t="s">
        <v>765</v>
      </c>
      <c r="C271" s="3" t="s">
        <v>896</v>
      </c>
      <c r="D271" s="3"/>
      <c r="E271" s="3"/>
      <c r="F271" s="3"/>
      <c r="G271" s="3"/>
      <c r="H271" s="3"/>
      <c r="I271" s="3">
        <v>24</v>
      </c>
      <c r="J271" s="3"/>
      <c r="K271" s="3" t="s">
        <v>449</v>
      </c>
    </row>
    <row r="272" spans="1:11">
      <c r="A272" s="2">
        <v>246</v>
      </c>
      <c r="B272" s="2" t="s">
        <v>765</v>
      </c>
      <c r="C272" s="2" t="s">
        <v>897</v>
      </c>
      <c r="D272" s="2"/>
      <c r="E272" s="2"/>
      <c r="F272" s="2"/>
      <c r="G272" s="2"/>
      <c r="H272" s="2"/>
      <c r="I272" s="2">
        <v>20</v>
      </c>
      <c r="J272" s="2" t="s">
        <v>898</v>
      </c>
      <c r="K272" s="2" t="s">
        <v>406</v>
      </c>
    </row>
    <row r="273" spans="1:11">
      <c r="A273" s="3">
        <v>283</v>
      </c>
      <c r="B273" s="3" t="s">
        <v>765</v>
      </c>
      <c r="C273" s="3" t="s">
        <v>854</v>
      </c>
      <c r="D273" s="3" t="s">
        <v>855</v>
      </c>
      <c r="E273" s="3"/>
      <c r="F273" s="3"/>
      <c r="G273" s="3"/>
      <c r="H273" s="3"/>
      <c r="I273" s="3">
        <v>4</v>
      </c>
      <c r="J273" s="3"/>
      <c r="K273" s="3"/>
    </row>
    <row r="274" spans="1:11">
      <c r="A274" s="2">
        <v>290</v>
      </c>
      <c r="B274" s="2" t="s">
        <v>765</v>
      </c>
      <c r="C274" s="2" t="s">
        <v>854</v>
      </c>
      <c r="D274" s="2" t="s">
        <v>855</v>
      </c>
      <c r="E274" s="2"/>
      <c r="F274" s="2" t="s">
        <v>899</v>
      </c>
      <c r="G274" s="2"/>
      <c r="H274" s="2"/>
      <c r="I274" s="2">
        <v>26</v>
      </c>
      <c r="J274" s="2" t="s">
        <v>21</v>
      </c>
      <c r="K274" s="2" t="s">
        <v>449</v>
      </c>
    </row>
    <row r="275" spans="1:11">
      <c r="A275" s="3">
        <v>291</v>
      </c>
      <c r="B275" s="3" t="s">
        <v>765</v>
      </c>
      <c r="C275" s="3" t="s">
        <v>854</v>
      </c>
      <c r="D275" s="3" t="s">
        <v>855</v>
      </c>
      <c r="E275" s="3"/>
      <c r="F275" s="3" t="s">
        <v>900</v>
      </c>
      <c r="G275" s="3"/>
      <c r="H275" s="3"/>
      <c r="I275" s="3">
        <v>28</v>
      </c>
      <c r="J275" s="3"/>
      <c r="K275" s="3" t="s">
        <v>412</v>
      </c>
    </row>
    <row r="276" spans="1:11">
      <c r="A276" s="2">
        <v>294</v>
      </c>
      <c r="B276" s="2" t="s">
        <v>765</v>
      </c>
      <c r="C276" s="2" t="s">
        <v>854</v>
      </c>
      <c r="D276" s="2" t="s">
        <v>855</v>
      </c>
      <c r="E276" s="2"/>
      <c r="F276" s="2"/>
      <c r="G276" s="2"/>
      <c r="H276" s="2"/>
      <c r="I276" s="2">
        <v>6</v>
      </c>
      <c r="J276" s="2" t="s">
        <v>901</v>
      </c>
      <c r="K276" s="2" t="s">
        <v>772</v>
      </c>
    </row>
    <row r="277" spans="1:11">
      <c r="A277" s="3">
        <v>296</v>
      </c>
      <c r="B277" s="3" t="s">
        <v>765</v>
      </c>
      <c r="C277" s="3" t="s">
        <v>854</v>
      </c>
      <c r="D277" s="3" t="s">
        <v>855</v>
      </c>
      <c r="E277" s="3"/>
      <c r="F277" s="3" t="s">
        <v>902</v>
      </c>
      <c r="G277" s="3"/>
      <c r="H277" s="3"/>
      <c r="I277" s="3">
        <v>26</v>
      </c>
      <c r="J277" s="3"/>
      <c r="K277" s="3" t="s">
        <v>868</v>
      </c>
    </row>
    <row r="278" spans="1:11">
      <c r="A278" s="2">
        <v>298</v>
      </c>
      <c r="B278" s="2" t="s">
        <v>765</v>
      </c>
      <c r="C278" s="2" t="s">
        <v>854</v>
      </c>
      <c r="D278" s="2" t="s">
        <v>855</v>
      </c>
      <c r="E278" s="2"/>
      <c r="F278" s="2" t="s">
        <v>903</v>
      </c>
      <c r="G278" s="2"/>
      <c r="H278" s="2"/>
      <c r="I278" s="2">
        <v>37</v>
      </c>
      <c r="J278" s="2"/>
      <c r="K278" s="2" t="s">
        <v>507</v>
      </c>
    </row>
    <row r="279" spans="1:11">
      <c r="A279" s="3">
        <v>299</v>
      </c>
      <c r="B279" s="3" t="s">
        <v>765</v>
      </c>
      <c r="C279" s="3" t="s">
        <v>854</v>
      </c>
      <c r="D279" s="3" t="s">
        <v>855</v>
      </c>
      <c r="E279" s="3"/>
      <c r="F279" s="3" t="s">
        <v>904</v>
      </c>
      <c r="G279" s="3"/>
      <c r="H279" s="3" t="s">
        <v>905</v>
      </c>
      <c r="I279" s="3">
        <v>71</v>
      </c>
      <c r="J279" s="3"/>
      <c r="K279" s="3" t="s">
        <v>449</v>
      </c>
    </row>
    <row r="280" spans="1:11">
      <c r="A280" s="2">
        <v>304</v>
      </c>
      <c r="B280" s="2" t="s">
        <v>765</v>
      </c>
      <c r="C280" s="2" t="s">
        <v>854</v>
      </c>
      <c r="D280" s="2" t="s">
        <v>855</v>
      </c>
      <c r="E280" s="2"/>
      <c r="F280" s="2" t="s">
        <v>906</v>
      </c>
      <c r="G280" s="2"/>
      <c r="H280" s="2"/>
      <c r="I280" s="2">
        <v>43</v>
      </c>
      <c r="J280" s="2"/>
      <c r="K280" s="2" t="s">
        <v>507</v>
      </c>
    </row>
    <row r="281" spans="1:11">
      <c r="A281" s="3">
        <v>305</v>
      </c>
      <c r="B281" s="3" t="s">
        <v>765</v>
      </c>
      <c r="C281" s="3" t="s">
        <v>854</v>
      </c>
      <c r="D281" s="3" t="s">
        <v>855</v>
      </c>
      <c r="E281" s="3"/>
      <c r="F281" s="3" t="s">
        <v>907</v>
      </c>
      <c r="G281" s="3"/>
      <c r="H281" s="3"/>
      <c r="I281" s="3">
        <v>32</v>
      </c>
      <c r="J281" s="3"/>
      <c r="K281" s="3" t="s">
        <v>449</v>
      </c>
    </row>
    <row r="282" spans="1:11">
      <c r="A282" s="2">
        <v>306</v>
      </c>
      <c r="B282" s="2" t="s">
        <v>765</v>
      </c>
      <c r="C282" s="2" t="s">
        <v>854</v>
      </c>
      <c r="D282" s="2" t="s">
        <v>855</v>
      </c>
      <c r="E282" s="2"/>
      <c r="F282" s="2" t="s">
        <v>908</v>
      </c>
      <c r="G282" s="2"/>
      <c r="H282" s="2"/>
      <c r="I282" s="2">
        <v>40</v>
      </c>
      <c r="J282" s="2"/>
      <c r="K282" s="2" t="s">
        <v>449</v>
      </c>
    </row>
    <row r="283" spans="1:11">
      <c r="A283" s="3">
        <v>307</v>
      </c>
      <c r="B283" s="3" t="s">
        <v>765</v>
      </c>
      <c r="C283" s="3" t="s">
        <v>854</v>
      </c>
      <c r="D283" s="3" t="s">
        <v>855</v>
      </c>
      <c r="E283" s="3"/>
      <c r="F283" s="3" t="s">
        <v>909</v>
      </c>
      <c r="G283" s="3"/>
      <c r="H283" s="3"/>
      <c r="I283" s="3">
        <v>41</v>
      </c>
      <c r="J283" s="3" t="s">
        <v>21</v>
      </c>
      <c r="K283" s="3" t="s">
        <v>910</v>
      </c>
    </row>
    <row r="284" spans="1:11">
      <c r="A284" s="2">
        <v>308</v>
      </c>
      <c r="B284" s="2" t="s">
        <v>765</v>
      </c>
      <c r="C284" s="2" t="s">
        <v>854</v>
      </c>
      <c r="D284" s="2" t="s">
        <v>855</v>
      </c>
      <c r="E284" s="2"/>
      <c r="F284" s="2" t="s">
        <v>911</v>
      </c>
      <c r="G284" s="2"/>
      <c r="H284" s="2"/>
      <c r="I284" s="2">
        <v>35</v>
      </c>
      <c r="J284" s="2" t="s">
        <v>898</v>
      </c>
      <c r="K284" s="2" t="s">
        <v>912</v>
      </c>
    </row>
    <row r="285" spans="1:11">
      <c r="A285" s="3">
        <v>309</v>
      </c>
      <c r="B285" s="3" t="s">
        <v>765</v>
      </c>
      <c r="C285" s="3" t="s">
        <v>854</v>
      </c>
      <c r="D285" s="3" t="s">
        <v>855</v>
      </c>
      <c r="E285" s="3"/>
      <c r="F285" s="3" t="s">
        <v>913</v>
      </c>
      <c r="G285" s="3"/>
      <c r="H285" s="3"/>
      <c r="I285" s="3">
        <v>23</v>
      </c>
      <c r="J285" s="3"/>
      <c r="K285" s="3" t="s">
        <v>449</v>
      </c>
    </row>
    <row r="286" spans="1:11">
      <c r="A286" s="2">
        <v>310</v>
      </c>
      <c r="B286" s="2" t="s">
        <v>765</v>
      </c>
      <c r="C286" s="2" t="s">
        <v>854</v>
      </c>
      <c r="D286" s="2" t="s">
        <v>855</v>
      </c>
      <c r="E286" s="2"/>
      <c r="F286" s="2" t="s">
        <v>914</v>
      </c>
      <c r="G286" s="2"/>
      <c r="H286" s="2"/>
      <c r="I286" s="2">
        <v>39</v>
      </c>
      <c r="J286" s="2"/>
      <c r="K286" s="2" t="s">
        <v>449</v>
      </c>
    </row>
    <row r="287" spans="1:11">
      <c r="A287" s="3">
        <v>255</v>
      </c>
      <c r="B287" s="3" t="s">
        <v>765</v>
      </c>
      <c r="C287" s="3" t="s">
        <v>915</v>
      </c>
      <c r="D287" s="3"/>
      <c r="E287" s="3"/>
      <c r="F287" s="3"/>
      <c r="G287" s="3"/>
      <c r="H287" s="3"/>
      <c r="I287" s="3">
        <v>1</v>
      </c>
      <c r="J287" s="3"/>
      <c r="K287" s="3" t="s">
        <v>449</v>
      </c>
    </row>
    <row r="288" spans="1:11">
      <c r="A288" s="2">
        <v>302</v>
      </c>
      <c r="B288" s="2" t="s">
        <v>765</v>
      </c>
      <c r="C288" s="2" t="s">
        <v>916</v>
      </c>
      <c r="D288" s="2" t="s">
        <v>917</v>
      </c>
      <c r="E288" s="2"/>
      <c r="F288" s="2"/>
      <c r="G288" s="2"/>
      <c r="H288" s="2" t="s">
        <v>918</v>
      </c>
      <c r="I288" s="2">
        <v>229</v>
      </c>
      <c r="J288" s="2" t="s">
        <v>26</v>
      </c>
      <c r="K288" s="2" t="s">
        <v>919</v>
      </c>
    </row>
    <row r="289" spans="1:11">
      <c r="A289" s="3">
        <v>230</v>
      </c>
      <c r="B289" s="3" t="s">
        <v>765</v>
      </c>
      <c r="C289" s="3" t="s">
        <v>920</v>
      </c>
      <c r="D289" s="3" t="s">
        <v>921</v>
      </c>
      <c r="E289" s="3"/>
      <c r="F289" s="3"/>
      <c r="G289" s="3"/>
      <c r="H289" s="3"/>
      <c r="I289" s="3">
        <v>32</v>
      </c>
      <c r="J289" s="3" t="s">
        <v>142</v>
      </c>
      <c r="K289" s="3" t="s">
        <v>922</v>
      </c>
    </row>
    <row r="290" spans="1:11">
      <c r="A290" s="2">
        <v>231</v>
      </c>
      <c r="B290" s="2" t="s">
        <v>765</v>
      </c>
      <c r="C290" s="2" t="s">
        <v>923</v>
      </c>
      <c r="D290" s="2"/>
      <c r="E290" s="2"/>
      <c r="F290" s="2"/>
      <c r="G290" s="2"/>
      <c r="H290" s="2"/>
      <c r="I290" s="2">
        <v>32</v>
      </c>
      <c r="J290" s="2" t="s">
        <v>21</v>
      </c>
      <c r="K290" s="2" t="s">
        <v>794</v>
      </c>
    </row>
    <row r="291" spans="1:11">
      <c r="A291" s="3">
        <v>259</v>
      </c>
      <c r="B291" s="3" t="s">
        <v>765</v>
      </c>
      <c r="C291" s="3" t="s">
        <v>924</v>
      </c>
      <c r="D291" s="3"/>
      <c r="E291" s="3"/>
      <c r="F291" s="3"/>
      <c r="G291" s="3"/>
      <c r="H291" s="3"/>
      <c r="I291" s="3">
        <v>1</v>
      </c>
      <c r="J291" s="3"/>
      <c r="K291" s="3" t="s">
        <v>925</v>
      </c>
    </row>
    <row r="292" spans="1:11">
      <c r="A292" s="2">
        <v>250</v>
      </c>
      <c r="B292" s="2" t="s">
        <v>765</v>
      </c>
      <c r="C292" s="2" t="s">
        <v>926</v>
      </c>
      <c r="D292" s="2"/>
      <c r="E292" s="2"/>
      <c r="F292" s="2"/>
      <c r="G292" s="2"/>
      <c r="H292" s="2"/>
      <c r="I292" s="2">
        <v>20</v>
      </c>
      <c r="J292" s="2"/>
      <c r="K292" s="2" t="s">
        <v>378</v>
      </c>
    </row>
    <row r="293" spans="1:11">
      <c r="A293" s="3">
        <v>249</v>
      </c>
      <c r="B293" s="3" t="s">
        <v>765</v>
      </c>
      <c r="C293" s="3" t="s">
        <v>927</v>
      </c>
      <c r="D293" s="3"/>
      <c r="E293" s="3"/>
      <c r="F293" s="3"/>
      <c r="G293" s="3"/>
      <c r="H293" s="3"/>
      <c r="I293" s="3">
        <v>27</v>
      </c>
      <c r="J293" s="3" t="s">
        <v>901</v>
      </c>
      <c r="K293" s="3" t="s">
        <v>449</v>
      </c>
    </row>
    <row r="294" spans="1:11">
      <c r="A294" s="2">
        <v>236</v>
      </c>
      <c r="B294" s="2" t="s">
        <v>765</v>
      </c>
      <c r="C294" s="2" t="s">
        <v>928</v>
      </c>
      <c r="D294" s="2"/>
      <c r="E294" s="2"/>
      <c r="F294" s="2"/>
      <c r="G294" s="2"/>
      <c r="H294" s="2"/>
      <c r="I294" s="2">
        <v>25</v>
      </c>
      <c r="J294" s="2"/>
      <c r="K294" s="2" t="s">
        <v>412</v>
      </c>
    </row>
    <row r="295" spans="1:11">
      <c r="A295" s="3">
        <v>287</v>
      </c>
      <c r="B295" s="3" t="s">
        <v>765</v>
      </c>
      <c r="C295" s="3" t="s">
        <v>929</v>
      </c>
      <c r="D295" s="3" t="s">
        <v>930</v>
      </c>
      <c r="E295" s="3"/>
      <c r="F295" s="3"/>
      <c r="G295" s="3"/>
      <c r="H295" s="3" t="s">
        <v>931</v>
      </c>
      <c r="I295" s="3">
        <v>7</v>
      </c>
      <c r="J295" s="3" t="s">
        <v>92</v>
      </c>
      <c r="K295" s="3" t="s">
        <v>71</v>
      </c>
    </row>
    <row r="296" spans="1:11">
      <c r="A296" s="2">
        <v>225</v>
      </c>
      <c r="B296" s="2" t="s">
        <v>765</v>
      </c>
      <c r="C296" s="2" t="s">
        <v>932</v>
      </c>
      <c r="D296" s="2"/>
      <c r="E296" s="2"/>
      <c r="F296" s="2"/>
      <c r="G296" s="2"/>
      <c r="H296" s="2"/>
      <c r="I296" s="2">
        <v>1</v>
      </c>
      <c r="J296" s="2"/>
      <c r="K296" s="2" t="s">
        <v>449</v>
      </c>
    </row>
    <row r="297" spans="1:11">
      <c r="A297" s="3">
        <v>232</v>
      </c>
      <c r="B297" s="3" t="s">
        <v>765</v>
      </c>
      <c r="C297" s="3" t="s">
        <v>933</v>
      </c>
      <c r="D297" s="3"/>
      <c r="E297" s="3"/>
      <c r="F297" s="3"/>
      <c r="G297" s="3"/>
      <c r="H297" s="3"/>
      <c r="I297" s="3">
        <v>34</v>
      </c>
      <c r="J297" s="3"/>
      <c r="K297" s="3" t="s">
        <v>507</v>
      </c>
    </row>
    <row r="298" spans="1:11">
      <c r="A298" s="2">
        <v>268</v>
      </c>
      <c r="B298" s="2" t="s">
        <v>765</v>
      </c>
      <c r="C298" s="2" t="s">
        <v>934</v>
      </c>
      <c r="D298" s="2"/>
      <c r="E298" s="2"/>
      <c r="F298" s="2"/>
      <c r="G298" s="2"/>
      <c r="H298" s="2"/>
      <c r="I298" s="2">
        <v>2</v>
      </c>
      <c r="J298" s="2" t="s">
        <v>901</v>
      </c>
      <c r="K298" s="2" t="s">
        <v>868</v>
      </c>
    </row>
    <row r="299" spans="1:11">
      <c r="A299" s="3">
        <v>271</v>
      </c>
      <c r="B299" s="3" t="s">
        <v>765</v>
      </c>
      <c r="C299" s="3" t="s">
        <v>935</v>
      </c>
      <c r="D299" s="3"/>
      <c r="E299" s="3"/>
      <c r="F299" s="3"/>
      <c r="G299" s="3"/>
      <c r="H299" s="3"/>
      <c r="I299" s="3">
        <v>1</v>
      </c>
      <c r="J299" s="3"/>
      <c r="K299" s="3" t="s">
        <v>507</v>
      </c>
    </row>
    <row r="300" spans="1:11">
      <c r="A300" s="2">
        <v>234</v>
      </c>
      <c r="B300" s="2" t="s">
        <v>765</v>
      </c>
      <c r="C300" s="2" t="s">
        <v>936</v>
      </c>
      <c r="D300" s="2"/>
      <c r="E300" s="2"/>
      <c r="F300" s="2"/>
      <c r="G300" s="2"/>
      <c r="H300" s="2"/>
      <c r="I300" s="2">
        <v>28</v>
      </c>
      <c r="J300" s="2"/>
      <c r="K300" s="2" t="s">
        <v>412</v>
      </c>
    </row>
    <row r="301" spans="1:11">
      <c r="A301" s="3">
        <v>233</v>
      </c>
      <c r="B301" s="3" t="s">
        <v>765</v>
      </c>
      <c r="C301" s="3" t="s">
        <v>937</v>
      </c>
      <c r="D301" s="3"/>
      <c r="E301" s="3"/>
      <c r="F301" s="3"/>
      <c r="G301" s="3"/>
      <c r="H301" s="3"/>
      <c r="I301" s="3">
        <v>32</v>
      </c>
      <c r="J301" s="3" t="s">
        <v>21</v>
      </c>
      <c r="K301" s="3" t="s">
        <v>449</v>
      </c>
    </row>
    <row r="302" spans="1:11">
      <c r="A302" s="2">
        <v>227</v>
      </c>
      <c r="B302" s="2" t="s">
        <v>765</v>
      </c>
      <c r="C302" s="2" t="s">
        <v>938</v>
      </c>
      <c r="D302" s="2"/>
      <c r="E302" s="2"/>
      <c r="F302" s="2"/>
      <c r="G302" s="2"/>
      <c r="H302" s="2"/>
      <c r="I302" s="2">
        <v>3</v>
      </c>
      <c r="J302" s="2"/>
      <c r="K302" s="2" t="s">
        <v>378</v>
      </c>
    </row>
    <row r="303" spans="1:11">
      <c r="A303" s="3">
        <v>242</v>
      </c>
      <c r="B303" s="3" t="s">
        <v>765</v>
      </c>
      <c r="C303" s="3" t="s">
        <v>939</v>
      </c>
      <c r="D303" s="3"/>
      <c r="E303" s="3"/>
      <c r="F303" s="3"/>
      <c r="G303" s="3"/>
      <c r="H303" s="3"/>
      <c r="I303" s="3">
        <v>42</v>
      </c>
      <c r="J303" s="3" t="s">
        <v>901</v>
      </c>
      <c r="K303" s="3" t="s">
        <v>449</v>
      </c>
    </row>
    <row r="304" spans="1:11">
      <c r="A304" s="2">
        <v>248</v>
      </c>
      <c r="B304" s="2" t="s">
        <v>765</v>
      </c>
      <c r="C304" s="2" t="s">
        <v>940</v>
      </c>
      <c r="D304" s="2"/>
      <c r="E304" s="2"/>
      <c r="F304" s="2"/>
      <c r="G304" s="2"/>
      <c r="H304" s="2"/>
      <c r="I304" s="2">
        <v>33</v>
      </c>
      <c r="J304" s="2"/>
      <c r="K304" s="2" t="s">
        <v>449</v>
      </c>
    </row>
    <row r="305" spans="1:11">
      <c r="A305" s="3">
        <v>243</v>
      </c>
      <c r="B305" s="3" t="s">
        <v>765</v>
      </c>
      <c r="C305" s="3" t="s">
        <v>941</v>
      </c>
      <c r="D305" s="3"/>
      <c r="E305" s="3"/>
      <c r="F305" s="3"/>
      <c r="G305" s="3"/>
      <c r="H305" s="3"/>
      <c r="I305" s="3">
        <v>31</v>
      </c>
      <c r="J305" s="3"/>
      <c r="K305" s="3" t="s">
        <v>378</v>
      </c>
    </row>
    <row r="306" spans="1:11">
      <c r="A306" s="2">
        <v>224</v>
      </c>
      <c r="B306" s="2" t="s">
        <v>765</v>
      </c>
      <c r="C306" s="2" t="s">
        <v>942</v>
      </c>
      <c r="D306" s="2"/>
      <c r="E306" s="2"/>
      <c r="F306" s="2"/>
      <c r="G306" s="2"/>
      <c r="H306" s="2"/>
      <c r="I306" s="2">
        <v>5</v>
      </c>
      <c r="J306" s="2"/>
      <c r="K306" s="2" t="s">
        <v>449</v>
      </c>
    </row>
    <row r="307" spans="1:11">
      <c r="A307" s="3">
        <v>223</v>
      </c>
      <c r="B307" s="3" t="s">
        <v>765</v>
      </c>
      <c r="C307" s="3" t="s">
        <v>943</v>
      </c>
      <c r="D307" s="3"/>
      <c r="E307" s="3"/>
      <c r="F307" s="3"/>
      <c r="G307" s="3"/>
      <c r="H307" s="3"/>
      <c r="I307" s="3">
        <v>3</v>
      </c>
      <c r="J307" s="3"/>
      <c r="K307" s="3" t="s">
        <v>449</v>
      </c>
    </row>
    <row r="308" spans="1:11">
      <c r="A308" s="2">
        <v>237</v>
      </c>
      <c r="B308" s="2" t="s">
        <v>765</v>
      </c>
      <c r="C308" s="2" t="s">
        <v>944</v>
      </c>
      <c r="D308" s="2"/>
      <c r="E308" s="2"/>
      <c r="F308" s="2"/>
      <c r="G308" s="2"/>
      <c r="H308" s="2"/>
      <c r="I308" s="2">
        <v>54</v>
      </c>
      <c r="J308" s="2"/>
      <c r="K308" s="2" t="s">
        <v>378</v>
      </c>
    </row>
    <row r="309" spans="1:11">
      <c r="A309" s="3">
        <v>239</v>
      </c>
      <c r="B309" s="3" t="s">
        <v>765</v>
      </c>
      <c r="C309" s="3" t="s">
        <v>945</v>
      </c>
      <c r="D309" s="3"/>
      <c r="E309" s="3"/>
      <c r="F309" s="3"/>
      <c r="G309" s="3"/>
      <c r="H309" s="3"/>
      <c r="I309" s="3">
        <v>34</v>
      </c>
      <c r="J309" s="3"/>
      <c r="K309" s="3" t="s">
        <v>449</v>
      </c>
    </row>
    <row r="310" spans="1:11">
      <c r="A310" s="2">
        <v>240</v>
      </c>
      <c r="B310" s="2" t="s">
        <v>765</v>
      </c>
      <c r="C310" s="2" t="s">
        <v>946</v>
      </c>
      <c r="D310" s="2"/>
      <c r="E310" s="2"/>
      <c r="F310" s="2"/>
      <c r="G310" s="2"/>
      <c r="H310" s="2"/>
      <c r="I310" s="2">
        <v>48</v>
      </c>
      <c r="J310" s="2"/>
      <c r="K310" s="2" t="s">
        <v>449</v>
      </c>
    </row>
    <row r="311" spans="1:11">
      <c r="A311" s="3">
        <v>238</v>
      </c>
      <c r="B311" s="3" t="s">
        <v>765</v>
      </c>
      <c r="C311" s="3" t="s">
        <v>947</v>
      </c>
      <c r="D311" s="3"/>
      <c r="E311" s="3"/>
      <c r="F311" s="3"/>
      <c r="G311" s="3"/>
      <c r="H311" s="3"/>
      <c r="I311" s="3">
        <v>33</v>
      </c>
      <c r="J311" s="3"/>
      <c r="K311" s="3" t="s">
        <v>449</v>
      </c>
    </row>
    <row r="312" spans="1:11">
      <c r="A312" s="2">
        <v>312</v>
      </c>
      <c r="B312" s="2" t="s">
        <v>948</v>
      </c>
      <c r="C312" s="2" t="s">
        <v>949</v>
      </c>
      <c r="D312" s="2"/>
      <c r="E312" s="2">
        <v>2023</v>
      </c>
      <c r="F312" s="2" t="s">
        <v>950</v>
      </c>
      <c r="G312" s="2"/>
      <c r="H312" s="2" t="s">
        <v>951</v>
      </c>
      <c r="I312" s="2">
        <v>50</v>
      </c>
      <c r="J312" s="2" t="s">
        <v>952</v>
      </c>
      <c r="K312" s="2" t="s">
        <v>953</v>
      </c>
    </row>
    <row r="313" spans="1:11">
      <c r="A313" s="3">
        <v>311</v>
      </c>
      <c r="B313" s="3" t="s">
        <v>948</v>
      </c>
      <c r="C313" s="3" t="s">
        <v>954</v>
      </c>
      <c r="D313" s="3" t="s">
        <v>955</v>
      </c>
      <c r="E313" s="3">
        <v>2023</v>
      </c>
      <c r="F313" s="3" t="s">
        <v>956</v>
      </c>
      <c r="G313" s="3"/>
      <c r="H313" s="3" t="s">
        <v>957</v>
      </c>
      <c r="I313" s="3">
        <v>89</v>
      </c>
      <c r="J313" s="3" t="s">
        <v>958</v>
      </c>
      <c r="K313" s="3" t="s">
        <v>959</v>
      </c>
    </row>
    <row r="314" spans="1:11">
      <c r="A314" s="2">
        <v>313</v>
      </c>
      <c r="B314" s="2" t="s">
        <v>948</v>
      </c>
      <c r="C314" s="2" t="s">
        <v>960</v>
      </c>
      <c r="D314" s="2" t="s">
        <v>961</v>
      </c>
      <c r="E314" s="2">
        <v>2018</v>
      </c>
      <c r="F314" s="2" t="s">
        <v>962</v>
      </c>
      <c r="G314" s="2"/>
      <c r="H314" s="2" t="s">
        <v>963</v>
      </c>
      <c r="I314" s="2">
        <v>22</v>
      </c>
      <c r="J314" s="2" t="s">
        <v>142</v>
      </c>
      <c r="K314" s="2"/>
    </row>
    <row r="315" spans="1:11">
      <c r="A315" s="3">
        <v>329</v>
      </c>
      <c r="B315" s="3" t="s">
        <v>964</v>
      </c>
      <c r="C315" s="3" t="s">
        <v>965</v>
      </c>
      <c r="D315" s="3" t="s">
        <v>966</v>
      </c>
      <c r="E315" s="3">
        <v>2026</v>
      </c>
      <c r="F315" s="3" t="s">
        <v>967</v>
      </c>
      <c r="G315" s="3"/>
      <c r="H315" s="3" t="s">
        <v>968</v>
      </c>
      <c r="I315" s="3">
        <v>31</v>
      </c>
      <c r="J315" s="3" t="s">
        <v>84</v>
      </c>
      <c r="K315" s="3" t="s">
        <v>969</v>
      </c>
    </row>
    <row r="316" spans="1:11">
      <c r="A316" s="2">
        <v>334</v>
      </c>
      <c r="B316" s="2" t="s">
        <v>964</v>
      </c>
      <c r="C316" s="2" t="s">
        <v>970</v>
      </c>
      <c r="D316" s="2"/>
      <c r="E316" s="2">
        <v>2026</v>
      </c>
      <c r="F316" s="2" t="s">
        <v>971</v>
      </c>
      <c r="G316" s="2"/>
      <c r="H316" s="2" t="s">
        <v>972</v>
      </c>
      <c r="I316" s="2">
        <v>11</v>
      </c>
      <c r="J316" s="2" t="s">
        <v>15</v>
      </c>
      <c r="K316" s="2" t="s">
        <v>973</v>
      </c>
    </row>
    <row r="317" spans="1:11">
      <c r="A317" s="3">
        <v>330</v>
      </c>
      <c r="B317" s="3" t="s">
        <v>964</v>
      </c>
      <c r="C317" s="3" t="s">
        <v>974</v>
      </c>
      <c r="D317" s="3" t="s">
        <v>975</v>
      </c>
      <c r="E317" s="3">
        <v>2026</v>
      </c>
      <c r="F317" s="3"/>
      <c r="G317" s="3"/>
      <c r="H317" s="3"/>
      <c r="I317" s="3">
        <v>6</v>
      </c>
      <c r="J317" s="3" t="s">
        <v>98</v>
      </c>
      <c r="K317" s="3" t="s">
        <v>976</v>
      </c>
    </row>
    <row r="318" spans="1:11">
      <c r="A318" s="2">
        <v>343</v>
      </c>
      <c r="B318" s="2" t="s">
        <v>964</v>
      </c>
      <c r="C318" s="2" t="s">
        <v>977</v>
      </c>
      <c r="D318" s="2" t="s">
        <v>978</v>
      </c>
      <c r="E318" s="2">
        <v>2026</v>
      </c>
      <c r="F318" s="2"/>
      <c r="G318" s="2" t="s">
        <v>979</v>
      </c>
      <c r="H318" s="2"/>
      <c r="I318" s="2">
        <v>14</v>
      </c>
      <c r="J318" s="2" t="s">
        <v>980</v>
      </c>
      <c r="K318" s="2" t="s">
        <v>981</v>
      </c>
    </row>
    <row r="319" spans="1:11">
      <c r="A319" s="3">
        <v>331</v>
      </c>
      <c r="B319" s="3" t="s">
        <v>964</v>
      </c>
      <c r="C319" s="3" t="s">
        <v>982</v>
      </c>
      <c r="D319" s="3" t="s">
        <v>983</v>
      </c>
      <c r="E319" s="3">
        <v>2026</v>
      </c>
      <c r="F319" s="3"/>
      <c r="G319" s="3"/>
      <c r="H319" s="3" t="s">
        <v>984</v>
      </c>
      <c r="I319" s="3">
        <v>33</v>
      </c>
      <c r="J319" s="3" t="s">
        <v>453</v>
      </c>
      <c r="K319" s="3" t="s">
        <v>985</v>
      </c>
    </row>
    <row r="320" spans="1:11">
      <c r="A320" s="2">
        <v>332</v>
      </c>
      <c r="B320" s="2" t="s">
        <v>964</v>
      </c>
      <c r="C320" s="2" t="s">
        <v>986</v>
      </c>
      <c r="D320" s="2" t="s">
        <v>987</v>
      </c>
      <c r="E320" s="2">
        <v>2026</v>
      </c>
      <c r="F320" s="2"/>
      <c r="G320" s="2"/>
      <c r="H320" s="2" t="s">
        <v>988</v>
      </c>
      <c r="I320" s="2">
        <v>7</v>
      </c>
      <c r="J320" s="2" t="s">
        <v>21</v>
      </c>
      <c r="K320" s="2" t="s">
        <v>43</v>
      </c>
    </row>
    <row r="321" spans="1:11">
      <c r="A321" s="3">
        <v>333</v>
      </c>
      <c r="B321" s="3" t="s">
        <v>964</v>
      </c>
      <c r="C321" s="3" t="s">
        <v>989</v>
      </c>
      <c r="D321" s="3" t="s">
        <v>990</v>
      </c>
      <c r="E321" s="3">
        <v>2026</v>
      </c>
      <c r="F321" s="3"/>
      <c r="G321" s="3"/>
      <c r="H321" s="3"/>
      <c r="I321" s="3">
        <v>14</v>
      </c>
      <c r="J321" s="3" t="s">
        <v>84</v>
      </c>
      <c r="K321" s="3" t="s">
        <v>991</v>
      </c>
    </row>
    <row r="322" spans="1:11">
      <c r="A322" s="2">
        <v>336</v>
      </c>
      <c r="B322" s="2" t="s">
        <v>964</v>
      </c>
      <c r="C322" s="2" t="s">
        <v>992</v>
      </c>
      <c r="D322" s="2" t="s">
        <v>993</v>
      </c>
      <c r="E322" s="2">
        <v>2026</v>
      </c>
      <c r="F322" s="2" t="s">
        <v>994</v>
      </c>
      <c r="G322" s="2"/>
      <c r="H322" s="2" t="s">
        <v>995</v>
      </c>
      <c r="I322" s="2">
        <v>11</v>
      </c>
      <c r="J322" s="2" t="s">
        <v>92</v>
      </c>
      <c r="K322" s="2" t="s">
        <v>574</v>
      </c>
    </row>
    <row r="323" spans="1:11">
      <c r="A323" s="3">
        <v>338</v>
      </c>
      <c r="B323" s="3" t="s">
        <v>964</v>
      </c>
      <c r="C323" s="3" t="s">
        <v>996</v>
      </c>
      <c r="D323" s="3"/>
      <c r="E323" s="3">
        <v>2026</v>
      </c>
      <c r="F323" s="3" t="s">
        <v>997</v>
      </c>
      <c r="G323" s="3"/>
      <c r="H323" s="3" t="s">
        <v>998</v>
      </c>
      <c r="I323" s="3">
        <v>10</v>
      </c>
      <c r="J323" s="3" t="s">
        <v>84</v>
      </c>
      <c r="K323" s="3" t="s">
        <v>999</v>
      </c>
    </row>
    <row r="324" spans="1:11">
      <c r="A324" s="2">
        <v>340</v>
      </c>
      <c r="B324" s="2" t="s">
        <v>964</v>
      </c>
      <c r="C324" s="2" t="s">
        <v>1000</v>
      </c>
      <c r="D324" s="2"/>
      <c r="E324" s="2">
        <v>2026</v>
      </c>
      <c r="F324" s="2" t="s">
        <v>1001</v>
      </c>
      <c r="G324" s="2"/>
      <c r="H324" s="2" t="s">
        <v>1002</v>
      </c>
      <c r="I324" s="2">
        <v>8</v>
      </c>
      <c r="J324" s="2" t="s">
        <v>142</v>
      </c>
      <c r="K324" s="2" t="s">
        <v>973</v>
      </c>
    </row>
    <row r="325" spans="1:11">
      <c r="A325" s="3">
        <v>344</v>
      </c>
      <c r="B325" s="3" t="s">
        <v>964</v>
      </c>
      <c r="C325" s="3" t="s">
        <v>1003</v>
      </c>
      <c r="D325" s="3" t="s">
        <v>1004</v>
      </c>
      <c r="E325" s="3">
        <v>2025</v>
      </c>
      <c r="F325" s="3" t="s">
        <v>1005</v>
      </c>
      <c r="G325" s="3"/>
      <c r="H325" s="3" t="s">
        <v>1006</v>
      </c>
      <c r="I325" s="3">
        <v>36</v>
      </c>
      <c r="J325" s="3" t="s">
        <v>418</v>
      </c>
      <c r="K325" s="3" t="s">
        <v>1007</v>
      </c>
    </row>
    <row r="326" spans="1:11">
      <c r="A326" s="2">
        <v>324</v>
      </c>
      <c r="B326" s="2" t="s">
        <v>964</v>
      </c>
      <c r="C326" s="2" t="s">
        <v>1008</v>
      </c>
      <c r="D326" s="2" t="s">
        <v>1009</v>
      </c>
      <c r="E326" s="2">
        <v>2025</v>
      </c>
      <c r="F326" s="2"/>
      <c r="G326" s="2"/>
      <c r="H326" s="2" t="s">
        <v>1010</v>
      </c>
      <c r="I326" s="2">
        <v>18</v>
      </c>
      <c r="J326" s="2"/>
      <c r="K326" s="2" t="s">
        <v>1011</v>
      </c>
    </row>
    <row r="327" spans="1:11">
      <c r="A327" s="3">
        <v>322</v>
      </c>
      <c r="B327" s="3" t="s">
        <v>964</v>
      </c>
      <c r="C327" s="3" t="s">
        <v>1012</v>
      </c>
      <c r="D327" s="3" t="s">
        <v>1013</v>
      </c>
      <c r="E327" s="3">
        <v>2025</v>
      </c>
      <c r="F327" s="3"/>
      <c r="G327" s="3"/>
      <c r="H327" s="3" t="s">
        <v>1014</v>
      </c>
      <c r="I327" s="3">
        <v>29</v>
      </c>
      <c r="J327" s="3" t="s">
        <v>730</v>
      </c>
      <c r="K327" s="3" t="s">
        <v>1015</v>
      </c>
    </row>
    <row r="328" spans="1:11">
      <c r="A328" s="2">
        <v>323</v>
      </c>
      <c r="B328" s="2" t="s">
        <v>964</v>
      </c>
      <c r="C328" s="2" t="s">
        <v>1016</v>
      </c>
      <c r="D328" s="2" t="s">
        <v>1017</v>
      </c>
      <c r="E328" s="2">
        <v>2025</v>
      </c>
      <c r="F328" s="2"/>
      <c r="G328" s="2"/>
      <c r="H328" s="2"/>
      <c r="I328" s="2">
        <v>29</v>
      </c>
      <c r="J328" s="2" t="s">
        <v>1018</v>
      </c>
      <c r="K328" s="2" t="s">
        <v>1019</v>
      </c>
    </row>
    <row r="329" spans="1:11">
      <c r="A329" s="3">
        <v>325</v>
      </c>
      <c r="B329" s="3" t="s">
        <v>964</v>
      </c>
      <c r="C329" s="3" t="s">
        <v>1020</v>
      </c>
      <c r="D329" s="3" t="s">
        <v>1021</v>
      </c>
      <c r="E329" s="3">
        <v>2025</v>
      </c>
      <c r="F329" s="3"/>
      <c r="G329" s="3"/>
      <c r="H329" s="3"/>
      <c r="I329" s="3">
        <v>5</v>
      </c>
      <c r="J329" s="3" t="s">
        <v>21</v>
      </c>
      <c r="K329" s="3" t="s">
        <v>251</v>
      </c>
    </row>
    <row r="330" spans="1:11">
      <c r="A330" s="2">
        <v>326</v>
      </c>
      <c r="B330" s="2" t="s">
        <v>964</v>
      </c>
      <c r="C330" s="2" t="s">
        <v>1022</v>
      </c>
      <c r="D330" s="2" t="s">
        <v>1023</v>
      </c>
      <c r="E330" s="2">
        <v>2025</v>
      </c>
      <c r="F330" s="2"/>
      <c r="G330" s="2"/>
      <c r="H330" s="2"/>
      <c r="I330" s="2">
        <v>16</v>
      </c>
      <c r="J330" s="2" t="s">
        <v>26</v>
      </c>
      <c r="K330" s="2" t="s">
        <v>1024</v>
      </c>
    </row>
    <row r="331" spans="1:11">
      <c r="A331" s="3">
        <v>327</v>
      </c>
      <c r="B331" s="3" t="s">
        <v>964</v>
      </c>
      <c r="C331" s="3" t="s">
        <v>1025</v>
      </c>
      <c r="D331" s="3"/>
      <c r="E331" s="3">
        <v>2025</v>
      </c>
      <c r="F331" s="3"/>
      <c r="G331" s="3"/>
      <c r="H331" s="3"/>
      <c r="I331" s="3">
        <v>24</v>
      </c>
      <c r="J331" s="3" t="s">
        <v>26</v>
      </c>
      <c r="K331" s="3" t="s">
        <v>251</v>
      </c>
    </row>
    <row r="332" spans="1:11">
      <c r="A332" s="2">
        <v>328</v>
      </c>
      <c r="B332" s="2" t="s">
        <v>964</v>
      </c>
      <c r="C332" s="2" t="s">
        <v>1026</v>
      </c>
      <c r="D332" s="2"/>
      <c r="E332" s="2">
        <v>2025</v>
      </c>
      <c r="F332" s="2"/>
      <c r="G332" s="2"/>
      <c r="H332" s="2"/>
      <c r="I332" s="2">
        <v>30</v>
      </c>
      <c r="J332" s="2" t="s">
        <v>344</v>
      </c>
      <c r="K332" s="2" t="s">
        <v>1027</v>
      </c>
    </row>
    <row r="333" spans="1:11">
      <c r="A333" s="3">
        <v>316</v>
      </c>
      <c r="B333" s="3" t="s">
        <v>964</v>
      </c>
      <c r="C333" s="3" t="s">
        <v>1028</v>
      </c>
      <c r="D333" s="3" t="s">
        <v>1029</v>
      </c>
      <c r="E333" s="3">
        <v>2024</v>
      </c>
      <c r="F333" s="3"/>
      <c r="G333" s="3"/>
      <c r="H333" s="3"/>
      <c r="I333" s="3">
        <v>26</v>
      </c>
      <c r="J333" s="3" t="s">
        <v>142</v>
      </c>
      <c r="K333" s="3" t="s">
        <v>479</v>
      </c>
    </row>
    <row r="334" spans="1:11">
      <c r="A334" s="2">
        <v>317</v>
      </c>
      <c r="B334" s="2" t="s">
        <v>964</v>
      </c>
      <c r="C334" s="2" t="s">
        <v>1030</v>
      </c>
      <c r="D334" s="2"/>
      <c r="E334" s="2">
        <v>2024</v>
      </c>
      <c r="F334" s="2"/>
      <c r="G334" s="2"/>
      <c r="H334" s="2"/>
      <c r="I334" s="2">
        <v>14</v>
      </c>
      <c r="J334" s="2" t="s">
        <v>21</v>
      </c>
      <c r="K334" s="2" t="s">
        <v>1031</v>
      </c>
    </row>
    <row r="335" spans="1:11">
      <c r="A335" s="3">
        <v>318</v>
      </c>
      <c r="B335" s="3" t="s">
        <v>964</v>
      </c>
      <c r="C335" s="3" t="s">
        <v>1032</v>
      </c>
      <c r="D335" s="3"/>
      <c r="E335" s="3">
        <v>2024</v>
      </c>
      <c r="F335" s="3"/>
      <c r="G335" s="3"/>
      <c r="H335" s="3" t="s">
        <v>1033</v>
      </c>
      <c r="I335" s="3">
        <v>12</v>
      </c>
      <c r="J335" s="3" t="s">
        <v>21</v>
      </c>
      <c r="K335" s="3" t="s">
        <v>1034</v>
      </c>
    </row>
    <row r="336" spans="1:11">
      <c r="A336" s="2">
        <v>319</v>
      </c>
      <c r="B336" s="2" t="s">
        <v>964</v>
      </c>
      <c r="C336" s="2" t="s">
        <v>1035</v>
      </c>
      <c r="D336" s="2"/>
      <c r="E336" s="2">
        <v>2024</v>
      </c>
      <c r="F336" s="2"/>
      <c r="G336" s="2"/>
      <c r="H336" s="2" t="s">
        <v>1036</v>
      </c>
      <c r="I336" s="2">
        <v>25</v>
      </c>
      <c r="J336" s="2" t="s">
        <v>1037</v>
      </c>
      <c r="K336" s="2" t="s">
        <v>1038</v>
      </c>
    </row>
    <row r="337" spans="1:11">
      <c r="A337" s="3">
        <v>320</v>
      </c>
      <c r="B337" s="3" t="s">
        <v>964</v>
      </c>
      <c r="C337" s="3" t="s">
        <v>1039</v>
      </c>
      <c r="D337" s="3"/>
      <c r="E337" s="3">
        <v>2024</v>
      </c>
      <c r="F337" s="3"/>
      <c r="G337" s="3"/>
      <c r="H337" s="3" t="s">
        <v>1040</v>
      </c>
      <c r="I337" s="3">
        <v>34</v>
      </c>
      <c r="J337" s="3" t="s">
        <v>1041</v>
      </c>
      <c r="K337" s="3" t="s">
        <v>716</v>
      </c>
    </row>
    <row r="338" spans="1:11">
      <c r="A338" s="2">
        <v>337</v>
      </c>
      <c r="B338" s="2" t="s">
        <v>964</v>
      </c>
      <c r="C338" s="2" t="s">
        <v>1042</v>
      </c>
      <c r="D338" s="2"/>
      <c r="E338" s="2">
        <v>2024</v>
      </c>
      <c r="F338" s="2" t="s">
        <v>1043</v>
      </c>
      <c r="G338" s="2"/>
      <c r="H338" s="2" t="s">
        <v>1044</v>
      </c>
      <c r="I338" s="2">
        <v>24</v>
      </c>
      <c r="J338" s="2" t="s">
        <v>170</v>
      </c>
      <c r="K338" s="2" t="s">
        <v>1045</v>
      </c>
    </row>
    <row r="339" spans="1:11">
      <c r="A339" s="3">
        <v>315</v>
      </c>
      <c r="B339" s="3" t="s">
        <v>964</v>
      </c>
      <c r="C339" s="3" t="s">
        <v>1046</v>
      </c>
      <c r="D339" s="3"/>
      <c r="E339" s="3">
        <v>2024</v>
      </c>
      <c r="F339" s="3"/>
      <c r="G339" s="3"/>
      <c r="H339" s="3" t="s">
        <v>1047</v>
      </c>
      <c r="I339" s="3">
        <v>25</v>
      </c>
      <c r="J339" s="3" t="s">
        <v>142</v>
      </c>
      <c r="K339" s="3" t="s">
        <v>321</v>
      </c>
    </row>
    <row r="340" spans="1:11">
      <c r="A340" s="2">
        <v>321</v>
      </c>
      <c r="B340" s="2" t="s">
        <v>964</v>
      </c>
      <c r="C340" s="2" t="s">
        <v>1048</v>
      </c>
      <c r="D340" s="2"/>
      <c r="E340" s="2">
        <v>2024</v>
      </c>
      <c r="F340" s="2"/>
      <c r="G340" s="2"/>
      <c r="H340" s="2"/>
      <c r="I340" s="2">
        <v>7</v>
      </c>
      <c r="J340" s="2" t="s">
        <v>84</v>
      </c>
      <c r="K340" s="2" t="s">
        <v>1049</v>
      </c>
    </row>
    <row r="341" spans="1:11">
      <c r="A341" s="3">
        <v>314</v>
      </c>
      <c r="B341" s="3" t="s">
        <v>964</v>
      </c>
      <c r="C341" s="3" t="s">
        <v>1050</v>
      </c>
      <c r="D341" s="3"/>
      <c r="E341" s="3">
        <v>2020</v>
      </c>
      <c r="F341" s="3"/>
      <c r="G341" s="3"/>
      <c r="H341" s="3" t="s">
        <v>1051</v>
      </c>
      <c r="I341" s="3">
        <v>18</v>
      </c>
      <c r="J341" s="3" t="s">
        <v>98</v>
      </c>
      <c r="K341" s="3" t="s">
        <v>1015</v>
      </c>
    </row>
    <row r="342" spans="1:11">
      <c r="A342" s="2">
        <v>341</v>
      </c>
      <c r="B342" s="2" t="s">
        <v>964</v>
      </c>
      <c r="C342" s="2" t="s">
        <v>1052</v>
      </c>
      <c r="D342" s="2" t="s">
        <v>1053</v>
      </c>
      <c r="E342" s="2"/>
      <c r="F342" s="2" t="s">
        <v>1054</v>
      </c>
      <c r="G342" s="2"/>
      <c r="H342" s="2"/>
      <c r="I342" s="2">
        <v>13</v>
      </c>
      <c r="J342" s="2" t="s">
        <v>84</v>
      </c>
      <c r="K342" s="2" t="s">
        <v>1055</v>
      </c>
    </row>
    <row r="343" spans="1:11">
      <c r="A343" s="3">
        <v>342</v>
      </c>
      <c r="B343" s="3" t="s">
        <v>964</v>
      </c>
      <c r="C343" s="3" t="s">
        <v>854</v>
      </c>
      <c r="D343" s="3" t="s">
        <v>855</v>
      </c>
      <c r="E343" s="3"/>
      <c r="F343" s="3" t="s">
        <v>1056</v>
      </c>
      <c r="G343" s="3"/>
      <c r="H343" s="3"/>
      <c r="I343" s="3">
        <v>36</v>
      </c>
      <c r="J343" s="3" t="s">
        <v>901</v>
      </c>
      <c r="K343" s="3" t="s">
        <v>449</v>
      </c>
    </row>
    <row r="344" spans="1:11">
      <c r="A344" s="2">
        <v>335</v>
      </c>
      <c r="B344" s="2" t="s">
        <v>964</v>
      </c>
      <c r="C344" s="2" t="s">
        <v>1057</v>
      </c>
      <c r="D344" s="2"/>
      <c r="E344" s="2"/>
      <c r="F344" s="2"/>
      <c r="G344" s="2"/>
      <c r="H344" s="2"/>
      <c r="I344" s="2">
        <v>32</v>
      </c>
      <c r="J344" s="2" t="s">
        <v>21</v>
      </c>
      <c r="K344" s="2" t="s">
        <v>449</v>
      </c>
    </row>
    <row r="345" spans="1:11">
      <c r="A345" s="3">
        <v>339</v>
      </c>
      <c r="B345" s="3" t="s">
        <v>964</v>
      </c>
      <c r="C345" s="3" t="s">
        <v>1058</v>
      </c>
      <c r="D345" s="3"/>
      <c r="E345" s="3"/>
      <c r="F345" s="3"/>
      <c r="G345" s="3"/>
      <c r="H345" s="3"/>
      <c r="I345" s="3">
        <v>4</v>
      </c>
      <c r="J345" s="3" t="s">
        <v>21</v>
      </c>
      <c r="K345" s="3" t="s">
        <v>985</v>
      </c>
    </row>
    <row r="346" spans="1:11">
      <c r="A346" s="2">
        <v>387</v>
      </c>
      <c r="B346" s="2" t="s">
        <v>1059</v>
      </c>
      <c r="C346" s="2" t="s">
        <v>1060</v>
      </c>
      <c r="D346" s="2"/>
      <c r="E346" s="2">
        <v>2025</v>
      </c>
      <c r="F346" s="2"/>
      <c r="G346" s="2"/>
      <c r="H346" s="2"/>
      <c r="I346" s="2">
        <v>1</v>
      </c>
      <c r="J346" s="2"/>
      <c r="K346" s="2"/>
    </row>
    <row r="347" spans="1:11">
      <c r="A347" s="3">
        <v>360</v>
      </c>
      <c r="B347" s="3" t="s">
        <v>1059</v>
      </c>
      <c r="C347" s="3" t="s">
        <v>1061</v>
      </c>
      <c r="D347" s="3"/>
      <c r="E347" s="3">
        <v>2025</v>
      </c>
      <c r="F347" s="3"/>
      <c r="G347" s="3"/>
      <c r="H347" s="3"/>
      <c r="I347" s="3">
        <v>1</v>
      </c>
      <c r="J347" s="3"/>
      <c r="K347" s="3"/>
    </row>
    <row r="348" spans="1:11">
      <c r="A348" s="2">
        <v>370</v>
      </c>
      <c r="B348" s="2" t="s">
        <v>1059</v>
      </c>
      <c r="C348" s="2" t="s">
        <v>1062</v>
      </c>
      <c r="D348" s="2"/>
      <c r="E348" s="2">
        <v>2025</v>
      </c>
      <c r="F348" s="2"/>
      <c r="G348" s="2"/>
      <c r="H348" s="2"/>
      <c r="I348" s="2">
        <v>1</v>
      </c>
      <c r="J348" s="2"/>
      <c r="K348" s="2"/>
    </row>
    <row r="349" spans="1:11">
      <c r="A349" s="3">
        <v>372</v>
      </c>
      <c r="B349" s="3" t="s">
        <v>1059</v>
      </c>
      <c r="C349" s="3" t="s">
        <v>1063</v>
      </c>
      <c r="D349" s="3"/>
      <c r="E349" s="3">
        <v>2025</v>
      </c>
      <c r="F349" s="3"/>
      <c r="G349" s="3"/>
      <c r="H349" s="3"/>
      <c r="I349" s="3">
        <v>1</v>
      </c>
      <c r="J349" s="3"/>
      <c r="K349" s="3"/>
    </row>
    <row r="350" spans="1:11">
      <c r="A350" s="2">
        <v>399</v>
      </c>
      <c r="B350" s="2" t="s">
        <v>1059</v>
      </c>
      <c r="C350" s="2" t="s">
        <v>1064</v>
      </c>
      <c r="D350" s="2"/>
      <c r="E350" s="2">
        <v>2000</v>
      </c>
      <c r="F350" s="2"/>
      <c r="G350" s="2"/>
      <c r="H350" s="2"/>
      <c r="I350" s="2">
        <v>1</v>
      </c>
      <c r="J350" s="2"/>
      <c r="K350" s="2"/>
    </row>
    <row r="351" spans="1:11">
      <c r="A351" s="3">
        <v>401</v>
      </c>
      <c r="B351" s="3" t="s">
        <v>1059</v>
      </c>
      <c r="C351" s="3" t="s">
        <v>1065</v>
      </c>
      <c r="D351" s="3"/>
      <c r="E351" s="3">
        <v>2000</v>
      </c>
      <c r="F351" s="3"/>
      <c r="G351" s="3"/>
      <c r="H351" s="3"/>
      <c r="I351" s="3">
        <v>1</v>
      </c>
      <c r="J351" s="3"/>
      <c r="K351" s="3"/>
    </row>
    <row r="352" spans="1:11">
      <c r="A352" s="2">
        <v>400</v>
      </c>
      <c r="B352" s="2" t="s">
        <v>1059</v>
      </c>
      <c r="C352" s="2" t="s">
        <v>1066</v>
      </c>
      <c r="D352" s="2"/>
      <c r="E352" s="2">
        <v>2000</v>
      </c>
      <c r="F352" s="2"/>
      <c r="G352" s="2"/>
      <c r="H352" s="2"/>
      <c r="I352" s="2">
        <v>1</v>
      </c>
      <c r="J352" s="2"/>
      <c r="K352" s="2"/>
    </row>
    <row r="353" spans="1:11">
      <c r="A353" s="3">
        <v>397</v>
      </c>
      <c r="B353" s="3" t="s">
        <v>1059</v>
      </c>
      <c r="C353" s="3" t="s">
        <v>1067</v>
      </c>
      <c r="D353" s="3"/>
      <c r="E353" s="3"/>
      <c r="F353" s="3"/>
      <c r="G353" s="3"/>
      <c r="H353" s="3"/>
      <c r="I353" s="3">
        <v>1</v>
      </c>
      <c r="J353" s="3"/>
      <c r="K353" s="3"/>
    </row>
    <row r="354" spans="1:11">
      <c r="A354" s="2">
        <v>392</v>
      </c>
      <c r="B354" s="2" t="s">
        <v>1059</v>
      </c>
      <c r="C354" s="2" t="s">
        <v>1068</v>
      </c>
      <c r="D354" s="2"/>
      <c r="E354" s="2"/>
      <c r="F354" s="2"/>
      <c r="G354" s="2"/>
      <c r="H354" s="2"/>
      <c r="I354" s="2">
        <v>1</v>
      </c>
      <c r="J354" s="2"/>
      <c r="K354" s="2"/>
    </row>
    <row r="355" spans="1:11">
      <c r="A355" s="3">
        <v>396</v>
      </c>
      <c r="B355" s="3" t="s">
        <v>1059</v>
      </c>
      <c r="C355" s="3" t="s">
        <v>1068</v>
      </c>
      <c r="D355" s="3"/>
      <c r="E355" s="3"/>
      <c r="F355" s="3"/>
      <c r="G355" s="3"/>
      <c r="H355" s="3"/>
      <c r="I355" s="3">
        <v>1</v>
      </c>
      <c r="J355" s="3"/>
      <c r="K355" s="3"/>
    </row>
    <row r="356" spans="1:11">
      <c r="A356" s="2">
        <v>347</v>
      </c>
      <c r="B356" s="2" t="s">
        <v>1059</v>
      </c>
      <c r="C356" s="2" t="s">
        <v>1069</v>
      </c>
      <c r="D356" s="2"/>
      <c r="E356" s="2"/>
      <c r="F356" s="2"/>
      <c r="G356" s="2"/>
      <c r="H356" s="2"/>
      <c r="I356" s="2">
        <v>1</v>
      </c>
      <c r="J356" s="2"/>
      <c r="K356" s="2"/>
    </row>
    <row r="357" spans="1:11">
      <c r="A357" s="3">
        <v>381</v>
      </c>
      <c r="B357" s="3" t="s">
        <v>1059</v>
      </c>
      <c r="C357" s="3" t="s">
        <v>1070</v>
      </c>
      <c r="D357" s="3"/>
      <c r="E357" s="3"/>
      <c r="F357" s="3"/>
      <c r="G357" s="3"/>
      <c r="H357" s="3"/>
      <c r="I357" s="3">
        <v>1</v>
      </c>
      <c r="J357" s="3"/>
      <c r="K357" s="3"/>
    </row>
    <row r="358" spans="1:11">
      <c r="A358" s="2">
        <v>359</v>
      </c>
      <c r="B358" s="2" t="s">
        <v>1059</v>
      </c>
      <c r="C358" s="2" t="s">
        <v>1071</v>
      </c>
      <c r="D358" s="2"/>
      <c r="E358" s="2"/>
      <c r="F358" s="2"/>
      <c r="G358" s="2"/>
      <c r="H358" s="2"/>
      <c r="I358" s="2">
        <v>1</v>
      </c>
      <c r="J358" s="2"/>
      <c r="K358" s="2"/>
    </row>
    <row r="359" spans="1:11">
      <c r="A359" s="3">
        <v>382</v>
      </c>
      <c r="B359" s="3" t="s">
        <v>1059</v>
      </c>
      <c r="C359" s="3" t="s">
        <v>1072</v>
      </c>
      <c r="D359" s="3"/>
      <c r="E359" s="3"/>
      <c r="F359" s="3"/>
      <c r="G359" s="3"/>
      <c r="H359" s="3"/>
      <c r="I359" s="3">
        <v>1</v>
      </c>
      <c r="J359" s="3"/>
      <c r="K359" s="3"/>
    </row>
    <row r="360" spans="1:11">
      <c r="A360" s="2">
        <v>383</v>
      </c>
      <c r="B360" s="2" t="s">
        <v>1059</v>
      </c>
      <c r="C360" s="2" t="s">
        <v>1072</v>
      </c>
      <c r="D360" s="2"/>
      <c r="E360" s="2"/>
      <c r="F360" s="2"/>
      <c r="G360" s="2"/>
      <c r="H360" s="2"/>
      <c r="I360" s="2">
        <v>1</v>
      </c>
      <c r="J360" s="2"/>
      <c r="K360" s="2"/>
    </row>
    <row r="361" spans="1:11">
      <c r="A361" s="3">
        <v>384</v>
      </c>
      <c r="B361" s="3" t="s">
        <v>1059</v>
      </c>
      <c r="C361" s="3" t="s">
        <v>1072</v>
      </c>
      <c r="D361" s="3"/>
      <c r="E361" s="3"/>
      <c r="F361" s="3"/>
      <c r="G361" s="3"/>
      <c r="H361" s="3"/>
      <c r="I361" s="3">
        <v>1</v>
      </c>
      <c r="J361" s="3"/>
      <c r="K361" s="3"/>
    </row>
    <row r="362" spans="1:11">
      <c r="A362" s="2">
        <v>385</v>
      </c>
      <c r="B362" s="2" t="s">
        <v>1059</v>
      </c>
      <c r="C362" s="2" t="s">
        <v>1072</v>
      </c>
      <c r="D362" s="2"/>
      <c r="E362" s="2"/>
      <c r="F362" s="2"/>
      <c r="G362" s="2"/>
      <c r="H362" s="2"/>
      <c r="I362" s="2">
        <v>1</v>
      </c>
      <c r="J362" s="2"/>
      <c r="K362" s="2"/>
    </row>
    <row r="363" spans="1:11">
      <c r="A363" s="3">
        <v>386</v>
      </c>
      <c r="B363" s="3" t="s">
        <v>1059</v>
      </c>
      <c r="C363" s="3" t="s">
        <v>1072</v>
      </c>
      <c r="D363" s="3"/>
      <c r="E363" s="3"/>
      <c r="F363" s="3"/>
      <c r="G363" s="3"/>
      <c r="H363" s="3"/>
      <c r="I363" s="3">
        <v>1</v>
      </c>
      <c r="J363" s="3"/>
      <c r="K363" s="3"/>
    </row>
    <row r="364" spans="1:11">
      <c r="A364" s="2">
        <v>355</v>
      </c>
      <c r="B364" s="2" t="s">
        <v>1059</v>
      </c>
      <c r="C364" s="2" t="s">
        <v>1073</v>
      </c>
      <c r="D364" s="2"/>
      <c r="E364" s="2"/>
      <c r="F364" s="2"/>
      <c r="G364" s="2"/>
      <c r="H364" s="2"/>
      <c r="I364" s="2">
        <v>1</v>
      </c>
      <c r="J364" s="2"/>
      <c r="K364" s="2"/>
    </row>
    <row r="365" spans="1:11">
      <c r="A365" s="3">
        <v>358</v>
      </c>
      <c r="B365" s="3" t="s">
        <v>1059</v>
      </c>
      <c r="C365" s="3" t="s">
        <v>1074</v>
      </c>
      <c r="D365" s="3"/>
      <c r="E365" s="3"/>
      <c r="F365" s="3"/>
      <c r="G365" s="3"/>
      <c r="H365" s="3"/>
      <c r="I365" s="3">
        <v>1</v>
      </c>
      <c r="J365" s="3"/>
      <c r="K365" s="3"/>
    </row>
    <row r="366" spans="1:11">
      <c r="A366" s="2">
        <v>345</v>
      </c>
      <c r="B366" s="2" t="s">
        <v>1059</v>
      </c>
      <c r="C366" s="2" t="s">
        <v>1075</v>
      </c>
      <c r="D366" s="2"/>
      <c r="E366" s="2"/>
      <c r="F366" s="2"/>
      <c r="G366" s="2"/>
      <c r="H366" s="2"/>
      <c r="I366" s="2">
        <v>1</v>
      </c>
      <c r="J366" s="2"/>
      <c r="K366" s="2"/>
    </row>
    <row r="367" spans="1:11">
      <c r="A367" s="3">
        <v>346</v>
      </c>
      <c r="B367" s="3" t="s">
        <v>1059</v>
      </c>
      <c r="C367" s="3" t="s">
        <v>1076</v>
      </c>
      <c r="D367" s="3"/>
      <c r="E367" s="3"/>
      <c r="F367" s="3"/>
      <c r="G367" s="3"/>
      <c r="H367" s="3"/>
      <c r="I367" s="3">
        <v>1</v>
      </c>
      <c r="J367" s="3"/>
      <c r="K367" s="3"/>
    </row>
    <row r="368" spans="1:11">
      <c r="A368" s="2">
        <v>348</v>
      </c>
      <c r="B368" s="2" t="s">
        <v>1059</v>
      </c>
      <c r="C368" s="2" t="s">
        <v>1077</v>
      </c>
      <c r="D368" s="2"/>
      <c r="E368" s="2"/>
      <c r="F368" s="2"/>
      <c r="G368" s="2"/>
      <c r="H368" s="2"/>
      <c r="I368" s="2">
        <v>1</v>
      </c>
      <c r="J368" s="2"/>
      <c r="K368" s="2"/>
    </row>
    <row r="369" spans="1:11">
      <c r="A369" s="3">
        <v>350</v>
      </c>
      <c r="B369" s="3" t="s">
        <v>1059</v>
      </c>
      <c r="C369" s="3" t="s">
        <v>1078</v>
      </c>
      <c r="D369" s="3"/>
      <c r="E369" s="3"/>
      <c r="F369" s="3"/>
      <c r="G369" s="3"/>
      <c r="H369" s="3"/>
      <c r="I369" s="3">
        <v>1</v>
      </c>
      <c r="J369" s="3"/>
      <c r="K369" s="3"/>
    </row>
    <row r="370" spans="1:11">
      <c r="A370" s="2">
        <v>351</v>
      </c>
      <c r="B370" s="2" t="s">
        <v>1059</v>
      </c>
      <c r="C370" s="2" t="s">
        <v>1079</v>
      </c>
      <c r="D370" s="2"/>
      <c r="E370" s="2"/>
      <c r="F370" s="2"/>
      <c r="G370" s="2"/>
      <c r="H370" s="2"/>
      <c r="I370" s="2">
        <v>1</v>
      </c>
      <c r="J370" s="2"/>
      <c r="K370" s="2"/>
    </row>
    <row r="371" spans="1:11">
      <c r="A371" s="3">
        <v>352</v>
      </c>
      <c r="B371" s="3" t="s">
        <v>1059</v>
      </c>
      <c r="C371" s="3" t="s">
        <v>1080</v>
      </c>
      <c r="D371" s="3"/>
      <c r="E371" s="3"/>
      <c r="F371" s="3"/>
      <c r="G371" s="3"/>
      <c r="H371" s="3"/>
      <c r="I371" s="3">
        <v>1</v>
      </c>
      <c r="J371" s="3"/>
      <c r="K371" s="3"/>
    </row>
    <row r="372" spans="1:11">
      <c r="A372" s="2">
        <v>353</v>
      </c>
      <c r="B372" s="2" t="s">
        <v>1059</v>
      </c>
      <c r="C372" s="2" t="s">
        <v>1081</v>
      </c>
      <c r="D372" s="2"/>
      <c r="E372" s="2"/>
      <c r="F372" s="2"/>
      <c r="G372" s="2"/>
      <c r="H372" s="2"/>
      <c r="I372" s="2">
        <v>1</v>
      </c>
      <c r="J372" s="2"/>
      <c r="K372" s="2"/>
    </row>
    <row r="373" spans="1:11">
      <c r="A373" s="3">
        <v>357</v>
      </c>
      <c r="B373" s="3" t="s">
        <v>1059</v>
      </c>
      <c r="C373" s="3" t="s">
        <v>1082</v>
      </c>
      <c r="D373" s="3"/>
      <c r="E373" s="3"/>
      <c r="F373" s="3"/>
      <c r="G373" s="3"/>
      <c r="H373" s="3"/>
      <c r="I373" s="3">
        <v>1</v>
      </c>
      <c r="J373" s="3"/>
      <c r="K373" s="3"/>
    </row>
    <row r="374" spans="1:11">
      <c r="A374" s="2">
        <v>367</v>
      </c>
      <c r="B374" s="2" t="s">
        <v>1059</v>
      </c>
      <c r="C374" s="2" t="s">
        <v>1083</v>
      </c>
      <c r="D374" s="2"/>
      <c r="E374" s="2"/>
      <c r="F374" s="2"/>
      <c r="G374" s="2"/>
      <c r="H374" s="2"/>
      <c r="I374" s="2">
        <v>1</v>
      </c>
      <c r="J374" s="2"/>
      <c r="K374" s="2"/>
    </row>
    <row r="375" spans="1:11">
      <c r="A375" s="3">
        <v>349</v>
      </c>
      <c r="B375" s="3" t="s">
        <v>1059</v>
      </c>
      <c r="C375" s="3" t="s">
        <v>1084</v>
      </c>
      <c r="D375" s="3"/>
      <c r="E375" s="3"/>
      <c r="F375" s="3"/>
      <c r="G375" s="3"/>
      <c r="H375" s="3"/>
      <c r="I375" s="3">
        <v>1</v>
      </c>
      <c r="J375" s="3"/>
      <c r="K375" s="3"/>
    </row>
    <row r="376" spans="1:11">
      <c r="A376" s="2">
        <v>354</v>
      </c>
      <c r="B376" s="2" t="s">
        <v>1059</v>
      </c>
      <c r="C376" s="2" t="s">
        <v>1085</v>
      </c>
      <c r="D376" s="2"/>
      <c r="E376" s="2"/>
      <c r="F376" s="2"/>
      <c r="G376" s="2"/>
      <c r="H376" s="2"/>
      <c r="I376" s="2">
        <v>1</v>
      </c>
      <c r="J376" s="2"/>
      <c r="K376" s="2"/>
    </row>
    <row r="377" spans="1:11">
      <c r="A377" s="3">
        <v>371</v>
      </c>
      <c r="B377" s="3" t="s">
        <v>1059</v>
      </c>
      <c r="C377" s="3" t="s">
        <v>1086</v>
      </c>
      <c r="D377" s="3"/>
      <c r="E377" s="3"/>
      <c r="F377" s="3"/>
      <c r="G377" s="3"/>
      <c r="H377" s="3"/>
      <c r="I377" s="3">
        <v>1</v>
      </c>
      <c r="J377" s="3"/>
      <c r="K377" s="3"/>
    </row>
    <row r="378" spans="1:11">
      <c r="A378" s="2">
        <v>366</v>
      </c>
      <c r="B378" s="2" t="s">
        <v>1059</v>
      </c>
      <c r="C378" s="2" t="s">
        <v>1087</v>
      </c>
      <c r="D378" s="2"/>
      <c r="E378" s="2"/>
      <c r="F378" s="2"/>
      <c r="G378" s="2"/>
      <c r="H378" s="2"/>
      <c r="I378" s="2">
        <v>1</v>
      </c>
      <c r="J378" s="2"/>
      <c r="K378" s="2"/>
    </row>
    <row r="379" spans="1:11">
      <c r="A379" s="3">
        <v>395</v>
      </c>
      <c r="B379" s="3" t="s">
        <v>1059</v>
      </c>
      <c r="C379" s="3" t="s">
        <v>1087</v>
      </c>
      <c r="D379" s="3"/>
      <c r="E379" s="3"/>
      <c r="F379" s="3"/>
      <c r="G379" s="3"/>
      <c r="H379" s="3"/>
      <c r="I379" s="3">
        <v>1</v>
      </c>
      <c r="J379" s="3"/>
      <c r="K379" s="3"/>
    </row>
    <row r="380" spans="1:11">
      <c r="A380" s="2">
        <v>373</v>
      </c>
      <c r="B380" s="2" t="s">
        <v>1059</v>
      </c>
      <c r="C380" s="2" t="s">
        <v>1088</v>
      </c>
      <c r="D380" s="2"/>
      <c r="E380" s="2"/>
      <c r="F380" s="2"/>
      <c r="G380" s="2"/>
      <c r="H380" s="2"/>
      <c r="I380" s="2">
        <v>1</v>
      </c>
      <c r="J380" s="2"/>
      <c r="K380" s="2"/>
    </row>
    <row r="381" spans="1:11">
      <c r="A381" s="3">
        <v>374</v>
      </c>
      <c r="B381" s="3" t="s">
        <v>1059</v>
      </c>
      <c r="C381" s="3" t="s">
        <v>1089</v>
      </c>
      <c r="D381" s="3"/>
      <c r="E381" s="3"/>
      <c r="F381" s="3"/>
      <c r="G381" s="3"/>
      <c r="H381" s="3"/>
      <c r="I381" s="3"/>
      <c r="J381" s="3"/>
      <c r="K381" s="3"/>
    </row>
    <row r="382" spans="1:11">
      <c r="A382" s="2">
        <v>375</v>
      </c>
      <c r="B382" s="2" t="s">
        <v>1059</v>
      </c>
      <c r="C382" s="2" t="s">
        <v>1090</v>
      </c>
      <c r="D382" s="2"/>
      <c r="E382" s="2"/>
      <c r="F382" s="2"/>
      <c r="G382" s="2"/>
      <c r="H382" s="2"/>
      <c r="I382" s="2"/>
      <c r="J382" s="2"/>
      <c r="K382" s="2"/>
    </row>
    <row r="383" spans="1:11">
      <c r="A383" s="3">
        <v>376</v>
      </c>
      <c r="B383" s="3" t="s">
        <v>1059</v>
      </c>
      <c r="C383" s="3" t="s">
        <v>1091</v>
      </c>
      <c r="D383" s="3"/>
      <c r="E383" s="3"/>
      <c r="F383" s="3"/>
      <c r="G383" s="3"/>
      <c r="H383" s="3"/>
      <c r="I383" s="3"/>
      <c r="J383" s="3"/>
      <c r="K383" s="3"/>
    </row>
    <row r="384" spans="1:11">
      <c r="A384" s="2">
        <v>377</v>
      </c>
      <c r="B384" s="2" t="s">
        <v>1059</v>
      </c>
      <c r="C384" s="2" t="s">
        <v>1092</v>
      </c>
      <c r="D384" s="2"/>
      <c r="E384" s="2"/>
      <c r="F384" s="2"/>
      <c r="G384" s="2"/>
      <c r="H384" s="2"/>
      <c r="I384" s="2">
        <v>1</v>
      </c>
      <c r="J384" s="2"/>
      <c r="K384" s="2"/>
    </row>
    <row r="385" spans="1:11">
      <c r="A385" s="3">
        <v>378</v>
      </c>
      <c r="B385" s="3" t="s">
        <v>1059</v>
      </c>
      <c r="C385" s="3" t="s">
        <v>1093</v>
      </c>
      <c r="D385" s="3"/>
      <c r="E385" s="3"/>
      <c r="F385" s="3"/>
      <c r="G385" s="3"/>
      <c r="H385" s="3"/>
      <c r="I385" s="3">
        <v>1</v>
      </c>
      <c r="J385" s="3"/>
      <c r="K385" s="3"/>
    </row>
    <row r="386" spans="1:11">
      <c r="A386" s="2">
        <v>379</v>
      </c>
      <c r="B386" s="2" t="s">
        <v>1059</v>
      </c>
      <c r="C386" s="2" t="s">
        <v>1094</v>
      </c>
      <c r="D386" s="2"/>
      <c r="E386" s="2"/>
      <c r="F386" s="2"/>
      <c r="G386" s="2"/>
      <c r="H386" s="2"/>
      <c r="I386" s="2">
        <v>1</v>
      </c>
      <c r="J386" s="2"/>
      <c r="K386" s="2"/>
    </row>
    <row r="387" spans="1:11">
      <c r="A387" s="3">
        <v>380</v>
      </c>
      <c r="B387" s="3" t="s">
        <v>1059</v>
      </c>
      <c r="C387" s="3" t="s">
        <v>1095</v>
      </c>
      <c r="D387" s="3"/>
      <c r="E387" s="3"/>
      <c r="F387" s="3"/>
      <c r="G387" s="3"/>
      <c r="H387" s="3"/>
      <c r="I387" s="3">
        <v>1</v>
      </c>
      <c r="J387" s="3"/>
      <c r="K387" s="3"/>
    </row>
    <row r="388" spans="1:11">
      <c r="A388" s="2">
        <v>388</v>
      </c>
      <c r="B388" s="2" t="s">
        <v>1059</v>
      </c>
      <c r="C388" s="2" t="s">
        <v>1096</v>
      </c>
      <c r="D388" s="2"/>
      <c r="E388" s="2"/>
      <c r="F388" s="2"/>
      <c r="G388" s="2"/>
      <c r="H388" s="2"/>
      <c r="I388" s="2">
        <v>1</v>
      </c>
      <c r="J388" s="2"/>
      <c r="K388" s="2"/>
    </row>
    <row r="389" spans="1:11">
      <c r="A389" s="3">
        <v>389</v>
      </c>
      <c r="B389" s="3" t="s">
        <v>1059</v>
      </c>
      <c r="C389" s="3" t="s">
        <v>1097</v>
      </c>
      <c r="D389" s="3"/>
      <c r="E389" s="3"/>
      <c r="F389" s="3"/>
      <c r="G389" s="3"/>
      <c r="H389" s="3"/>
      <c r="I389" s="3">
        <v>1</v>
      </c>
      <c r="J389" s="3"/>
      <c r="K389" s="3"/>
    </row>
    <row r="390" spans="1:11">
      <c r="A390" s="2">
        <v>368</v>
      </c>
      <c r="B390" s="2" t="s">
        <v>1059</v>
      </c>
      <c r="C390" s="2" t="s">
        <v>1098</v>
      </c>
      <c r="D390" s="2"/>
      <c r="E390" s="2"/>
      <c r="F390" s="2"/>
      <c r="G390" s="2"/>
      <c r="H390" s="2"/>
      <c r="I390" s="2">
        <v>1</v>
      </c>
      <c r="J390" s="2"/>
      <c r="K390" s="2"/>
    </row>
    <row r="391" spans="1:11">
      <c r="A391" s="3">
        <v>356</v>
      </c>
      <c r="B391" s="3" t="s">
        <v>1059</v>
      </c>
      <c r="C391" s="3" t="s">
        <v>1099</v>
      </c>
      <c r="D391" s="3"/>
      <c r="E391" s="3"/>
      <c r="F391" s="3"/>
      <c r="G391" s="3"/>
      <c r="H391" s="3"/>
      <c r="I391" s="3">
        <v>1</v>
      </c>
      <c r="J391" s="3"/>
      <c r="K391" s="3"/>
    </row>
    <row r="392" spans="1:11">
      <c r="A392" s="2">
        <v>369</v>
      </c>
      <c r="B392" s="2" t="s">
        <v>1059</v>
      </c>
      <c r="C392" s="2" t="s">
        <v>1100</v>
      </c>
      <c r="D392" s="2"/>
      <c r="E392" s="2"/>
      <c r="F392" s="2"/>
      <c r="G392" s="2"/>
      <c r="H392" s="2"/>
      <c r="I392" s="2">
        <v>1</v>
      </c>
      <c r="J392" s="2"/>
      <c r="K392" s="2"/>
    </row>
    <row r="393" spans="1:11">
      <c r="A393" s="3">
        <v>393</v>
      </c>
      <c r="B393" s="3" t="s">
        <v>1059</v>
      </c>
      <c r="C393" s="3" t="s">
        <v>1101</v>
      </c>
      <c r="D393" s="3"/>
      <c r="E393" s="3"/>
      <c r="F393" s="3"/>
      <c r="G393" s="3"/>
      <c r="H393" s="3"/>
      <c r="I393" s="3">
        <v>1</v>
      </c>
      <c r="J393" s="3" t="s">
        <v>726</v>
      </c>
      <c r="K393" s="3"/>
    </row>
    <row r="394" spans="1:11">
      <c r="A394" s="2">
        <v>394</v>
      </c>
      <c r="B394" s="2" t="s">
        <v>1059</v>
      </c>
      <c r="C394" s="2" t="s">
        <v>1101</v>
      </c>
      <c r="D394" s="2"/>
      <c r="E394" s="2"/>
      <c r="F394" s="2"/>
      <c r="G394" s="2"/>
      <c r="H394" s="2"/>
      <c r="I394" s="2">
        <v>1</v>
      </c>
      <c r="J394" s="2"/>
      <c r="K394" s="2"/>
    </row>
    <row r="395" spans="1:11">
      <c r="A395" s="3">
        <v>362</v>
      </c>
      <c r="B395" s="3" t="s">
        <v>1059</v>
      </c>
      <c r="C395" s="3" t="s">
        <v>1102</v>
      </c>
      <c r="D395" s="3"/>
      <c r="E395" s="3"/>
      <c r="F395" s="3"/>
      <c r="G395" s="3"/>
      <c r="H395" s="3"/>
      <c r="I395" s="3">
        <v>1</v>
      </c>
      <c r="J395" s="3"/>
      <c r="K395" s="3"/>
    </row>
    <row r="396" spans="1:11">
      <c r="A396" s="2">
        <v>390</v>
      </c>
      <c r="B396" s="2" t="s">
        <v>1059</v>
      </c>
      <c r="C396" s="2" t="s">
        <v>1103</v>
      </c>
      <c r="D396" s="2"/>
      <c r="E396" s="2"/>
      <c r="F396" s="2"/>
      <c r="G396" s="2"/>
      <c r="H396" s="2"/>
      <c r="I396" s="2">
        <v>1</v>
      </c>
      <c r="J396" s="2"/>
      <c r="K396" s="2"/>
    </row>
    <row r="397" spans="1:11">
      <c r="A397" s="3">
        <v>391</v>
      </c>
      <c r="B397" s="3" t="s">
        <v>1059</v>
      </c>
      <c r="C397" s="3" t="s">
        <v>1104</v>
      </c>
      <c r="D397" s="3"/>
      <c r="E397" s="3"/>
      <c r="F397" s="3"/>
      <c r="G397" s="3"/>
      <c r="H397" s="3"/>
      <c r="I397" s="3">
        <v>1</v>
      </c>
      <c r="J397" s="3"/>
      <c r="K397" s="3"/>
    </row>
    <row r="398" spans="1:11">
      <c r="A398" s="2">
        <v>364</v>
      </c>
      <c r="B398" s="2" t="s">
        <v>1059</v>
      </c>
      <c r="C398" s="2" t="s">
        <v>1105</v>
      </c>
      <c r="D398" s="2"/>
      <c r="E398" s="2"/>
      <c r="F398" s="2"/>
      <c r="G398" s="2"/>
      <c r="H398" s="2"/>
      <c r="I398" s="2">
        <v>1</v>
      </c>
      <c r="J398" s="2"/>
      <c r="K398" s="2"/>
    </row>
    <row r="399" spans="1:11">
      <c r="A399" s="3">
        <v>365</v>
      </c>
      <c r="B399" s="3" t="s">
        <v>1059</v>
      </c>
      <c r="C399" s="3" t="s">
        <v>1105</v>
      </c>
      <c r="D399" s="3"/>
      <c r="E399" s="3"/>
      <c r="F399" s="3"/>
      <c r="G399" s="3"/>
      <c r="H399" s="3"/>
      <c r="I399" s="3">
        <v>1</v>
      </c>
      <c r="J399" s="3"/>
      <c r="K399" s="3"/>
    </row>
    <row r="400" spans="1:11">
      <c r="A400" s="2">
        <v>361</v>
      </c>
      <c r="B400" s="2" t="s">
        <v>1059</v>
      </c>
      <c r="C400" s="2" t="s">
        <v>1106</v>
      </c>
      <c r="D400" s="2"/>
      <c r="E400" s="2"/>
      <c r="F400" s="2"/>
      <c r="G400" s="2"/>
      <c r="H400" s="2"/>
      <c r="I400" s="2">
        <v>1</v>
      </c>
      <c r="J400" s="2"/>
      <c r="K400" s="2"/>
    </row>
    <row r="401" spans="1:11">
      <c r="A401" s="3">
        <v>363</v>
      </c>
      <c r="B401" s="3" t="s">
        <v>1059</v>
      </c>
      <c r="C401" s="3" t="s">
        <v>1107</v>
      </c>
      <c r="D401" s="3"/>
      <c r="E401" s="3"/>
      <c r="F401" s="3"/>
      <c r="G401" s="3"/>
      <c r="H401" s="3"/>
      <c r="I401" s="3">
        <v>1</v>
      </c>
      <c r="J401" s="3"/>
      <c r="K401" s="3"/>
    </row>
    <row r="402" spans="1:11">
      <c r="A402" s="2">
        <v>398</v>
      </c>
      <c r="B402" s="2" t="s">
        <v>1059</v>
      </c>
      <c r="C402" s="2" t="s">
        <v>1108</v>
      </c>
      <c r="D402" s="2"/>
      <c r="E402" s="2"/>
      <c r="F402" s="2"/>
      <c r="G402" s="2"/>
      <c r="H402" s="2"/>
      <c r="I402" s="2">
        <v>1</v>
      </c>
      <c r="J402" s="2"/>
      <c r="K402" s="2"/>
    </row>
    <row r="403" spans="1:11">
      <c r="A403" s="3">
        <v>405</v>
      </c>
      <c r="B403" s="3" t="s">
        <v>1109</v>
      </c>
      <c r="C403" s="3" t="s">
        <v>1110</v>
      </c>
      <c r="D403" s="3" t="s">
        <v>1111</v>
      </c>
      <c r="E403" s="3">
        <v>2026</v>
      </c>
      <c r="F403" s="3" t="s">
        <v>1112</v>
      </c>
      <c r="G403" s="3"/>
      <c r="H403" s="3" t="s">
        <v>1113</v>
      </c>
      <c r="I403" s="3">
        <v>8</v>
      </c>
      <c r="J403" s="3" t="s">
        <v>21</v>
      </c>
      <c r="K403" s="3" t="s">
        <v>43</v>
      </c>
    </row>
    <row r="404" spans="1:11">
      <c r="A404" s="2">
        <v>406</v>
      </c>
      <c r="B404" s="2" t="s">
        <v>1109</v>
      </c>
      <c r="C404" s="2" t="s">
        <v>1114</v>
      </c>
      <c r="D404" s="2"/>
      <c r="E404" s="2">
        <v>2024</v>
      </c>
      <c r="F404" s="2"/>
      <c r="G404" s="2"/>
      <c r="H404" s="2"/>
      <c r="I404" s="2">
        <v>24</v>
      </c>
      <c r="J404" s="2" t="s">
        <v>1115</v>
      </c>
      <c r="K404" s="2" t="s">
        <v>148</v>
      </c>
    </row>
    <row r="405" spans="1:11">
      <c r="A405" s="3">
        <v>404</v>
      </c>
      <c r="B405" s="3" t="s">
        <v>1109</v>
      </c>
      <c r="C405" s="3" t="s">
        <v>1116</v>
      </c>
      <c r="D405" s="3"/>
      <c r="E405" s="3">
        <v>2024</v>
      </c>
      <c r="F405" s="3"/>
      <c r="G405" s="3"/>
      <c r="H405" s="3" t="s">
        <v>1117</v>
      </c>
      <c r="I405" s="3">
        <v>19</v>
      </c>
      <c r="J405" s="3" t="s">
        <v>1118</v>
      </c>
      <c r="K405" s="3" t="s">
        <v>1119</v>
      </c>
    </row>
    <row r="406" spans="1:11">
      <c r="A406" s="2">
        <v>402</v>
      </c>
      <c r="B406" s="2" t="s">
        <v>1109</v>
      </c>
      <c r="C406" s="2" t="s">
        <v>1120</v>
      </c>
      <c r="D406" s="2" t="s">
        <v>1121</v>
      </c>
      <c r="E406" s="2">
        <v>1987</v>
      </c>
      <c r="F406" s="2"/>
      <c r="G406" s="2"/>
      <c r="H406" s="2" t="s">
        <v>1122</v>
      </c>
      <c r="I406" s="2">
        <v>96</v>
      </c>
      <c r="J406" s="2" t="s">
        <v>170</v>
      </c>
      <c r="K406" s="2" t="s">
        <v>321</v>
      </c>
    </row>
    <row r="407" spans="1:11">
      <c r="A407" s="3">
        <v>410</v>
      </c>
      <c r="B407" s="3" t="s">
        <v>1109</v>
      </c>
      <c r="C407" s="3" t="s">
        <v>1123</v>
      </c>
      <c r="D407" s="3"/>
      <c r="E407" s="3"/>
      <c r="F407" s="3"/>
      <c r="G407" s="3"/>
      <c r="H407" s="3" t="s">
        <v>1124</v>
      </c>
      <c r="I407" s="3">
        <v>9</v>
      </c>
      <c r="J407" s="3" t="s">
        <v>21</v>
      </c>
      <c r="K407" s="3" t="s">
        <v>1125</v>
      </c>
    </row>
    <row r="408" spans="1:11">
      <c r="A408" s="2">
        <v>409</v>
      </c>
      <c r="B408" s="2" t="s">
        <v>1109</v>
      </c>
      <c r="C408" s="2" t="s">
        <v>1126</v>
      </c>
      <c r="D408" s="2"/>
      <c r="E408" s="2"/>
      <c r="F408" s="2"/>
      <c r="G408" s="2"/>
      <c r="H408" s="2" t="s">
        <v>1127</v>
      </c>
      <c r="I408" s="2">
        <v>18</v>
      </c>
      <c r="J408" s="2" t="s">
        <v>21</v>
      </c>
      <c r="K408" s="2" t="s">
        <v>237</v>
      </c>
    </row>
    <row r="409" spans="1:11">
      <c r="A409" s="3">
        <v>403</v>
      </c>
      <c r="B409" s="3" t="s">
        <v>1109</v>
      </c>
      <c r="C409" s="3" t="s">
        <v>1128</v>
      </c>
      <c r="D409" s="3" t="s">
        <v>1129</v>
      </c>
      <c r="E409" s="3"/>
      <c r="F409" s="3"/>
      <c r="G409" s="3"/>
      <c r="H409" s="3" t="s">
        <v>1130</v>
      </c>
      <c r="I409" s="3">
        <v>8</v>
      </c>
      <c r="J409" s="3" t="s">
        <v>453</v>
      </c>
      <c r="K409" s="3"/>
    </row>
    <row r="410" spans="1:11">
      <c r="A410" s="2">
        <v>408</v>
      </c>
      <c r="B410" s="2" t="s">
        <v>1109</v>
      </c>
      <c r="C410" s="2" t="s">
        <v>1131</v>
      </c>
      <c r="D410" s="2"/>
      <c r="E410" s="2"/>
      <c r="F410" s="2"/>
      <c r="G410" s="2"/>
      <c r="H410" s="2" t="s">
        <v>1132</v>
      </c>
      <c r="I410" s="2">
        <v>42</v>
      </c>
      <c r="J410" s="2"/>
      <c r="K410" s="2" t="s">
        <v>794</v>
      </c>
    </row>
    <row r="411" spans="1:11">
      <c r="A411" s="3">
        <v>407</v>
      </c>
      <c r="B411" s="3" t="s">
        <v>1109</v>
      </c>
      <c r="C411" s="3" t="s">
        <v>1133</v>
      </c>
      <c r="D411" s="3"/>
      <c r="E411" s="3"/>
      <c r="F411" s="3"/>
      <c r="G411" s="3"/>
      <c r="H411" s="3"/>
      <c r="I411" s="3">
        <v>3</v>
      </c>
      <c r="J411" s="3" t="s">
        <v>142</v>
      </c>
      <c r="K411" s="3" t="s">
        <v>1134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56</v>
      </c>
      <c r="B2" s="2" t="s">
        <v>12</v>
      </c>
      <c r="C2" s="2"/>
      <c r="D2" s="2">
        <v>2026</v>
      </c>
    </row>
    <row r="3" spans="1:4">
      <c r="A3" s="3">
        <v>18</v>
      </c>
      <c r="B3" s="3" t="s">
        <v>17</v>
      </c>
      <c r="C3" s="3" t="s">
        <v>18</v>
      </c>
      <c r="D3" s="3">
        <v>2026</v>
      </c>
    </row>
    <row r="4" spans="1:4">
      <c r="A4" s="2">
        <v>33</v>
      </c>
      <c r="B4" s="2" t="s">
        <v>23</v>
      </c>
      <c r="C4" s="2"/>
      <c r="D4" s="2">
        <v>2026</v>
      </c>
    </row>
    <row r="5" spans="1:4">
      <c r="A5" s="3">
        <v>59</v>
      </c>
      <c r="B5" s="3" t="s">
        <v>28</v>
      </c>
      <c r="C5" s="3"/>
      <c r="D5" s="3">
        <v>2026</v>
      </c>
    </row>
    <row r="6" spans="1:4">
      <c r="A6" s="2">
        <v>19</v>
      </c>
      <c r="B6" s="2" t="s">
        <v>32</v>
      </c>
      <c r="C6" s="2" t="s">
        <v>33</v>
      </c>
      <c r="D6" s="2">
        <v>2025</v>
      </c>
    </row>
    <row r="7" spans="1:4">
      <c r="A7" s="3">
        <v>26</v>
      </c>
      <c r="B7" s="3" t="s">
        <v>35</v>
      </c>
      <c r="C7" s="3"/>
      <c r="D7" s="3">
        <v>2025</v>
      </c>
    </row>
    <row r="8" spans="1:4">
      <c r="A8" s="2">
        <v>57</v>
      </c>
      <c r="B8" s="2" t="s">
        <v>39</v>
      </c>
      <c r="C8" s="2" t="s">
        <v>40</v>
      </c>
      <c r="D8" s="2">
        <v>2025</v>
      </c>
    </row>
    <row r="9" spans="1:4">
      <c r="A9" s="3">
        <v>11</v>
      </c>
      <c r="B9" s="3" t="s">
        <v>44</v>
      </c>
      <c r="C9" s="3"/>
      <c r="D9" s="3">
        <v>2025</v>
      </c>
    </row>
    <row r="10" spans="1:4">
      <c r="A10" s="2">
        <v>12</v>
      </c>
      <c r="B10" s="2" t="s">
        <v>48</v>
      </c>
      <c r="C10" s="2" t="s">
        <v>49</v>
      </c>
      <c r="D10" s="2">
        <v>2025</v>
      </c>
    </row>
    <row r="11" spans="1:4">
      <c r="A11" s="3">
        <v>13</v>
      </c>
      <c r="B11" s="3" t="s">
        <v>50</v>
      </c>
      <c r="C11" s="3"/>
      <c r="D11" s="3">
        <v>2025</v>
      </c>
    </row>
    <row r="12" spans="1:4">
      <c r="A12" s="2">
        <v>14</v>
      </c>
      <c r="B12" s="2" t="s">
        <v>53</v>
      </c>
      <c r="C12" s="2"/>
      <c r="D12" s="2">
        <v>2025</v>
      </c>
    </row>
    <row r="13" spans="1:4">
      <c r="A13" s="3">
        <v>41</v>
      </c>
      <c r="B13" s="3" t="s">
        <v>56</v>
      </c>
      <c r="C13" s="3" t="s">
        <v>57</v>
      </c>
      <c r="D13" s="3">
        <v>2025</v>
      </c>
    </row>
    <row r="14" spans="1:4">
      <c r="A14" s="2">
        <v>42</v>
      </c>
      <c r="B14" s="2" t="s">
        <v>62</v>
      </c>
      <c r="C14" s="2"/>
      <c r="D14" s="2">
        <v>2025</v>
      </c>
    </row>
    <row r="15" spans="1:4">
      <c r="A15" s="3">
        <v>15</v>
      </c>
      <c r="B15" s="3" t="s">
        <v>67</v>
      </c>
      <c r="C15" s="3" t="s">
        <v>68</v>
      </c>
      <c r="D15" s="3">
        <v>2025</v>
      </c>
    </row>
    <row r="16" spans="1:4">
      <c r="A16" s="2">
        <v>16</v>
      </c>
      <c r="B16" s="2" t="s">
        <v>72</v>
      </c>
      <c r="C16" s="2"/>
      <c r="D16" s="2">
        <v>2025</v>
      </c>
    </row>
    <row r="17" spans="1:4">
      <c r="A17" s="3">
        <v>17</v>
      </c>
      <c r="B17" s="3" t="s">
        <v>76</v>
      </c>
      <c r="C17" s="3" t="s">
        <v>77</v>
      </c>
      <c r="D17" s="3">
        <v>2025</v>
      </c>
    </row>
    <row r="18" spans="1:4">
      <c r="A18" s="2">
        <v>8</v>
      </c>
      <c r="B18" s="2" t="s">
        <v>81</v>
      </c>
      <c r="C18" s="2" t="s">
        <v>82</v>
      </c>
      <c r="D18" s="2">
        <v>2024</v>
      </c>
    </row>
    <row r="19" spans="1:4">
      <c r="A19" s="3">
        <v>9</v>
      </c>
      <c r="B19" s="3" t="s">
        <v>85</v>
      </c>
      <c r="C19" s="3"/>
      <c r="D19" s="3">
        <v>2024</v>
      </c>
    </row>
    <row r="20" spans="1:4">
      <c r="A20" s="2">
        <v>46</v>
      </c>
      <c r="B20" s="2" t="s">
        <v>89</v>
      </c>
      <c r="C20" s="2" t="s">
        <v>90</v>
      </c>
      <c r="D20" s="2">
        <v>2024</v>
      </c>
    </row>
    <row r="21" spans="1:4">
      <c r="A21" s="3">
        <v>36</v>
      </c>
      <c r="B21" s="3" t="s">
        <v>94</v>
      </c>
      <c r="C21" s="3"/>
      <c r="D21" s="3">
        <v>2024</v>
      </c>
    </row>
    <row r="22" spans="1:4">
      <c r="A22" s="2">
        <v>7</v>
      </c>
      <c r="B22" s="2" t="s">
        <v>97</v>
      </c>
      <c r="C22" s="2"/>
      <c r="D22" s="2">
        <v>2024</v>
      </c>
    </row>
    <row r="23" spans="1:4">
      <c r="A23" s="3">
        <v>47</v>
      </c>
      <c r="B23" s="3" t="s">
        <v>100</v>
      </c>
      <c r="C23" s="3"/>
      <c r="D23" s="3">
        <v>2024</v>
      </c>
    </row>
    <row r="24" spans="1:4">
      <c r="A24" s="2">
        <v>10</v>
      </c>
      <c r="B24" s="2" t="s">
        <v>104</v>
      </c>
      <c r="C24" s="2" t="s">
        <v>105</v>
      </c>
      <c r="D24" s="2">
        <v>2024</v>
      </c>
    </row>
    <row r="25" spans="1:4">
      <c r="A25" s="3">
        <v>1</v>
      </c>
      <c r="B25" s="3" t="s">
        <v>109</v>
      </c>
      <c r="C25" s="3"/>
      <c r="D25" s="3">
        <v>2023</v>
      </c>
    </row>
    <row r="26" spans="1:4">
      <c r="A26" s="2">
        <v>2</v>
      </c>
      <c r="B26" s="2" t="s">
        <v>113</v>
      </c>
      <c r="C26" s="2" t="s">
        <v>114</v>
      </c>
      <c r="D26" s="2">
        <v>2023</v>
      </c>
    </row>
    <row r="27" spans="1:4">
      <c r="A27" s="3">
        <v>4</v>
      </c>
      <c r="B27" s="3" t="s">
        <v>118</v>
      </c>
      <c r="C27" s="3"/>
      <c r="D27" s="3">
        <v>2023</v>
      </c>
    </row>
    <row r="28" spans="1:4">
      <c r="A28" s="2">
        <v>5</v>
      </c>
      <c r="B28" s="2" t="s">
        <v>122</v>
      </c>
      <c r="C28" s="2" t="s">
        <v>123</v>
      </c>
      <c r="D28" s="2">
        <v>2023</v>
      </c>
    </row>
    <row r="29" spans="1:4">
      <c r="A29" s="3">
        <v>3</v>
      </c>
      <c r="B29" s="3" t="s">
        <v>126</v>
      </c>
      <c r="C29" s="3"/>
      <c r="D29" s="3">
        <v>2023</v>
      </c>
    </row>
    <row r="30" spans="1:4">
      <c r="A30" s="2">
        <v>6</v>
      </c>
      <c r="B30" s="2" t="s">
        <v>130</v>
      </c>
      <c r="C30" s="2"/>
      <c r="D30" s="2">
        <v>2023</v>
      </c>
    </row>
    <row r="31" spans="1:4">
      <c r="A31" s="3">
        <v>39</v>
      </c>
      <c r="B31" s="3" t="s">
        <v>133</v>
      </c>
      <c r="C31" s="3" t="s">
        <v>134</v>
      </c>
      <c r="D31" s="3">
        <v>2022</v>
      </c>
    </row>
    <row r="32" spans="1:4">
      <c r="A32" s="2">
        <v>44</v>
      </c>
      <c r="B32" s="2" t="s">
        <v>137</v>
      </c>
      <c r="C32" s="2"/>
      <c r="D32" s="2">
        <v>2022</v>
      </c>
    </row>
    <row r="33" spans="1:4">
      <c r="A33" s="3">
        <v>20</v>
      </c>
      <c r="B33" s="3" t="s">
        <v>141</v>
      </c>
      <c r="C33" s="3"/>
      <c r="D33" s="3">
        <v>2021</v>
      </c>
    </row>
    <row r="34" spans="1:4">
      <c r="A34" s="2">
        <v>51</v>
      </c>
      <c r="B34" s="2" t="s">
        <v>144</v>
      </c>
      <c r="C34" s="2" t="s">
        <v>145</v>
      </c>
      <c r="D34" s="2">
        <v>2021</v>
      </c>
    </row>
    <row r="35" spans="1:4">
      <c r="A35" s="3">
        <v>52</v>
      </c>
      <c r="B35" s="3" t="s">
        <v>149</v>
      </c>
      <c r="C35" s="3"/>
      <c r="D35" s="3">
        <v>2021</v>
      </c>
    </row>
    <row r="36" spans="1:4">
      <c r="A36" s="2">
        <v>58</v>
      </c>
      <c r="B36" s="2" t="s">
        <v>152</v>
      </c>
      <c r="C36" s="2"/>
      <c r="D36" s="2">
        <v>2021</v>
      </c>
    </row>
    <row r="37" spans="1:4">
      <c r="A37" s="3">
        <v>35</v>
      </c>
      <c r="B37" s="3" t="s">
        <v>155</v>
      </c>
      <c r="C37" s="3"/>
      <c r="D37" s="3">
        <v>2020</v>
      </c>
    </row>
    <row r="38" spans="1:4">
      <c r="A38" s="2">
        <v>49</v>
      </c>
      <c r="B38" s="2" t="s">
        <v>158</v>
      </c>
      <c r="C38" s="2"/>
      <c r="D38" s="2">
        <v>2020</v>
      </c>
    </row>
    <row r="39" spans="1:4">
      <c r="A39" s="3">
        <v>34</v>
      </c>
      <c r="B39" s="3" t="s">
        <v>160</v>
      </c>
      <c r="C39" s="3"/>
      <c r="D39" s="3">
        <v>2019</v>
      </c>
    </row>
    <row r="40" spans="1:4">
      <c r="A40" s="2">
        <v>32</v>
      </c>
      <c r="B40" s="2" t="s">
        <v>164</v>
      </c>
      <c r="C40" s="2"/>
      <c r="D40" s="2">
        <v>2018</v>
      </c>
    </row>
    <row r="41" spans="1:4">
      <c r="A41" s="3">
        <v>48</v>
      </c>
      <c r="B41" s="3" t="s">
        <v>167</v>
      </c>
      <c r="C41" s="3" t="s">
        <v>77</v>
      </c>
      <c r="D41" s="3">
        <v>2018</v>
      </c>
    </row>
    <row r="42" spans="1:4">
      <c r="A42" s="2">
        <v>24</v>
      </c>
      <c r="B42" s="2" t="s">
        <v>172</v>
      </c>
      <c r="C42" s="2" t="s">
        <v>173</v>
      </c>
      <c r="D42" s="2">
        <v>2016</v>
      </c>
    </row>
    <row r="43" spans="1:4">
      <c r="A43" s="3">
        <v>28</v>
      </c>
      <c r="B43" s="3" t="s">
        <v>175</v>
      </c>
      <c r="C43" s="3" t="s">
        <v>176</v>
      </c>
      <c r="D43" s="3">
        <v>2015</v>
      </c>
    </row>
    <row r="44" spans="1:4">
      <c r="A44" s="2">
        <v>25</v>
      </c>
      <c r="B44" s="2" t="s">
        <v>180</v>
      </c>
      <c r="C44" s="2" t="s">
        <v>181</v>
      </c>
      <c r="D44" s="2">
        <v>2015</v>
      </c>
    </row>
    <row r="45" spans="1:4">
      <c r="A45" s="3">
        <v>29</v>
      </c>
      <c r="B45" s="3" t="s">
        <v>184</v>
      </c>
      <c r="C45" s="3" t="s">
        <v>185</v>
      </c>
      <c r="D45" s="3">
        <v>2012</v>
      </c>
    </row>
    <row r="46" spans="1:4">
      <c r="A46" s="2">
        <v>40</v>
      </c>
      <c r="B46" s="2" t="s">
        <v>188</v>
      </c>
      <c r="C46" s="2"/>
      <c r="D46" s="2">
        <v>2012</v>
      </c>
    </row>
    <row r="47" spans="1:4">
      <c r="A47" s="3">
        <v>22</v>
      </c>
      <c r="B47" s="3" t="s">
        <v>192</v>
      </c>
      <c r="C47" s="3" t="s">
        <v>193</v>
      </c>
      <c r="D47" s="3">
        <v>2011</v>
      </c>
    </row>
    <row r="48" spans="1:4">
      <c r="A48" s="2">
        <v>23</v>
      </c>
      <c r="B48" s="2" t="s">
        <v>192</v>
      </c>
      <c r="C48" s="2" t="s">
        <v>193</v>
      </c>
      <c r="D48" s="2">
        <v>2011</v>
      </c>
    </row>
    <row r="49" spans="1:4">
      <c r="A49" s="3">
        <v>45</v>
      </c>
      <c r="B49" s="3" t="s">
        <v>197</v>
      </c>
      <c r="C49" s="3" t="s">
        <v>198</v>
      </c>
      <c r="D49" s="3">
        <v>2009</v>
      </c>
    </row>
    <row r="50" spans="1:4">
      <c r="A50" s="2">
        <v>54</v>
      </c>
      <c r="B50" s="2" t="s">
        <v>202</v>
      </c>
      <c r="C50" s="2"/>
      <c r="D50" s="2">
        <v>2003</v>
      </c>
    </row>
    <row r="51" spans="1:4">
      <c r="A51" s="3">
        <v>43</v>
      </c>
      <c r="B51" s="3" t="s">
        <v>205</v>
      </c>
      <c r="C51" s="3"/>
      <c r="D51" s="3">
        <v>1999</v>
      </c>
    </row>
    <row r="52" spans="1:4">
      <c r="A52" s="2">
        <v>31</v>
      </c>
      <c r="B52" s="2" t="s">
        <v>207</v>
      </c>
      <c r="C52" s="2"/>
      <c r="D52" s="2">
        <v>1978</v>
      </c>
    </row>
    <row r="53" spans="1:4">
      <c r="A53" s="3">
        <v>30</v>
      </c>
      <c r="B53" s="3" t="s">
        <v>209</v>
      </c>
      <c r="C53" s="3"/>
      <c r="D53" s="3">
        <v>1963</v>
      </c>
    </row>
    <row r="54" spans="1:4">
      <c r="A54" s="2">
        <v>50</v>
      </c>
      <c r="B54" s="2" t="s">
        <v>212</v>
      </c>
      <c r="C54" s="2"/>
      <c r="D54" s="2">
        <v>1961</v>
      </c>
    </row>
    <row r="55" spans="1:4">
      <c r="A55" s="3">
        <v>53</v>
      </c>
      <c r="B55" s="3" t="s">
        <v>215</v>
      </c>
      <c r="C55" s="3"/>
      <c r="D55" s="3"/>
    </row>
    <row r="56" spans="1:4">
      <c r="A56" s="2">
        <v>55</v>
      </c>
      <c r="B56" s="2" t="s">
        <v>218</v>
      </c>
      <c r="C56" s="2"/>
      <c r="D56" s="2"/>
    </row>
    <row r="57" spans="1:4">
      <c r="A57" s="3">
        <v>37</v>
      </c>
      <c r="B57" s="3" t="s">
        <v>221</v>
      </c>
      <c r="C57" s="3"/>
      <c r="D57" s="3"/>
    </row>
    <row r="58" spans="1:4">
      <c r="A58" s="2">
        <v>38</v>
      </c>
      <c r="B58" s="2" t="s">
        <v>223</v>
      </c>
      <c r="C58" s="2" t="s">
        <v>224</v>
      </c>
      <c r="D58" s="2"/>
    </row>
    <row r="59" spans="1:4">
      <c r="A59" s="3">
        <v>27</v>
      </c>
      <c r="B59" s="3" t="s">
        <v>226</v>
      </c>
      <c r="C59" s="3"/>
      <c r="D59" s="3"/>
    </row>
    <row r="60" spans="1:4">
      <c r="A60" s="2">
        <v>21</v>
      </c>
      <c r="B60" s="2" t="s">
        <v>228</v>
      </c>
      <c r="C60" s="2"/>
      <c r="D6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5"/>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75</v>
      </c>
      <c r="B2" s="2" t="s">
        <v>230</v>
      </c>
      <c r="C2" s="2"/>
      <c r="D2" s="2">
        <v>2026</v>
      </c>
    </row>
    <row r="3" spans="1:4">
      <c r="A3" s="3">
        <v>71</v>
      </c>
      <c r="B3" s="3" t="s">
        <v>235</v>
      </c>
      <c r="C3" s="3" t="s">
        <v>236</v>
      </c>
      <c r="D3" s="3">
        <v>2026</v>
      </c>
    </row>
    <row r="4" spans="1:4">
      <c r="A4" s="2">
        <v>72</v>
      </c>
      <c r="B4" s="2" t="s">
        <v>238</v>
      </c>
      <c r="C4" s="2" t="s">
        <v>239</v>
      </c>
      <c r="D4" s="2">
        <v>2026</v>
      </c>
    </row>
    <row r="5" spans="1:4">
      <c r="A5" s="3">
        <v>73</v>
      </c>
      <c r="B5" s="3" t="s">
        <v>240</v>
      </c>
      <c r="C5" s="3" t="s">
        <v>241</v>
      </c>
      <c r="D5" s="3">
        <v>2026</v>
      </c>
    </row>
    <row r="6" spans="1:4">
      <c r="A6" s="2">
        <v>65</v>
      </c>
      <c r="B6" s="2" t="s">
        <v>243</v>
      </c>
      <c r="C6" s="2" t="s">
        <v>244</v>
      </c>
      <c r="D6" s="2">
        <v>2025</v>
      </c>
    </row>
    <row r="7" spans="1:4">
      <c r="A7" s="3">
        <v>79</v>
      </c>
      <c r="B7" s="3" t="s">
        <v>246</v>
      </c>
      <c r="C7" s="3"/>
      <c r="D7" s="3">
        <v>2025</v>
      </c>
    </row>
    <row r="8" spans="1:4">
      <c r="A8" s="2">
        <v>66</v>
      </c>
      <c r="B8" s="2" t="s">
        <v>249</v>
      </c>
      <c r="C8" s="2"/>
      <c r="D8" s="2">
        <v>2025</v>
      </c>
    </row>
    <row r="9" spans="1:4">
      <c r="A9" s="3">
        <v>67</v>
      </c>
      <c r="B9" s="3" t="s">
        <v>252</v>
      </c>
      <c r="C9" s="3" t="s">
        <v>33</v>
      </c>
      <c r="D9" s="3">
        <v>2025</v>
      </c>
    </row>
    <row r="10" spans="1:4">
      <c r="A10" s="2">
        <v>68</v>
      </c>
      <c r="B10" s="2" t="s">
        <v>254</v>
      </c>
      <c r="C10" s="2" t="s">
        <v>255</v>
      </c>
      <c r="D10" s="2">
        <v>2025</v>
      </c>
    </row>
    <row r="11" spans="1:4">
      <c r="A11" s="3">
        <v>69</v>
      </c>
      <c r="B11" s="3" t="s">
        <v>259</v>
      </c>
      <c r="C11" s="3" t="s">
        <v>260</v>
      </c>
      <c r="D11" s="3">
        <v>2025</v>
      </c>
    </row>
    <row r="12" spans="1:4">
      <c r="A12" s="2">
        <v>70</v>
      </c>
      <c r="B12" s="2" t="s">
        <v>262</v>
      </c>
      <c r="C12" s="2" t="s">
        <v>263</v>
      </c>
      <c r="D12" s="2">
        <v>2025</v>
      </c>
    </row>
    <row r="13" spans="1:4">
      <c r="A13" s="3">
        <v>63</v>
      </c>
      <c r="B13" s="3" t="s">
        <v>265</v>
      </c>
      <c r="C13" s="3"/>
      <c r="D13" s="3">
        <v>2024</v>
      </c>
    </row>
    <row r="14" spans="1:4">
      <c r="A14" s="2">
        <v>76</v>
      </c>
      <c r="B14" s="2" t="s">
        <v>268</v>
      </c>
      <c r="C14" s="2" t="s">
        <v>269</v>
      </c>
      <c r="D14" s="2">
        <v>2024</v>
      </c>
    </row>
    <row r="15" spans="1:4">
      <c r="A15" s="3">
        <v>61</v>
      </c>
      <c r="B15" s="3" t="s">
        <v>273</v>
      </c>
      <c r="C15" s="3"/>
      <c r="D15" s="3">
        <v>2024</v>
      </c>
    </row>
    <row r="16" spans="1:4">
      <c r="A16" s="2">
        <v>82</v>
      </c>
      <c r="B16" s="2" t="s">
        <v>277</v>
      </c>
      <c r="C16" s="2"/>
      <c r="D16" s="2">
        <v>2024</v>
      </c>
    </row>
    <row r="17" spans="1:4">
      <c r="A17" s="3">
        <v>62</v>
      </c>
      <c r="B17" s="3" t="s">
        <v>280</v>
      </c>
      <c r="C17" s="3"/>
      <c r="D17" s="3">
        <v>2024</v>
      </c>
    </row>
    <row r="18" spans="1:4">
      <c r="A18" s="2">
        <v>64</v>
      </c>
      <c r="B18" s="2" t="s">
        <v>283</v>
      </c>
      <c r="C18" s="2"/>
      <c r="D18" s="2">
        <v>2024</v>
      </c>
    </row>
    <row r="19" spans="1:4">
      <c r="A19" s="3">
        <v>60</v>
      </c>
      <c r="B19" s="3" t="s">
        <v>285</v>
      </c>
      <c r="C19" s="3"/>
      <c r="D19" s="3">
        <v>2023</v>
      </c>
    </row>
    <row r="20" spans="1:4">
      <c r="A20" s="2">
        <v>80</v>
      </c>
      <c r="B20" s="2" t="s">
        <v>289</v>
      </c>
      <c r="C20" s="2"/>
      <c r="D20" s="2">
        <v>2017</v>
      </c>
    </row>
    <row r="21" spans="1:4">
      <c r="A21" s="3">
        <v>74</v>
      </c>
      <c r="B21" s="3" t="s">
        <v>293</v>
      </c>
      <c r="C21" s="3"/>
      <c r="D21" s="3">
        <v>2015</v>
      </c>
    </row>
    <row r="22" spans="1:4">
      <c r="A22" s="2">
        <v>77</v>
      </c>
      <c r="B22" s="2" t="s">
        <v>297</v>
      </c>
      <c r="C22" s="2" t="s">
        <v>298</v>
      </c>
      <c r="D22" s="2">
        <v>2015</v>
      </c>
    </row>
    <row r="23" spans="1:4">
      <c r="A23" s="3">
        <v>78</v>
      </c>
      <c r="B23" s="3" t="s">
        <v>301</v>
      </c>
      <c r="C23" s="3"/>
      <c r="D23" s="3">
        <v>2014</v>
      </c>
    </row>
    <row r="24" spans="1:4">
      <c r="A24" s="2">
        <v>83</v>
      </c>
      <c r="B24" s="2" t="s">
        <v>304</v>
      </c>
      <c r="C24" s="2"/>
      <c r="D24" s="2">
        <v>2006</v>
      </c>
    </row>
    <row r="25" spans="1:4">
      <c r="A25" s="3">
        <v>81</v>
      </c>
      <c r="B25" s="3" t="s">
        <v>308</v>
      </c>
      <c r="C25" s="3" t="s">
        <v>309</v>
      </c>
      <c r="D25" s="3">
        <v>1998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88</v>
      </c>
      <c r="B2" s="2" t="s">
        <v>312</v>
      </c>
      <c r="C2" s="2" t="s">
        <v>313</v>
      </c>
      <c r="D2" s="2">
        <v>2025</v>
      </c>
    </row>
    <row r="3" spans="1:4">
      <c r="A3" s="3">
        <v>94</v>
      </c>
      <c r="B3" s="3" t="s">
        <v>316</v>
      </c>
      <c r="C3" s="3" t="s">
        <v>317</v>
      </c>
      <c r="D3" s="3">
        <v>2025</v>
      </c>
    </row>
    <row r="4" spans="1:4">
      <c r="A4" s="2">
        <v>86</v>
      </c>
      <c r="B4" s="2" t="s">
        <v>322</v>
      </c>
      <c r="C4" s="2" t="s">
        <v>323</v>
      </c>
      <c r="D4" s="2">
        <v>2024</v>
      </c>
    </row>
    <row r="5" spans="1:4">
      <c r="A5" s="3">
        <v>91</v>
      </c>
      <c r="B5" s="3" t="s">
        <v>326</v>
      </c>
      <c r="C5" s="3"/>
      <c r="D5" s="3">
        <v>2024</v>
      </c>
    </row>
    <row r="6" spans="1:4">
      <c r="A6" s="2">
        <v>92</v>
      </c>
      <c r="B6" s="2" t="s">
        <v>330</v>
      </c>
      <c r="C6" s="2" t="s">
        <v>331</v>
      </c>
      <c r="D6" s="2">
        <v>2024</v>
      </c>
    </row>
    <row r="7" spans="1:4">
      <c r="A7" s="3">
        <v>85</v>
      </c>
      <c r="B7" s="3" t="s">
        <v>334</v>
      </c>
      <c r="C7" s="3"/>
      <c r="D7" s="3">
        <v>2024</v>
      </c>
    </row>
    <row r="8" spans="1:4">
      <c r="A8" s="2">
        <v>87</v>
      </c>
      <c r="B8" s="2" t="s">
        <v>337</v>
      </c>
      <c r="C8" s="2"/>
      <c r="D8" s="2">
        <v>2024</v>
      </c>
    </row>
    <row r="9" spans="1:4">
      <c r="A9" s="3">
        <v>89</v>
      </c>
      <c r="B9" s="3" t="s">
        <v>339</v>
      </c>
      <c r="C9" s="3"/>
      <c r="D9" s="3">
        <v>2024</v>
      </c>
    </row>
    <row r="10" spans="1:4">
      <c r="A10" s="2">
        <v>95</v>
      </c>
      <c r="B10" s="2" t="s">
        <v>342</v>
      </c>
      <c r="C10" s="2"/>
      <c r="D10" s="2">
        <v>2024</v>
      </c>
    </row>
    <row r="11" spans="1:4">
      <c r="A11" s="3">
        <v>84</v>
      </c>
      <c r="B11" s="3" t="s">
        <v>346</v>
      </c>
      <c r="C11" s="3" t="s">
        <v>347</v>
      </c>
      <c r="D11" s="3">
        <v>2023</v>
      </c>
    </row>
    <row r="12" spans="1:4">
      <c r="A12" s="2">
        <v>93</v>
      </c>
      <c r="B12" s="2" t="s">
        <v>351</v>
      </c>
      <c r="C12" s="2"/>
      <c r="D12" s="2">
        <v>2023</v>
      </c>
    </row>
    <row r="13" spans="1:4">
      <c r="A13" s="3">
        <v>90</v>
      </c>
      <c r="B13" s="3" t="s">
        <v>355</v>
      </c>
      <c r="C13" s="3"/>
      <c r="D13" s="3">
        <v>2019</v>
      </c>
    </row>
    <row r="14" spans="1:4">
      <c r="A14" s="2">
        <v>96</v>
      </c>
      <c r="B14" s="2" t="s">
        <v>359</v>
      </c>
      <c r="C14" s="2"/>
      <c r="D1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72"/>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110</v>
      </c>
      <c r="B2" s="2" t="s">
        <v>363</v>
      </c>
      <c r="C2" s="2"/>
      <c r="D2" s="2">
        <v>2026</v>
      </c>
    </row>
    <row r="3" spans="1:4">
      <c r="A3" s="3">
        <v>119</v>
      </c>
      <c r="B3" s="3" t="s">
        <v>367</v>
      </c>
      <c r="C3" s="3"/>
      <c r="D3" s="3">
        <v>2026</v>
      </c>
    </row>
    <row r="4" spans="1:4">
      <c r="A4" s="2">
        <v>143</v>
      </c>
      <c r="B4" s="2" t="s">
        <v>371</v>
      </c>
      <c r="C4" s="2"/>
      <c r="D4" s="2">
        <v>2026</v>
      </c>
    </row>
    <row r="5" spans="1:4">
      <c r="A5" s="3">
        <v>144</v>
      </c>
      <c r="B5" s="3" t="s">
        <v>375</v>
      </c>
      <c r="C5" s="3"/>
      <c r="D5" s="3">
        <v>2026</v>
      </c>
    </row>
    <row r="6" spans="1:4">
      <c r="A6" s="2">
        <v>150</v>
      </c>
      <c r="B6" s="2" t="s">
        <v>379</v>
      </c>
      <c r="C6" s="2"/>
      <c r="D6" s="2">
        <v>2026</v>
      </c>
    </row>
    <row r="7" spans="1:4">
      <c r="A7" s="3">
        <v>103</v>
      </c>
      <c r="B7" s="3" t="s">
        <v>384</v>
      </c>
      <c r="C7" s="3"/>
      <c r="D7" s="3">
        <v>2025</v>
      </c>
    </row>
    <row r="8" spans="1:4">
      <c r="A8" s="2">
        <v>161</v>
      </c>
      <c r="B8" s="2" t="s">
        <v>388</v>
      </c>
      <c r="C8" s="2"/>
      <c r="D8" s="2">
        <v>2025</v>
      </c>
    </row>
    <row r="9" spans="1:4">
      <c r="A9" s="3">
        <v>122</v>
      </c>
      <c r="B9" s="3" t="s">
        <v>391</v>
      </c>
      <c r="C9" s="3"/>
      <c r="D9" s="3">
        <v>2025</v>
      </c>
    </row>
    <row r="10" spans="1:4">
      <c r="A10" s="2">
        <v>101</v>
      </c>
      <c r="B10" s="2" t="s">
        <v>395</v>
      </c>
      <c r="C10" s="2" t="s">
        <v>396</v>
      </c>
      <c r="D10" s="2">
        <v>2025</v>
      </c>
    </row>
    <row r="11" spans="1:4">
      <c r="A11" s="3">
        <v>155</v>
      </c>
      <c r="B11" s="3" t="s">
        <v>400</v>
      </c>
      <c r="C11" s="3" t="s">
        <v>401</v>
      </c>
      <c r="D11" s="3">
        <v>2025</v>
      </c>
    </row>
    <row r="12" spans="1:4">
      <c r="A12" s="2">
        <v>106</v>
      </c>
      <c r="B12" s="2" t="s">
        <v>404</v>
      </c>
      <c r="C12" s="2"/>
      <c r="D12" s="2">
        <v>2024</v>
      </c>
    </row>
    <row r="13" spans="1:4">
      <c r="A13" s="3">
        <v>111</v>
      </c>
      <c r="B13" s="3" t="s">
        <v>407</v>
      </c>
      <c r="C13" s="3"/>
      <c r="D13" s="3">
        <v>2024</v>
      </c>
    </row>
    <row r="14" spans="1:4">
      <c r="A14" s="2">
        <v>126</v>
      </c>
      <c r="B14" s="2" t="s">
        <v>410</v>
      </c>
      <c r="C14" s="2"/>
      <c r="D14" s="2">
        <v>2024</v>
      </c>
    </row>
    <row r="15" spans="1:4">
      <c r="A15" s="3">
        <v>136</v>
      </c>
      <c r="B15" s="3" t="s">
        <v>413</v>
      </c>
      <c r="C15" s="3"/>
      <c r="D15" s="3">
        <v>2024</v>
      </c>
    </row>
    <row r="16" spans="1:4">
      <c r="A16" s="2">
        <v>146</v>
      </c>
      <c r="B16" s="2" t="s">
        <v>416</v>
      </c>
      <c r="C16" s="2"/>
      <c r="D16" s="2">
        <v>2024</v>
      </c>
    </row>
    <row r="17" spans="1:4">
      <c r="A17" s="3">
        <v>148</v>
      </c>
      <c r="B17" s="3" t="s">
        <v>420</v>
      </c>
      <c r="C17" s="3"/>
      <c r="D17" s="3">
        <v>2024</v>
      </c>
    </row>
    <row r="18" spans="1:4">
      <c r="A18" s="2">
        <v>160</v>
      </c>
      <c r="B18" s="2" t="s">
        <v>425</v>
      </c>
      <c r="C18" s="2" t="s">
        <v>426</v>
      </c>
      <c r="D18" s="2">
        <v>2023</v>
      </c>
    </row>
    <row r="19" spans="1:4">
      <c r="A19" s="3">
        <v>145</v>
      </c>
      <c r="B19" s="3" t="s">
        <v>431</v>
      </c>
      <c r="C19" s="3"/>
      <c r="D19" s="3">
        <v>2023</v>
      </c>
    </row>
    <row r="20" spans="1:4">
      <c r="A20" s="2">
        <v>153</v>
      </c>
      <c r="B20" s="2" t="s">
        <v>435</v>
      </c>
      <c r="C20" s="2" t="s">
        <v>436</v>
      </c>
      <c r="D20" s="2">
        <v>2023</v>
      </c>
    </row>
    <row r="21" spans="1:4">
      <c r="A21" s="3">
        <v>98</v>
      </c>
      <c r="B21" s="3" t="s">
        <v>440</v>
      </c>
      <c r="C21" s="3" t="s">
        <v>441</v>
      </c>
      <c r="D21" s="3">
        <v>2023</v>
      </c>
    </row>
    <row r="22" spans="1:4">
      <c r="A22" s="2">
        <v>149</v>
      </c>
      <c r="B22" s="2" t="s">
        <v>443</v>
      </c>
      <c r="C22" s="2"/>
      <c r="D22" s="2">
        <v>2023</v>
      </c>
    </row>
    <row r="23" spans="1:4">
      <c r="A23" s="3">
        <v>99</v>
      </c>
      <c r="B23" s="3" t="s">
        <v>446</v>
      </c>
      <c r="C23" s="3"/>
      <c r="D23" s="3">
        <v>2023</v>
      </c>
    </row>
    <row r="24" spans="1:4">
      <c r="A24" s="2">
        <v>100</v>
      </c>
      <c r="B24" s="2" t="s">
        <v>450</v>
      </c>
      <c r="C24" s="2" t="s">
        <v>451</v>
      </c>
      <c r="D24" s="2">
        <v>2023</v>
      </c>
    </row>
    <row r="25" spans="1:4">
      <c r="A25" s="3">
        <v>147</v>
      </c>
      <c r="B25" s="3" t="s">
        <v>454</v>
      </c>
      <c r="C25" s="3"/>
      <c r="D25" s="3">
        <v>2023</v>
      </c>
    </row>
    <row r="26" spans="1:4">
      <c r="A26" s="2">
        <v>97</v>
      </c>
      <c r="B26" s="2" t="s">
        <v>457</v>
      </c>
      <c r="C26" s="2"/>
      <c r="D26" s="2">
        <v>2022</v>
      </c>
    </row>
    <row r="27" spans="1:4">
      <c r="A27" s="3">
        <v>114</v>
      </c>
      <c r="B27" s="3" t="s">
        <v>461</v>
      </c>
      <c r="C27" s="3"/>
      <c r="D27" s="3">
        <v>2021</v>
      </c>
    </row>
    <row r="28" spans="1:4">
      <c r="A28" s="2">
        <v>120</v>
      </c>
      <c r="B28" s="2" t="s">
        <v>465</v>
      </c>
      <c r="C28" s="2" t="s">
        <v>466</v>
      </c>
      <c r="D28" s="2">
        <v>2021</v>
      </c>
    </row>
    <row r="29" spans="1:4">
      <c r="A29" s="3">
        <v>135</v>
      </c>
      <c r="B29" s="3" t="s">
        <v>469</v>
      </c>
      <c r="C29" s="3"/>
      <c r="D29" s="3">
        <v>2021</v>
      </c>
    </row>
    <row r="30" spans="1:4">
      <c r="A30" s="2">
        <v>162</v>
      </c>
      <c r="B30" s="2" t="s">
        <v>473</v>
      </c>
      <c r="C30" s="2"/>
      <c r="D30" s="2">
        <v>2020</v>
      </c>
    </row>
    <row r="31" spans="1:4">
      <c r="A31" s="3">
        <v>115</v>
      </c>
      <c r="B31" s="3" t="s">
        <v>476</v>
      </c>
      <c r="C31" s="3" t="s">
        <v>477</v>
      </c>
      <c r="D31" s="3">
        <v>2019</v>
      </c>
    </row>
    <row r="32" spans="1:4">
      <c r="A32" s="2">
        <v>141</v>
      </c>
      <c r="B32" s="2" t="s">
        <v>480</v>
      </c>
      <c r="C32" s="2"/>
      <c r="D32" s="2">
        <v>2019</v>
      </c>
    </row>
    <row r="33" spans="1:4">
      <c r="A33" s="3">
        <v>166</v>
      </c>
      <c r="B33" s="3" t="s">
        <v>483</v>
      </c>
      <c r="C33" s="3" t="s">
        <v>484</v>
      </c>
      <c r="D33" s="3">
        <v>2018</v>
      </c>
    </row>
    <row r="34" spans="1:4">
      <c r="A34" s="2">
        <v>128</v>
      </c>
      <c r="B34" s="2" t="s">
        <v>355</v>
      </c>
      <c r="C34" s="2"/>
      <c r="D34" s="2">
        <v>2018</v>
      </c>
    </row>
    <row r="35" spans="1:4">
      <c r="A35" s="3">
        <v>109</v>
      </c>
      <c r="B35" s="3" t="s">
        <v>489</v>
      </c>
      <c r="C35" s="3"/>
      <c r="D35" s="3">
        <v>2016</v>
      </c>
    </row>
    <row r="36" spans="1:4">
      <c r="A36" s="2">
        <v>104</v>
      </c>
      <c r="B36" s="2" t="s">
        <v>493</v>
      </c>
      <c r="C36" s="2"/>
      <c r="D36" s="2">
        <v>2016</v>
      </c>
    </row>
    <row r="37" spans="1:4">
      <c r="A37" s="3">
        <v>167</v>
      </c>
      <c r="B37" s="3" t="s">
        <v>469</v>
      </c>
      <c r="C37" s="3"/>
      <c r="D37" s="3">
        <v>2013</v>
      </c>
    </row>
    <row r="38" spans="1:4">
      <c r="A38" s="2">
        <v>129</v>
      </c>
      <c r="B38" s="2" t="s">
        <v>499</v>
      </c>
      <c r="C38" s="2" t="s">
        <v>500</v>
      </c>
      <c r="D38" s="2">
        <v>2013</v>
      </c>
    </row>
    <row r="39" spans="1:4">
      <c r="A39" s="3">
        <v>130</v>
      </c>
      <c r="B39" s="3" t="s">
        <v>504</v>
      </c>
      <c r="C39" s="3" t="s">
        <v>504</v>
      </c>
      <c r="D39" s="3">
        <v>2013</v>
      </c>
    </row>
    <row r="40" spans="1:4">
      <c r="A40" s="2">
        <v>152</v>
      </c>
      <c r="B40" s="2" t="s">
        <v>508</v>
      </c>
      <c r="C40" s="2"/>
      <c r="D40" s="2">
        <v>2013</v>
      </c>
    </row>
    <row r="41" spans="1:4">
      <c r="A41" s="3">
        <v>121</v>
      </c>
      <c r="B41" s="3" t="s">
        <v>510</v>
      </c>
      <c r="C41" s="3" t="s">
        <v>511</v>
      </c>
      <c r="D41" s="3">
        <v>2012</v>
      </c>
    </row>
    <row r="42" spans="1:4">
      <c r="A42" s="2">
        <v>118</v>
      </c>
      <c r="B42" s="2" t="s">
        <v>514</v>
      </c>
      <c r="C42" s="2"/>
      <c r="D42" s="2">
        <v>2012</v>
      </c>
    </row>
    <row r="43" spans="1:4">
      <c r="A43" s="3">
        <v>112</v>
      </c>
      <c r="B43" s="3" t="s">
        <v>517</v>
      </c>
      <c r="C43" s="3"/>
      <c r="D43" s="3">
        <v>2010</v>
      </c>
    </row>
    <row r="44" spans="1:4">
      <c r="A44" s="2">
        <v>158</v>
      </c>
      <c r="B44" s="2" t="s">
        <v>521</v>
      </c>
      <c r="C44" s="2"/>
      <c r="D44" s="2">
        <v>2010</v>
      </c>
    </row>
    <row r="45" spans="1:4">
      <c r="A45" s="3">
        <v>124</v>
      </c>
      <c r="B45" s="3" t="s">
        <v>524</v>
      </c>
      <c r="C45" s="3" t="s">
        <v>525</v>
      </c>
      <c r="D45" s="3">
        <v>2009</v>
      </c>
    </row>
    <row r="46" spans="1:4">
      <c r="A46" s="2">
        <v>117</v>
      </c>
      <c r="B46" s="2" t="s">
        <v>528</v>
      </c>
      <c r="C46" s="2" t="s">
        <v>529</v>
      </c>
      <c r="D46" s="2">
        <v>2009</v>
      </c>
    </row>
    <row r="47" spans="1:4">
      <c r="A47" s="3">
        <v>139</v>
      </c>
      <c r="B47" s="3" t="s">
        <v>531</v>
      </c>
      <c r="C47" s="3" t="s">
        <v>532</v>
      </c>
      <c r="D47" s="3">
        <v>2009</v>
      </c>
    </row>
    <row r="48" spans="1:4">
      <c r="A48" s="2">
        <v>107</v>
      </c>
      <c r="B48" s="2" t="s">
        <v>536</v>
      </c>
      <c r="C48" s="2"/>
      <c r="D48" s="2">
        <v>2008</v>
      </c>
    </row>
    <row r="49" spans="1:4">
      <c r="A49" s="3">
        <v>102</v>
      </c>
      <c r="B49" s="3" t="s">
        <v>540</v>
      </c>
      <c r="C49" s="3"/>
      <c r="D49" s="3">
        <v>2007</v>
      </c>
    </row>
    <row r="50" spans="1:4">
      <c r="A50" s="2">
        <v>142</v>
      </c>
      <c r="B50" s="2" t="s">
        <v>543</v>
      </c>
      <c r="C50" s="2"/>
      <c r="D50" s="2">
        <v>2007</v>
      </c>
    </row>
    <row r="51" spans="1:4">
      <c r="A51" s="3">
        <v>137</v>
      </c>
      <c r="B51" s="3" t="s">
        <v>546</v>
      </c>
      <c r="C51" s="3"/>
      <c r="D51" s="3">
        <v>2006</v>
      </c>
    </row>
    <row r="52" spans="1:4">
      <c r="A52" s="2">
        <v>108</v>
      </c>
      <c r="B52" s="2" t="s">
        <v>548</v>
      </c>
      <c r="C52" s="2" t="s">
        <v>549</v>
      </c>
      <c r="D52" s="2">
        <v>2005</v>
      </c>
    </row>
    <row r="53" spans="1:4">
      <c r="A53" s="3">
        <v>164</v>
      </c>
      <c r="B53" s="3" t="s">
        <v>552</v>
      </c>
      <c r="C53" s="3"/>
      <c r="D53" s="3">
        <v>2005</v>
      </c>
    </row>
    <row r="54" spans="1:4">
      <c r="A54" s="2">
        <v>157</v>
      </c>
      <c r="B54" s="2" t="s">
        <v>556</v>
      </c>
      <c r="C54" s="2"/>
      <c r="D54" s="2">
        <v>2005</v>
      </c>
    </row>
    <row r="55" spans="1:4">
      <c r="A55" s="3">
        <v>156</v>
      </c>
      <c r="B55" s="3" t="s">
        <v>560</v>
      </c>
      <c r="C55" s="3"/>
      <c r="D55" s="3">
        <v>2005</v>
      </c>
    </row>
    <row r="56" spans="1:4">
      <c r="A56" s="2">
        <v>138</v>
      </c>
      <c r="B56" s="2" t="s">
        <v>561</v>
      </c>
      <c r="C56" s="2"/>
      <c r="D56" s="2">
        <v>2004</v>
      </c>
    </row>
    <row r="57" spans="1:4">
      <c r="A57" s="3">
        <v>125</v>
      </c>
      <c r="B57" s="3" t="s">
        <v>565</v>
      </c>
      <c r="C57" s="3" t="s">
        <v>566</v>
      </c>
      <c r="D57" s="3">
        <v>2001</v>
      </c>
    </row>
    <row r="58" spans="1:4">
      <c r="A58" s="2">
        <v>165</v>
      </c>
      <c r="B58" s="2" t="s">
        <v>568</v>
      </c>
      <c r="C58" s="2"/>
      <c r="D58" s="2">
        <v>2001</v>
      </c>
    </row>
    <row r="59" spans="1:4">
      <c r="A59" s="3">
        <v>123</v>
      </c>
      <c r="B59" s="3" t="s">
        <v>571</v>
      </c>
      <c r="C59" s="3" t="s">
        <v>572</v>
      </c>
      <c r="D59" s="3">
        <v>1998</v>
      </c>
    </row>
    <row r="60" spans="1:4">
      <c r="A60" s="2">
        <v>127</v>
      </c>
      <c r="B60" s="2" t="s">
        <v>575</v>
      </c>
      <c r="C60" s="2"/>
      <c r="D60" s="2">
        <v>1992</v>
      </c>
    </row>
    <row r="61" spans="1:4">
      <c r="A61" s="3">
        <v>131</v>
      </c>
      <c r="B61" s="3" t="s">
        <v>577</v>
      </c>
      <c r="C61" s="3" t="s">
        <v>578</v>
      </c>
      <c r="D61" s="3">
        <v>1990</v>
      </c>
    </row>
    <row r="62" spans="1:4">
      <c r="A62" s="2">
        <v>140</v>
      </c>
      <c r="B62" s="2" t="s">
        <v>580</v>
      </c>
      <c r="C62" s="2" t="s">
        <v>581</v>
      </c>
      <c r="D62" s="2">
        <v>1990</v>
      </c>
    </row>
    <row r="63" spans="1:4">
      <c r="A63" s="3">
        <v>105</v>
      </c>
      <c r="B63" s="3" t="s">
        <v>582</v>
      </c>
      <c r="C63" s="3"/>
      <c r="D63" s="3">
        <v>1982</v>
      </c>
    </row>
    <row r="64" spans="1:4">
      <c r="A64" s="2">
        <v>116</v>
      </c>
      <c r="B64" s="2" t="s">
        <v>584</v>
      </c>
      <c r="C64" s="2"/>
      <c r="D64" s="2">
        <v>1978</v>
      </c>
    </row>
    <row r="65" spans="1:4">
      <c r="A65" s="3">
        <v>163</v>
      </c>
      <c r="B65" s="3" t="s">
        <v>587</v>
      </c>
      <c r="C65" s="3" t="s">
        <v>588</v>
      </c>
      <c r="D65" s="3">
        <v>1977</v>
      </c>
    </row>
    <row r="66" spans="1:4">
      <c r="A66" s="2">
        <v>154</v>
      </c>
      <c r="B66" s="2" t="s">
        <v>589</v>
      </c>
      <c r="C66" s="2"/>
      <c r="D66" s="2">
        <v>1973</v>
      </c>
    </row>
    <row r="67" spans="1:4">
      <c r="A67" s="3">
        <v>134</v>
      </c>
      <c r="B67" s="3" t="s">
        <v>591</v>
      </c>
      <c r="C67" s="3"/>
      <c r="D67" s="3">
        <v>1966</v>
      </c>
    </row>
    <row r="68" spans="1:4">
      <c r="A68" s="2">
        <v>133</v>
      </c>
      <c r="B68" s="2" t="s">
        <v>212</v>
      </c>
      <c r="C68" s="2"/>
      <c r="D68" s="2">
        <v>1961</v>
      </c>
    </row>
    <row r="69" spans="1:4">
      <c r="A69" s="3">
        <v>113</v>
      </c>
      <c r="B69" s="3" t="s">
        <v>595</v>
      </c>
      <c r="C69" s="3" t="s">
        <v>596</v>
      </c>
      <c r="D69" s="3">
        <v>1960</v>
      </c>
    </row>
    <row r="70" spans="1:4">
      <c r="A70" s="2">
        <v>159</v>
      </c>
      <c r="B70" s="2" t="s">
        <v>598</v>
      </c>
      <c r="C70" s="2"/>
      <c r="D70" s="2">
        <v>1960</v>
      </c>
    </row>
    <row r="71" spans="1:4">
      <c r="A71" s="3">
        <v>132</v>
      </c>
      <c r="B71" s="3" t="s">
        <v>600</v>
      </c>
      <c r="C71" s="3"/>
      <c r="D71" s="3"/>
    </row>
    <row r="72" spans="1:4">
      <c r="A72" s="2">
        <v>151</v>
      </c>
      <c r="B72" s="2" t="s">
        <v>601</v>
      </c>
      <c r="C72" s="2"/>
      <c r="D7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3"/>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179</v>
      </c>
      <c r="B2" s="2" t="s">
        <v>603</v>
      </c>
      <c r="C2" s="2"/>
      <c r="D2" s="2">
        <v>2025</v>
      </c>
    </row>
    <row r="3" spans="1:4">
      <c r="A3" s="3">
        <v>177</v>
      </c>
      <c r="B3" s="3" t="s">
        <v>605</v>
      </c>
      <c r="C3" s="3"/>
      <c r="D3" s="3">
        <v>2024</v>
      </c>
    </row>
    <row r="4" spans="1:4">
      <c r="A4" s="2">
        <v>176</v>
      </c>
      <c r="B4" s="2" t="s">
        <v>609</v>
      </c>
      <c r="C4" s="2"/>
      <c r="D4" s="2">
        <v>2024</v>
      </c>
    </row>
    <row r="5" spans="1:4">
      <c r="A5" s="3">
        <v>174</v>
      </c>
      <c r="B5" s="3" t="s">
        <v>612</v>
      </c>
      <c r="C5" s="3" t="s">
        <v>613</v>
      </c>
      <c r="D5" s="3">
        <v>2023</v>
      </c>
    </row>
    <row r="6" spans="1:4">
      <c r="A6" s="2">
        <v>169</v>
      </c>
      <c r="B6" s="2" t="s">
        <v>616</v>
      </c>
      <c r="C6" s="2" t="s">
        <v>617</v>
      </c>
      <c r="D6" s="2">
        <v>2023</v>
      </c>
    </row>
    <row r="7" spans="1:4">
      <c r="A7" s="3">
        <v>170</v>
      </c>
      <c r="B7" s="3" t="s">
        <v>619</v>
      </c>
      <c r="C7" s="3" t="s">
        <v>620</v>
      </c>
      <c r="D7" s="3">
        <v>2023</v>
      </c>
    </row>
    <row r="8" spans="1:4">
      <c r="A8" s="2">
        <v>171</v>
      </c>
      <c r="B8" s="2" t="s">
        <v>622</v>
      </c>
      <c r="C8" s="2" t="s">
        <v>623</v>
      </c>
      <c r="D8" s="2">
        <v>2023</v>
      </c>
    </row>
    <row r="9" spans="1:4">
      <c r="A9" s="3">
        <v>168</v>
      </c>
      <c r="B9" s="3" t="s">
        <v>626</v>
      </c>
      <c r="C9" s="3" t="s">
        <v>627</v>
      </c>
      <c r="D9" s="3">
        <v>2023</v>
      </c>
    </row>
    <row r="10" spans="1:4">
      <c r="A10" s="2">
        <v>172</v>
      </c>
      <c r="B10" s="2" t="s">
        <v>630</v>
      </c>
      <c r="C10" s="2" t="s">
        <v>631</v>
      </c>
      <c r="D10" s="2">
        <v>2023</v>
      </c>
    </row>
    <row r="11" spans="1:4">
      <c r="A11" s="3">
        <v>173</v>
      </c>
      <c r="B11" s="3" t="s">
        <v>633</v>
      </c>
      <c r="C11" s="3" t="s">
        <v>634</v>
      </c>
      <c r="D11" s="3">
        <v>2023</v>
      </c>
    </row>
    <row r="12" spans="1:4">
      <c r="A12" s="2">
        <v>175</v>
      </c>
      <c r="B12" s="2" t="s">
        <v>636</v>
      </c>
      <c r="C12" s="2" t="s">
        <v>637</v>
      </c>
      <c r="D12" s="2">
        <v>2023</v>
      </c>
    </row>
    <row r="13" spans="1:4">
      <c r="A13" s="3">
        <v>178</v>
      </c>
      <c r="B13" s="3" t="s">
        <v>640</v>
      </c>
      <c r="C13" s="3" t="s">
        <v>641</v>
      </c>
      <c r="D13" s="3">
        <v>2008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182</v>
      </c>
      <c r="B2" s="2" t="s">
        <v>646</v>
      </c>
      <c r="C2" s="2"/>
      <c r="D2" s="2">
        <v>2024</v>
      </c>
    </row>
    <row r="3" spans="1:4">
      <c r="A3" s="3">
        <v>180</v>
      </c>
      <c r="B3" s="3" t="s">
        <v>649</v>
      </c>
      <c r="C3" s="3" t="s">
        <v>650</v>
      </c>
      <c r="D3" s="3">
        <v>2023</v>
      </c>
    </row>
    <row r="4" spans="1:4">
      <c r="A4" s="2">
        <v>181</v>
      </c>
      <c r="B4" s="2" t="s">
        <v>653</v>
      </c>
      <c r="C4" s="2" t="s">
        <v>654</v>
      </c>
      <c r="D4" s="2">
        <v>2023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183</v>
      </c>
      <c r="B2" s="2" t="s">
        <v>660</v>
      </c>
      <c r="C2" s="2"/>
      <c r="D2" s="2">
        <v>2023</v>
      </c>
    </row>
    <row r="3" spans="1:4">
      <c r="A3" s="3">
        <v>184</v>
      </c>
      <c r="B3" s="3" t="s">
        <v>662</v>
      </c>
      <c r="C3" s="3" t="s">
        <v>663</v>
      </c>
      <c r="D3" s="3">
        <v>2022</v>
      </c>
    </row>
    <row r="4" spans="1:4">
      <c r="A4" s="2">
        <v>186</v>
      </c>
      <c r="B4" s="2" t="s">
        <v>469</v>
      </c>
      <c r="C4" s="2"/>
      <c r="D4" s="2">
        <v>2021</v>
      </c>
    </row>
    <row r="5" spans="1:4">
      <c r="A5" s="3">
        <v>185</v>
      </c>
      <c r="B5" s="3" t="s">
        <v>667</v>
      </c>
      <c r="C5" s="3" t="s">
        <v>668</v>
      </c>
      <c r="D5" s="3">
        <v>2019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188</v>
      </c>
      <c r="B2" s="2" t="s">
        <v>672</v>
      </c>
      <c r="C2" s="2" t="s">
        <v>673</v>
      </c>
      <c r="D2" s="2">
        <v>2024</v>
      </c>
    </row>
    <row r="3" spans="1:4">
      <c r="A3" s="3">
        <v>187</v>
      </c>
      <c r="B3" s="3" t="s">
        <v>676</v>
      </c>
      <c r="C3" s="3" t="s">
        <v>677</v>
      </c>
      <c r="D3" s="3">
        <v>2023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203</v>
      </c>
      <c r="B2" s="2" t="s">
        <v>681</v>
      </c>
      <c r="C2" s="2" t="s">
        <v>682</v>
      </c>
      <c r="D2" s="2">
        <v>2026</v>
      </c>
    </row>
    <row r="3" spans="1:4">
      <c r="A3" s="3">
        <v>204</v>
      </c>
      <c r="B3" s="3" t="s">
        <v>685</v>
      </c>
      <c r="C3" s="3" t="s">
        <v>686</v>
      </c>
      <c r="D3" s="3">
        <v>2026</v>
      </c>
    </row>
    <row r="4" spans="1:4">
      <c r="A4" s="2">
        <v>197</v>
      </c>
      <c r="B4" s="2" t="s">
        <v>690</v>
      </c>
      <c r="C4" s="2"/>
      <c r="D4" s="2">
        <v>2025</v>
      </c>
    </row>
    <row r="5" spans="1:4">
      <c r="A5" s="3">
        <v>201</v>
      </c>
      <c r="B5" s="3" t="s">
        <v>695</v>
      </c>
      <c r="C5" s="3" t="s">
        <v>696</v>
      </c>
      <c r="D5" s="3">
        <v>2025</v>
      </c>
    </row>
    <row r="6" spans="1:4">
      <c r="A6" s="2">
        <v>198</v>
      </c>
      <c r="B6" s="2" t="s">
        <v>698</v>
      </c>
      <c r="C6" s="2"/>
      <c r="D6" s="2">
        <v>2025</v>
      </c>
    </row>
    <row r="7" spans="1:4">
      <c r="A7" s="3">
        <v>199</v>
      </c>
      <c r="B7" s="3" t="s">
        <v>702</v>
      </c>
      <c r="C7" s="3" t="s">
        <v>703</v>
      </c>
      <c r="D7" s="3">
        <v>2025</v>
      </c>
    </row>
    <row r="8" spans="1:4">
      <c r="A8" s="2">
        <v>200</v>
      </c>
      <c r="B8" s="2" t="s">
        <v>707</v>
      </c>
      <c r="C8" s="2" t="s">
        <v>708</v>
      </c>
      <c r="D8" s="2">
        <v>2025</v>
      </c>
    </row>
    <row r="9" spans="1:4">
      <c r="A9" s="3">
        <v>202</v>
      </c>
      <c r="B9" s="3" t="s">
        <v>712</v>
      </c>
      <c r="C9" s="3" t="s">
        <v>713</v>
      </c>
      <c r="D9" s="3">
        <v>2025</v>
      </c>
    </row>
    <row r="10" spans="1:4">
      <c r="A10" s="2">
        <v>190</v>
      </c>
      <c r="B10" s="2" t="s">
        <v>717</v>
      </c>
      <c r="C10" s="2"/>
      <c r="D10" s="2">
        <v>2024</v>
      </c>
    </row>
    <row r="11" spans="1:4">
      <c r="A11" s="3">
        <v>191</v>
      </c>
      <c r="B11" s="3" t="s">
        <v>719</v>
      </c>
      <c r="C11" s="3" t="s">
        <v>720</v>
      </c>
      <c r="D11" s="3">
        <v>2024</v>
      </c>
    </row>
    <row r="12" spans="1:4">
      <c r="A12" s="2">
        <v>206</v>
      </c>
      <c r="B12" s="2" t="s">
        <v>723</v>
      </c>
      <c r="C12" s="2"/>
      <c r="D12" s="2">
        <v>2024</v>
      </c>
    </row>
    <row r="13" spans="1:4">
      <c r="A13" s="3">
        <v>192</v>
      </c>
      <c r="B13" s="3" t="s">
        <v>727</v>
      </c>
      <c r="C13" s="3" t="s">
        <v>728</v>
      </c>
      <c r="D13" s="3">
        <v>2024</v>
      </c>
    </row>
    <row r="14" spans="1:4">
      <c r="A14" s="2">
        <v>193</v>
      </c>
      <c r="B14" s="2" t="s">
        <v>732</v>
      </c>
      <c r="C14" s="2"/>
      <c r="D14" s="2">
        <v>2024</v>
      </c>
    </row>
    <row r="15" spans="1:4">
      <c r="A15" s="3">
        <v>195</v>
      </c>
      <c r="B15" s="3" t="s">
        <v>734</v>
      </c>
      <c r="C15" s="3"/>
      <c r="D15" s="3">
        <v>2024</v>
      </c>
    </row>
    <row r="16" spans="1:4">
      <c r="A16" s="2">
        <v>196</v>
      </c>
      <c r="B16" s="2" t="s">
        <v>736</v>
      </c>
      <c r="C16" s="2"/>
      <c r="D16" s="2">
        <v>2024</v>
      </c>
    </row>
    <row r="17" spans="1:4">
      <c r="A17" s="3">
        <v>194</v>
      </c>
      <c r="B17" s="3" t="s">
        <v>739</v>
      </c>
      <c r="C17" s="3"/>
      <c r="D17" s="3">
        <v>2024</v>
      </c>
    </row>
    <row r="18" spans="1:4">
      <c r="A18" s="2">
        <v>189</v>
      </c>
      <c r="B18" s="2" t="s">
        <v>742</v>
      </c>
      <c r="C18" s="2" t="s">
        <v>743</v>
      </c>
      <c r="D18" s="2">
        <v>2023</v>
      </c>
    </row>
    <row r="19" spans="1:4">
      <c r="A19" s="3">
        <v>205</v>
      </c>
      <c r="B19" s="3" t="s">
        <v>746</v>
      </c>
      <c r="C19" s="3" t="s">
        <v>747</v>
      </c>
      <c r="D19" s="3">
        <v>2023</v>
      </c>
    </row>
    <row r="20" spans="1:4">
      <c r="A20" s="2">
        <v>207</v>
      </c>
      <c r="B20" s="2" t="s">
        <v>749</v>
      </c>
      <c r="C20" s="2" t="s">
        <v>750</v>
      </c>
      <c r="D20" s="2">
        <v>2019</v>
      </c>
    </row>
    <row r="21" spans="1:4">
      <c r="A21" s="3">
        <v>208</v>
      </c>
      <c r="B21" s="3" t="s">
        <v>754</v>
      </c>
      <c r="C21" s="3"/>
      <c r="D21"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209</v>
      </c>
      <c r="B2" s="2" t="s">
        <v>758</v>
      </c>
      <c r="C2" s="2"/>
      <c r="D2" s="2">
        <v>2023</v>
      </c>
    </row>
    <row r="3" spans="1:4">
      <c r="A3" s="3">
        <v>211</v>
      </c>
      <c r="B3" s="3" t="s">
        <v>760</v>
      </c>
      <c r="C3" s="3"/>
      <c r="D3" s="3">
        <v>2013</v>
      </c>
    </row>
    <row r="4" spans="1:4">
      <c r="A4" s="2">
        <v>213</v>
      </c>
      <c r="B4" s="2" t="s">
        <v>762</v>
      </c>
      <c r="C4" s="2"/>
      <c r="D4" s="2">
        <v>2000</v>
      </c>
    </row>
    <row r="5" spans="1:4">
      <c r="A5" s="3">
        <v>210</v>
      </c>
      <c r="B5" s="3" t="s">
        <v>763</v>
      </c>
      <c r="C5" s="3"/>
      <c r="D5" s="3"/>
    </row>
    <row r="6" spans="1:4">
      <c r="A6" s="2">
        <v>212</v>
      </c>
      <c r="B6" s="2" t="s">
        <v>764</v>
      </c>
      <c r="C6" s="2"/>
      <c r="D6"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98"/>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261</v>
      </c>
      <c r="B2" s="2" t="s">
        <v>766</v>
      </c>
      <c r="C2" s="2"/>
      <c r="D2" s="2">
        <v>2025</v>
      </c>
    </row>
    <row r="3" spans="1:4">
      <c r="A3" s="3">
        <v>260</v>
      </c>
      <c r="B3" s="3" t="s">
        <v>766</v>
      </c>
      <c r="C3" s="3"/>
      <c r="D3" s="3">
        <v>2024</v>
      </c>
    </row>
    <row r="4" spans="1:4">
      <c r="A4" s="2">
        <v>270</v>
      </c>
      <c r="B4" s="2" t="s">
        <v>769</v>
      </c>
      <c r="C4" s="2"/>
      <c r="D4" s="2">
        <v>2024</v>
      </c>
    </row>
    <row r="5" spans="1:4">
      <c r="A5" s="3">
        <v>274</v>
      </c>
      <c r="B5" s="3" t="s">
        <v>773</v>
      </c>
      <c r="C5" s="3" t="s">
        <v>774</v>
      </c>
      <c r="D5" s="3">
        <v>2023</v>
      </c>
    </row>
    <row r="6" spans="1:4">
      <c r="A6" s="2">
        <v>264</v>
      </c>
      <c r="B6" s="2" t="s">
        <v>775</v>
      </c>
      <c r="C6" s="2"/>
      <c r="D6" s="2">
        <v>2021</v>
      </c>
    </row>
    <row r="7" spans="1:4">
      <c r="A7" s="3">
        <v>279</v>
      </c>
      <c r="B7" s="3" t="s">
        <v>778</v>
      </c>
      <c r="C7" s="3" t="s">
        <v>779</v>
      </c>
      <c r="D7" s="3">
        <v>2021</v>
      </c>
    </row>
    <row r="8" spans="1:4">
      <c r="A8" s="2">
        <v>275</v>
      </c>
      <c r="B8" s="2" t="s">
        <v>781</v>
      </c>
      <c r="C8" s="2" t="s">
        <v>782</v>
      </c>
      <c r="D8" s="2">
        <v>2019</v>
      </c>
    </row>
    <row r="9" spans="1:4">
      <c r="A9" s="3">
        <v>256</v>
      </c>
      <c r="B9" s="3" t="s">
        <v>785</v>
      </c>
      <c r="C9" s="3" t="s">
        <v>786</v>
      </c>
      <c r="D9" s="3">
        <v>2019</v>
      </c>
    </row>
    <row r="10" spans="1:4">
      <c r="A10" s="2">
        <v>218</v>
      </c>
      <c r="B10" s="2" t="s">
        <v>789</v>
      </c>
      <c r="C10" s="2"/>
      <c r="D10" s="2">
        <v>2018</v>
      </c>
    </row>
    <row r="11" spans="1:4">
      <c r="A11" s="3">
        <v>263</v>
      </c>
      <c r="B11" s="3" t="s">
        <v>793</v>
      </c>
      <c r="C11" s="3"/>
      <c r="D11" s="3">
        <v>2018</v>
      </c>
    </row>
    <row r="12" spans="1:4">
      <c r="A12" s="2">
        <v>217</v>
      </c>
      <c r="B12" s="2" t="s">
        <v>795</v>
      </c>
      <c r="C12" s="2"/>
      <c r="D12" s="2">
        <v>2018</v>
      </c>
    </row>
    <row r="13" spans="1:4">
      <c r="A13" s="3">
        <v>277</v>
      </c>
      <c r="B13" s="3" t="s">
        <v>796</v>
      </c>
      <c r="C13" s="3" t="s">
        <v>797</v>
      </c>
      <c r="D13" s="3">
        <v>2018</v>
      </c>
    </row>
    <row r="14" spans="1:4">
      <c r="A14" s="2">
        <v>278</v>
      </c>
      <c r="B14" s="2" t="s">
        <v>800</v>
      </c>
      <c r="C14" s="2" t="s">
        <v>779</v>
      </c>
      <c r="D14" s="2">
        <v>2018</v>
      </c>
    </row>
    <row r="15" spans="1:4">
      <c r="A15" s="3">
        <v>267</v>
      </c>
      <c r="B15" s="3" t="s">
        <v>801</v>
      </c>
      <c r="C15" s="3"/>
      <c r="D15" s="3">
        <v>2016</v>
      </c>
    </row>
    <row r="16" spans="1:4">
      <c r="A16" s="2">
        <v>288</v>
      </c>
      <c r="B16" s="2" t="s">
        <v>805</v>
      </c>
      <c r="C16" s="2"/>
      <c r="D16" s="2">
        <v>2015</v>
      </c>
    </row>
    <row r="17" spans="1:4">
      <c r="A17" s="3">
        <v>286</v>
      </c>
      <c r="B17" s="3" t="s">
        <v>807</v>
      </c>
      <c r="C17" s="3"/>
      <c r="D17" s="3">
        <v>2015</v>
      </c>
    </row>
    <row r="18" spans="1:4">
      <c r="A18" s="2">
        <v>220</v>
      </c>
      <c r="B18" s="2" t="s">
        <v>810</v>
      </c>
      <c r="C18" s="2"/>
      <c r="D18" s="2">
        <v>2014</v>
      </c>
    </row>
    <row r="19" spans="1:4">
      <c r="A19" s="3">
        <v>221</v>
      </c>
      <c r="B19" s="3" t="s">
        <v>813</v>
      </c>
      <c r="C19" s="3"/>
      <c r="D19" s="3">
        <v>2014</v>
      </c>
    </row>
    <row r="20" spans="1:4">
      <c r="A20" s="2">
        <v>273</v>
      </c>
      <c r="B20" s="2" t="s">
        <v>816</v>
      </c>
      <c r="C20" s="2"/>
      <c r="D20" s="2">
        <v>2013</v>
      </c>
    </row>
    <row r="21" spans="1:4">
      <c r="A21" s="3">
        <v>251</v>
      </c>
      <c r="B21" s="3" t="s">
        <v>819</v>
      </c>
      <c r="C21" s="3"/>
      <c r="D21" s="3">
        <v>2012</v>
      </c>
    </row>
    <row r="22" spans="1:4">
      <c r="A22" s="2">
        <v>219</v>
      </c>
      <c r="B22" s="2" t="s">
        <v>822</v>
      </c>
      <c r="C22" s="2"/>
      <c r="D22" s="2">
        <v>2012</v>
      </c>
    </row>
    <row r="23" spans="1:4">
      <c r="A23" s="3">
        <v>269</v>
      </c>
      <c r="B23" s="3" t="s">
        <v>825</v>
      </c>
      <c r="C23" s="3"/>
      <c r="D23" s="3">
        <v>2012</v>
      </c>
    </row>
    <row r="24" spans="1:4">
      <c r="A24" s="2">
        <v>266</v>
      </c>
      <c r="B24" s="2" t="s">
        <v>826</v>
      </c>
      <c r="C24" s="2"/>
      <c r="D24" s="2">
        <v>2012</v>
      </c>
    </row>
    <row r="25" spans="1:4">
      <c r="A25" s="3">
        <v>262</v>
      </c>
      <c r="B25" s="3" t="s">
        <v>355</v>
      </c>
      <c r="C25" s="3"/>
      <c r="D25" s="3">
        <v>2012</v>
      </c>
    </row>
    <row r="26" spans="1:4">
      <c r="A26" s="2">
        <v>297</v>
      </c>
      <c r="B26" s="2" t="s">
        <v>833</v>
      </c>
      <c r="C26" s="2"/>
      <c r="D26" s="2">
        <v>2011</v>
      </c>
    </row>
    <row r="27" spans="1:4">
      <c r="A27" s="3">
        <v>216</v>
      </c>
      <c r="B27" s="3"/>
      <c r="C27" s="3" t="s">
        <v>641</v>
      </c>
      <c r="D27" s="3">
        <v>2010</v>
      </c>
    </row>
    <row r="28" spans="1:4">
      <c r="A28" s="2">
        <v>254</v>
      </c>
      <c r="B28" s="2" t="s">
        <v>837</v>
      </c>
      <c r="C28" s="2" t="s">
        <v>838</v>
      </c>
      <c r="D28" s="2">
        <v>2010</v>
      </c>
    </row>
    <row r="29" spans="1:4">
      <c r="A29" s="3">
        <v>276</v>
      </c>
      <c r="B29" s="3" t="s">
        <v>842</v>
      </c>
      <c r="C29" s="3"/>
      <c r="D29" s="3">
        <v>2009</v>
      </c>
    </row>
    <row r="30" spans="1:4">
      <c r="A30" s="2">
        <v>215</v>
      </c>
      <c r="B30" s="2" t="s">
        <v>844</v>
      </c>
      <c r="C30" s="2"/>
      <c r="D30" s="2">
        <v>2009</v>
      </c>
    </row>
    <row r="31" spans="1:4">
      <c r="A31" s="3">
        <v>280</v>
      </c>
      <c r="B31" s="3" t="s">
        <v>847</v>
      </c>
      <c r="C31" s="3"/>
      <c r="D31" s="3">
        <v>2007</v>
      </c>
    </row>
    <row r="32" spans="1:4">
      <c r="A32" s="2">
        <v>301</v>
      </c>
      <c r="B32" s="2" t="s">
        <v>850</v>
      </c>
      <c r="C32" s="2" t="s">
        <v>851</v>
      </c>
      <c r="D32" s="2">
        <v>2006</v>
      </c>
    </row>
    <row r="33" spans="1:4">
      <c r="A33" s="3">
        <v>289</v>
      </c>
      <c r="B33" s="3" t="s">
        <v>854</v>
      </c>
      <c r="C33" s="3" t="s">
        <v>855</v>
      </c>
      <c r="D33" s="3">
        <v>2005</v>
      </c>
    </row>
    <row r="34" spans="1:4">
      <c r="A34" s="2">
        <v>281</v>
      </c>
      <c r="B34" s="2" t="s">
        <v>856</v>
      </c>
      <c r="C34" s="2"/>
      <c r="D34" s="2">
        <v>2003</v>
      </c>
    </row>
    <row r="35" spans="1:4">
      <c r="A35" s="3">
        <v>293</v>
      </c>
      <c r="B35" s="3" t="s">
        <v>854</v>
      </c>
      <c r="C35" s="3" t="s">
        <v>855</v>
      </c>
      <c r="D35" s="3">
        <v>2001</v>
      </c>
    </row>
    <row r="36" spans="1:4">
      <c r="A36" s="2">
        <v>265</v>
      </c>
      <c r="B36" s="2" t="s">
        <v>860</v>
      </c>
      <c r="C36" s="2"/>
      <c r="D36" s="2">
        <v>2001</v>
      </c>
    </row>
    <row r="37" spans="1:4">
      <c r="A37" s="3">
        <v>303</v>
      </c>
      <c r="B37" s="3" t="s">
        <v>854</v>
      </c>
      <c r="C37" s="3" t="s">
        <v>855</v>
      </c>
      <c r="D37" s="3">
        <v>1996</v>
      </c>
    </row>
    <row r="38" spans="1:4">
      <c r="A38" s="2">
        <v>222</v>
      </c>
      <c r="B38" s="2" t="s">
        <v>864</v>
      </c>
      <c r="C38" s="2"/>
      <c r="D38" s="2">
        <v>1995</v>
      </c>
    </row>
    <row r="39" spans="1:4">
      <c r="A39" s="3">
        <v>300</v>
      </c>
      <c r="B39" s="3" t="s">
        <v>854</v>
      </c>
      <c r="C39" s="3" t="s">
        <v>855</v>
      </c>
      <c r="D39" s="3">
        <v>1992</v>
      </c>
    </row>
    <row r="40" spans="1:4">
      <c r="A40" s="2">
        <v>285</v>
      </c>
      <c r="B40" s="2" t="s">
        <v>854</v>
      </c>
      <c r="C40" s="2" t="s">
        <v>855</v>
      </c>
      <c r="D40" s="2">
        <v>1989</v>
      </c>
    </row>
    <row r="41" spans="1:4">
      <c r="A41" s="3">
        <v>252</v>
      </c>
      <c r="B41" s="3" t="s">
        <v>869</v>
      </c>
      <c r="C41" s="3"/>
      <c r="D41" s="3">
        <v>1986</v>
      </c>
    </row>
    <row r="42" spans="1:4">
      <c r="A42" s="2">
        <v>214</v>
      </c>
      <c r="B42" s="2" t="s">
        <v>870</v>
      </c>
      <c r="C42" s="2"/>
      <c r="D42" s="2">
        <v>1980</v>
      </c>
    </row>
    <row r="43" spans="1:4">
      <c r="A43" s="3">
        <v>295</v>
      </c>
      <c r="B43" s="3" t="s">
        <v>854</v>
      </c>
      <c r="C43" s="3" t="s">
        <v>855</v>
      </c>
      <c r="D43" s="3">
        <v>1978</v>
      </c>
    </row>
    <row r="44" spans="1:4">
      <c r="A44" s="2">
        <v>272</v>
      </c>
      <c r="B44" s="2" t="s">
        <v>873</v>
      </c>
      <c r="C44" s="2"/>
      <c r="D44" s="2">
        <v>1971</v>
      </c>
    </row>
    <row r="45" spans="1:4">
      <c r="A45" s="3">
        <v>257</v>
      </c>
      <c r="B45" s="3" t="s">
        <v>876</v>
      </c>
      <c r="C45" s="3"/>
      <c r="D45" s="3">
        <v>1959</v>
      </c>
    </row>
    <row r="46" spans="1:4">
      <c r="A46" s="2">
        <v>292</v>
      </c>
      <c r="B46" s="2" t="s">
        <v>854</v>
      </c>
      <c r="C46" s="2" t="s">
        <v>855</v>
      </c>
      <c r="D46" s="2">
        <v>1957</v>
      </c>
    </row>
    <row r="47" spans="1:4">
      <c r="A47" s="3">
        <v>284</v>
      </c>
      <c r="B47" s="3" t="s">
        <v>854</v>
      </c>
      <c r="C47" s="3" t="s">
        <v>855</v>
      </c>
      <c r="D47" s="3">
        <v>1950</v>
      </c>
    </row>
    <row r="48" spans="1:4">
      <c r="A48" s="2">
        <v>258</v>
      </c>
      <c r="B48" s="2" t="s">
        <v>882</v>
      </c>
      <c r="C48" s="2"/>
      <c r="D48" s="2"/>
    </row>
    <row r="49" spans="1:4">
      <c r="A49" s="3">
        <v>229</v>
      </c>
      <c r="B49" s="3" t="s">
        <v>884</v>
      </c>
      <c r="C49" s="3"/>
      <c r="D49" s="3"/>
    </row>
    <row r="50" spans="1:4">
      <c r="A50" s="2">
        <v>282</v>
      </c>
      <c r="B50" s="2" t="s">
        <v>885</v>
      </c>
      <c r="C50" s="2" t="s">
        <v>886</v>
      </c>
      <c r="D50" s="2"/>
    </row>
    <row r="51" spans="1:4">
      <c r="A51" s="3">
        <v>228</v>
      </c>
      <c r="B51" s="3" t="s">
        <v>888</v>
      </c>
      <c r="C51" s="3"/>
      <c r="D51" s="3"/>
    </row>
    <row r="52" spans="1:4">
      <c r="A52" s="2">
        <v>247</v>
      </c>
      <c r="B52" s="2" t="s">
        <v>889</v>
      </c>
      <c r="C52" s="2"/>
      <c r="D52" s="2"/>
    </row>
    <row r="53" spans="1:4">
      <c r="A53" s="3">
        <v>241</v>
      </c>
      <c r="B53" s="3" t="s">
        <v>890</v>
      </c>
      <c r="C53" s="3"/>
      <c r="D53" s="3"/>
    </row>
    <row r="54" spans="1:4">
      <c r="A54" s="2">
        <v>244</v>
      </c>
      <c r="B54" s="2" t="s">
        <v>891</v>
      </c>
      <c r="C54" s="2"/>
      <c r="D54" s="2"/>
    </row>
    <row r="55" spans="1:4">
      <c r="A55" s="3">
        <v>245</v>
      </c>
      <c r="B55" s="3" t="s">
        <v>892</v>
      </c>
      <c r="C55" s="3"/>
      <c r="D55" s="3"/>
    </row>
    <row r="56" spans="1:4">
      <c r="A56" s="2">
        <v>226</v>
      </c>
      <c r="B56" s="2" t="s">
        <v>893</v>
      </c>
      <c r="C56" s="2"/>
      <c r="D56" s="2"/>
    </row>
    <row r="57" spans="1:4">
      <c r="A57" s="3">
        <v>253</v>
      </c>
      <c r="B57" s="3" t="s">
        <v>894</v>
      </c>
      <c r="C57" s="3" t="s">
        <v>895</v>
      </c>
      <c r="D57" s="3"/>
    </row>
    <row r="58" spans="1:4">
      <c r="A58" s="2">
        <v>235</v>
      </c>
      <c r="B58" s="2" t="s">
        <v>896</v>
      </c>
      <c r="C58" s="2"/>
      <c r="D58" s="2"/>
    </row>
    <row r="59" spans="1:4">
      <c r="A59" s="3">
        <v>246</v>
      </c>
      <c r="B59" s="3" t="s">
        <v>897</v>
      </c>
      <c r="C59" s="3"/>
      <c r="D59" s="3"/>
    </row>
    <row r="60" spans="1:4">
      <c r="A60" s="2">
        <v>283</v>
      </c>
      <c r="B60" s="2" t="s">
        <v>854</v>
      </c>
      <c r="C60" s="2" t="s">
        <v>855</v>
      </c>
      <c r="D60" s="2"/>
    </row>
    <row r="61" spans="1:4">
      <c r="A61" s="3">
        <v>290</v>
      </c>
      <c r="B61" s="3" t="s">
        <v>854</v>
      </c>
      <c r="C61" s="3" t="s">
        <v>855</v>
      </c>
      <c r="D61" s="3"/>
    </row>
    <row r="62" spans="1:4">
      <c r="A62" s="2">
        <v>291</v>
      </c>
      <c r="B62" s="2" t="s">
        <v>854</v>
      </c>
      <c r="C62" s="2" t="s">
        <v>855</v>
      </c>
      <c r="D62" s="2"/>
    </row>
    <row r="63" spans="1:4">
      <c r="A63" s="3">
        <v>294</v>
      </c>
      <c r="B63" s="3" t="s">
        <v>854</v>
      </c>
      <c r="C63" s="3" t="s">
        <v>855</v>
      </c>
      <c r="D63" s="3"/>
    </row>
    <row r="64" spans="1:4">
      <c r="A64" s="2">
        <v>296</v>
      </c>
      <c r="B64" s="2" t="s">
        <v>854</v>
      </c>
      <c r="C64" s="2" t="s">
        <v>855</v>
      </c>
      <c r="D64" s="2"/>
    </row>
    <row r="65" spans="1:4">
      <c r="A65" s="3">
        <v>298</v>
      </c>
      <c r="B65" s="3" t="s">
        <v>854</v>
      </c>
      <c r="C65" s="3" t="s">
        <v>855</v>
      </c>
      <c r="D65" s="3"/>
    </row>
    <row r="66" spans="1:4">
      <c r="A66" s="2">
        <v>299</v>
      </c>
      <c r="B66" s="2" t="s">
        <v>854</v>
      </c>
      <c r="C66" s="2" t="s">
        <v>855</v>
      </c>
      <c r="D66" s="2"/>
    </row>
    <row r="67" spans="1:4">
      <c r="A67" s="3">
        <v>304</v>
      </c>
      <c r="B67" s="3" t="s">
        <v>854</v>
      </c>
      <c r="C67" s="3" t="s">
        <v>855</v>
      </c>
      <c r="D67" s="3"/>
    </row>
    <row r="68" spans="1:4">
      <c r="A68" s="2">
        <v>305</v>
      </c>
      <c r="B68" s="2" t="s">
        <v>854</v>
      </c>
      <c r="C68" s="2" t="s">
        <v>855</v>
      </c>
      <c r="D68" s="2"/>
    </row>
    <row r="69" spans="1:4">
      <c r="A69" s="3">
        <v>306</v>
      </c>
      <c r="B69" s="3" t="s">
        <v>854</v>
      </c>
      <c r="C69" s="3" t="s">
        <v>855</v>
      </c>
      <c r="D69" s="3"/>
    </row>
    <row r="70" spans="1:4">
      <c r="A70" s="2">
        <v>307</v>
      </c>
      <c r="B70" s="2" t="s">
        <v>854</v>
      </c>
      <c r="C70" s="2" t="s">
        <v>855</v>
      </c>
      <c r="D70" s="2"/>
    </row>
    <row r="71" spans="1:4">
      <c r="A71" s="3">
        <v>308</v>
      </c>
      <c r="B71" s="3" t="s">
        <v>854</v>
      </c>
      <c r="C71" s="3" t="s">
        <v>855</v>
      </c>
      <c r="D71" s="3"/>
    </row>
    <row r="72" spans="1:4">
      <c r="A72" s="2">
        <v>309</v>
      </c>
      <c r="B72" s="2" t="s">
        <v>854</v>
      </c>
      <c r="C72" s="2" t="s">
        <v>855</v>
      </c>
      <c r="D72" s="2"/>
    </row>
    <row r="73" spans="1:4">
      <c r="A73" s="3">
        <v>310</v>
      </c>
      <c r="B73" s="3" t="s">
        <v>854</v>
      </c>
      <c r="C73" s="3" t="s">
        <v>855</v>
      </c>
      <c r="D73" s="3"/>
    </row>
    <row r="74" spans="1:4">
      <c r="A74" s="2">
        <v>255</v>
      </c>
      <c r="B74" s="2" t="s">
        <v>915</v>
      </c>
      <c r="C74" s="2"/>
      <c r="D74" s="2"/>
    </row>
    <row r="75" spans="1:4">
      <c r="A75" s="3">
        <v>302</v>
      </c>
      <c r="B75" s="3" t="s">
        <v>916</v>
      </c>
      <c r="C75" s="3" t="s">
        <v>917</v>
      </c>
      <c r="D75" s="3"/>
    </row>
    <row r="76" spans="1:4">
      <c r="A76" s="2">
        <v>230</v>
      </c>
      <c r="B76" s="2" t="s">
        <v>920</v>
      </c>
      <c r="C76" s="2" t="s">
        <v>921</v>
      </c>
      <c r="D76" s="2"/>
    </row>
    <row r="77" spans="1:4">
      <c r="A77" s="3">
        <v>231</v>
      </c>
      <c r="B77" s="3" t="s">
        <v>923</v>
      </c>
      <c r="C77" s="3"/>
      <c r="D77" s="3"/>
    </row>
    <row r="78" spans="1:4">
      <c r="A78" s="2">
        <v>259</v>
      </c>
      <c r="B78" s="2" t="s">
        <v>924</v>
      </c>
      <c r="C78" s="2"/>
      <c r="D78" s="2"/>
    </row>
    <row r="79" spans="1:4">
      <c r="A79" s="3">
        <v>250</v>
      </c>
      <c r="B79" s="3" t="s">
        <v>926</v>
      </c>
      <c r="C79" s="3"/>
      <c r="D79" s="3"/>
    </row>
    <row r="80" spans="1:4">
      <c r="A80" s="2">
        <v>249</v>
      </c>
      <c r="B80" s="2" t="s">
        <v>927</v>
      </c>
      <c r="C80" s="2"/>
      <c r="D80" s="2"/>
    </row>
    <row r="81" spans="1:4">
      <c r="A81" s="3">
        <v>236</v>
      </c>
      <c r="B81" s="3" t="s">
        <v>928</v>
      </c>
      <c r="C81" s="3"/>
      <c r="D81" s="3"/>
    </row>
    <row r="82" spans="1:4">
      <c r="A82" s="2">
        <v>287</v>
      </c>
      <c r="B82" s="2" t="s">
        <v>929</v>
      </c>
      <c r="C82" s="2" t="s">
        <v>930</v>
      </c>
      <c r="D82" s="2"/>
    </row>
    <row r="83" spans="1:4">
      <c r="A83" s="3">
        <v>225</v>
      </c>
      <c r="B83" s="3" t="s">
        <v>932</v>
      </c>
      <c r="C83" s="3"/>
      <c r="D83" s="3"/>
    </row>
    <row r="84" spans="1:4">
      <c r="A84" s="2">
        <v>232</v>
      </c>
      <c r="B84" s="2" t="s">
        <v>933</v>
      </c>
      <c r="C84" s="2"/>
      <c r="D84" s="2"/>
    </row>
    <row r="85" spans="1:4">
      <c r="A85" s="3">
        <v>268</v>
      </c>
      <c r="B85" s="3" t="s">
        <v>934</v>
      </c>
      <c r="C85" s="3"/>
      <c r="D85" s="3"/>
    </row>
    <row r="86" spans="1:4">
      <c r="A86" s="2">
        <v>271</v>
      </c>
      <c r="B86" s="2" t="s">
        <v>935</v>
      </c>
      <c r="C86" s="2"/>
      <c r="D86" s="2"/>
    </row>
    <row r="87" spans="1:4">
      <c r="A87" s="3">
        <v>234</v>
      </c>
      <c r="B87" s="3" t="s">
        <v>936</v>
      </c>
      <c r="C87" s="3"/>
      <c r="D87" s="3"/>
    </row>
    <row r="88" spans="1:4">
      <c r="A88" s="2">
        <v>233</v>
      </c>
      <c r="B88" s="2" t="s">
        <v>937</v>
      </c>
      <c r="C88" s="2"/>
      <c r="D88" s="2"/>
    </row>
    <row r="89" spans="1:4">
      <c r="A89" s="3">
        <v>227</v>
      </c>
      <c r="B89" s="3" t="s">
        <v>938</v>
      </c>
      <c r="C89" s="3"/>
      <c r="D89" s="3"/>
    </row>
    <row r="90" spans="1:4">
      <c r="A90" s="2">
        <v>242</v>
      </c>
      <c r="B90" s="2" t="s">
        <v>939</v>
      </c>
      <c r="C90" s="2"/>
      <c r="D90" s="2"/>
    </row>
    <row r="91" spans="1:4">
      <c r="A91" s="3">
        <v>248</v>
      </c>
      <c r="B91" s="3" t="s">
        <v>940</v>
      </c>
      <c r="C91" s="3"/>
      <c r="D91" s="3"/>
    </row>
    <row r="92" spans="1:4">
      <c r="A92" s="2">
        <v>243</v>
      </c>
      <c r="B92" s="2" t="s">
        <v>941</v>
      </c>
      <c r="C92" s="2"/>
      <c r="D92" s="2"/>
    </row>
    <row r="93" spans="1:4">
      <c r="A93" s="3">
        <v>224</v>
      </c>
      <c r="B93" s="3" t="s">
        <v>942</v>
      </c>
      <c r="C93" s="3"/>
      <c r="D93" s="3"/>
    </row>
    <row r="94" spans="1:4">
      <c r="A94" s="2">
        <v>223</v>
      </c>
      <c r="B94" s="2" t="s">
        <v>943</v>
      </c>
      <c r="C94" s="2"/>
      <c r="D94" s="2"/>
    </row>
    <row r="95" spans="1:4">
      <c r="A95" s="3">
        <v>237</v>
      </c>
      <c r="B95" s="3" t="s">
        <v>944</v>
      </c>
      <c r="C95" s="3"/>
      <c r="D95" s="3"/>
    </row>
    <row r="96" spans="1:4">
      <c r="A96" s="2">
        <v>239</v>
      </c>
      <c r="B96" s="2" t="s">
        <v>945</v>
      </c>
      <c r="C96" s="2"/>
      <c r="D96" s="2"/>
    </row>
    <row r="97" spans="1:4">
      <c r="A97" s="3">
        <v>240</v>
      </c>
      <c r="B97" s="3" t="s">
        <v>946</v>
      </c>
      <c r="C97" s="3"/>
      <c r="D97" s="3"/>
    </row>
    <row r="98" spans="1:4">
      <c r="A98" s="2">
        <v>238</v>
      </c>
      <c r="B98" s="2" t="s">
        <v>947</v>
      </c>
      <c r="C98" s="2"/>
      <c r="D98"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4"/>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312</v>
      </c>
      <c r="B2" s="2" t="s">
        <v>949</v>
      </c>
      <c r="C2" s="2"/>
      <c r="D2" s="2">
        <v>2023</v>
      </c>
    </row>
    <row r="3" spans="1:4">
      <c r="A3" s="3">
        <v>311</v>
      </c>
      <c r="B3" s="3" t="s">
        <v>954</v>
      </c>
      <c r="C3" s="3" t="s">
        <v>955</v>
      </c>
      <c r="D3" s="3">
        <v>2023</v>
      </c>
    </row>
    <row r="4" spans="1:4">
      <c r="A4" s="2">
        <v>313</v>
      </c>
      <c r="B4" s="2" t="s">
        <v>960</v>
      </c>
      <c r="C4" s="2" t="s">
        <v>961</v>
      </c>
      <c r="D4" s="2">
        <v>2018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32"/>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329</v>
      </c>
      <c r="B2" s="2" t="s">
        <v>965</v>
      </c>
      <c r="C2" s="2" t="s">
        <v>966</v>
      </c>
      <c r="D2" s="2">
        <v>2026</v>
      </c>
    </row>
    <row r="3" spans="1:4">
      <c r="A3" s="3">
        <v>334</v>
      </c>
      <c r="B3" s="3" t="s">
        <v>970</v>
      </c>
      <c r="C3" s="3"/>
      <c r="D3" s="3">
        <v>2026</v>
      </c>
    </row>
    <row r="4" spans="1:4">
      <c r="A4" s="2">
        <v>330</v>
      </c>
      <c r="B4" s="2" t="s">
        <v>974</v>
      </c>
      <c r="C4" s="2" t="s">
        <v>975</v>
      </c>
      <c r="D4" s="2">
        <v>2026</v>
      </c>
    </row>
    <row r="5" spans="1:4">
      <c r="A5" s="3">
        <v>343</v>
      </c>
      <c r="B5" s="3" t="s">
        <v>977</v>
      </c>
      <c r="C5" s="3" t="s">
        <v>978</v>
      </c>
      <c r="D5" s="3">
        <v>2026</v>
      </c>
    </row>
    <row r="6" spans="1:4">
      <c r="A6" s="2">
        <v>331</v>
      </c>
      <c r="B6" s="2" t="s">
        <v>982</v>
      </c>
      <c r="C6" s="2" t="s">
        <v>983</v>
      </c>
      <c r="D6" s="2">
        <v>2026</v>
      </c>
    </row>
    <row r="7" spans="1:4">
      <c r="A7" s="3">
        <v>332</v>
      </c>
      <c r="B7" s="3" t="s">
        <v>986</v>
      </c>
      <c r="C7" s="3" t="s">
        <v>987</v>
      </c>
      <c r="D7" s="3">
        <v>2026</v>
      </c>
    </row>
    <row r="8" spans="1:4">
      <c r="A8" s="2">
        <v>333</v>
      </c>
      <c r="B8" s="2" t="s">
        <v>989</v>
      </c>
      <c r="C8" s="2" t="s">
        <v>990</v>
      </c>
      <c r="D8" s="2">
        <v>2026</v>
      </c>
    </row>
    <row r="9" spans="1:4">
      <c r="A9" s="3">
        <v>336</v>
      </c>
      <c r="B9" s="3" t="s">
        <v>992</v>
      </c>
      <c r="C9" s="3" t="s">
        <v>993</v>
      </c>
      <c r="D9" s="3">
        <v>2026</v>
      </c>
    </row>
    <row r="10" spans="1:4">
      <c r="A10" s="2">
        <v>338</v>
      </c>
      <c r="B10" s="2" t="s">
        <v>996</v>
      </c>
      <c r="C10" s="2"/>
      <c r="D10" s="2">
        <v>2026</v>
      </c>
    </row>
    <row r="11" spans="1:4">
      <c r="A11" s="3">
        <v>340</v>
      </c>
      <c r="B11" s="3" t="s">
        <v>1000</v>
      </c>
      <c r="C11" s="3"/>
      <c r="D11" s="3">
        <v>2026</v>
      </c>
    </row>
    <row r="12" spans="1:4">
      <c r="A12" s="2">
        <v>344</v>
      </c>
      <c r="B12" s="2" t="s">
        <v>1003</v>
      </c>
      <c r="C12" s="2" t="s">
        <v>1004</v>
      </c>
      <c r="D12" s="2">
        <v>2025</v>
      </c>
    </row>
    <row r="13" spans="1:4">
      <c r="A13" s="3">
        <v>324</v>
      </c>
      <c r="B13" s="3" t="s">
        <v>1008</v>
      </c>
      <c r="C13" s="3" t="s">
        <v>1009</v>
      </c>
      <c r="D13" s="3">
        <v>2025</v>
      </c>
    </row>
    <row r="14" spans="1:4">
      <c r="A14" s="2">
        <v>322</v>
      </c>
      <c r="B14" s="2" t="s">
        <v>1012</v>
      </c>
      <c r="C14" s="2" t="s">
        <v>1013</v>
      </c>
      <c r="D14" s="2">
        <v>2025</v>
      </c>
    </row>
    <row r="15" spans="1:4">
      <c r="A15" s="3">
        <v>323</v>
      </c>
      <c r="B15" s="3" t="s">
        <v>1016</v>
      </c>
      <c r="C15" s="3" t="s">
        <v>1017</v>
      </c>
      <c r="D15" s="3">
        <v>2025</v>
      </c>
    </row>
    <row r="16" spans="1:4">
      <c r="A16" s="2">
        <v>325</v>
      </c>
      <c r="B16" s="2" t="s">
        <v>1020</v>
      </c>
      <c r="C16" s="2" t="s">
        <v>1021</v>
      </c>
      <c r="D16" s="2">
        <v>2025</v>
      </c>
    </row>
    <row r="17" spans="1:4">
      <c r="A17" s="3">
        <v>326</v>
      </c>
      <c r="B17" s="3" t="s">
        <v>1022</v>
      </c>
      <c r="C17" s="3" t="s">
        <v>1023</v>
      </c>
      <c r="D17" s="3">
        <v>2025</v>
      </c>
    </row>
    <row r="18" spans="1:4">
      <c r="A18" s="2">
        <v>327</v>
      </c>
      <c r="B18" s="2" t="s">
        <v>1025</v>
      </c>
      <c r="C18" s="2"/>
      <c r="D18" s="2">
        <v>2025</v>
      </c>
    </row>
    <row r="19" spans="1:4">
      <c r="A19" s="3">
        <v>328</v>
      </c>
      <c r="B19" s="3" t="s">
        <v>1026</v>
      </c>
      <c r="C19" s="3"/>
      <c r="D19" s="3">
        <v>2025</v>
      </c>
    </row>
    <row r="20" spans="1:4">
      <c r="A20" s="2">
        <v>316</v>
      </c>
      <c r="B20" s="2" t="s">
        <v>1028</v>
      </c>
      <c r="C20" s="2" t="s">
        <v>1029</v>
      </c>
      <c r="D20" s="2">
        <v>2024</v>
      </c>
    </row>
    <row r="21" spans="1:4">
      <c r="A21" s="3">
        <v>317</v>
      </c>
      <c r="B21" s="3" t="s">
        <v>1030</v>
      </c>
      <c r="C21" s="3"/>
      <c r="D21" s="3">
        <v>2024</v>
      </c>
    </row>
    <row r="22" spans="1:4">
      <c r="A22" s="2">
        <v>318</v>
      </c>
      <c r="B22" s="2" t="s">
        <v>1032</v>
      </c>
      <c r="C22" s="2"/>
      <c r="D22" s="2">
        <v>2024</v>
      </c>
    </row>
    <row r="23" spans="1:4">
      <c r="A23" s="3">
        <v>319</v>
      </c>
      <c r="B23" s="3" t="s">
        <v>1035</v>
      </c>
      <c r="C23" s="3"/>
      <c r="D23" s="3">
        <v>2024</v>
      </c>
    </row>
    <row r="24" spans="1:4">
      <c r="A24" s="2">
        <v>320</v>
      </c>
      <c r="B24" s="2" t="s">
        <v>1039</v>
      </c>
      <c r="C24" s="2"/>
      <c r="D24" s="2">
        <v>2024</v>
      </c>
    </row>
    <row r="25" spans="1:4">
      <c r="A25" s="3">
        <v>337</v>
      </c>
      <c r="B25" s="3" t="s">
        <v>1042</v>
      </c>
      <c r="C25" s="3"/>
      <c r="D25" s="3">
        <v>2024</v>
      </c>
    </row>
    <row r="26" spans="1:4">
      <c r="A26" s="2">
        <v>315</v>
      </c>
      <c r="B26" s="2" t="s">
        <v>1046</v>
      </c>
      <c r="C26" s="2"/>
      <c r="D26" s="2">
        <v>2024</v>
      </c>
    </row>
    <row r="27" spans="1:4">
      <c r="A27" s="3">
        <v>321</v>
      </c>
      <c r="B27" s="3" t="s">
        <v>1048</v>
      </c>
      <c r="C27" s="3"/>
      <c r="D27" s="3">
        <v>2024</v>
      </c>
    </row>
    <row r="28" spans="1:4">
      <c r="A28" s="2">
        <v>314</v>
      </c>
      <c r="B28" s="2" t="s">
        <v>1050</v>
      </c>
      <c r="C28" s="2"/>
      <c r="D28" s="2">
        <v>2020</v>
      </c>
    </row>
    <row r="29" spans="1:4">
      <c r="A29" s="3">
        <v>341</v>
      </c>
      <c r="B29" s="3" t="s">
        <v>1052</v>
      </c>
      <c r="C29" s="3" t="s">
        <v>1053</v>
      </c>
      <c r="D29" s="3"/>
    </row>
    <row r="30" spans="1:4">
      <c r="A30" s="2">
        <v>342</v>
      </c>
      <c r="B30" s="2" t="s">
        <v>854</v>
      </c>
      <c r="C30" s="2" t="s">
        <v>855</v>
      </c>
      <c r="D30" s="2"/>
    </row>
    <row r="31" spans="1:4">
      <c r="A31" s="3">
        <v>335</v>
      </c>
      <c r="B31" s="3" t="s">
        <v>1057</v>
      </c>
      <c r="C31" s="3"/>
      <c r="D31" s="3"/>
    </row>
    <row r="32" spans="1:4">
      <c r="A32" s="2">
        <v>339</v>
      </c>
      <c r="B32" s="2" t="s">
        <v>1058</v>
      </c>
      <c r="C32" s="2"/>
      <c r="D32"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58"/>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387</v>
      </c>
      <c r="B2" s="2" t="s">
        <v>1060</v>
      </c>
      <c r="C2" s="2"/>
      <c r="D2" s="2">
        <v>2025</v>
      </c>
    </row>
    <row r="3" spans="1:4">
      <c r="A3" s="3">
        <v>360</v>
      </c>
      <c r="B3" s="3" t="s">
        <v>1061</v>
      </c>
      <c r="C3" s="3"/>
      <c r="D3" s="3">
        <v>2025</v>
      </c>
    </row>
    <row r="4" spans="1:4">
      <c r="A4" s="2">
        <v>370</v>
      </c>
      <c r="B4" s="2" t="s">
        <v>1062</v>
      </c>
      <c r="C4" s="2"/>
      <c r="D4" s="2">
        <v>2025</v>
      </c>
    </row>
    <row r="5" spans="1:4">
      <c r="A5" s="3">
        <v>372</v>
      </c>
      <c r="B5" s="3" t="s">
        <v>1063</v>
      </c>
      <c r="C5" s="3"/>
      <c r="D5" s="3">
        <v>2025</v>
      </c>
    </row>
    <row r="6" spans="1:4">
      <c r="A6" s="2">
        <v>399</v>
      </c>
      <c r="B6" s="2" t="s">
        <v>1064</v>
      </c>
      <c r="C6" s="2"/>
      <c r="D6" s="2">
        <v>2000</v>
      </c>
    </row>
    <row r="7" spans="1:4">
      <c r="A7" s="3">
        <v>401</v>
      </c>
      <c r="B7" s="3" t="s">
        <v>1065</v>
      </c>
      <c r="C7" s="3"/>
      <c r="D7" s="3">
        <v>2000</v>
      </c>
    </row>
    <row r="8" spans="1:4">
      <c r="A8" s="2">
        <v>400</v>
      </c>
      <c r="B8" s="2" t="s">
        <v>1066</v>
      </c>
      <c r="C8" s="2"/>
      <c r="D8" s="2">
        <v>2000</v>
      </c>
    </row>
    <row r="9" spans="1:4">
      <c r="A9" s="3">
        <v>397</v>
      </c>
      <c r="B9" s="3" t="s">
        <v>1067</v>
      </c>
      <c r="C9" s="3"/>
      <c r="D9" s="3"/>
    </row>
    <row r="10" spans="1:4">
      <c r="A10" s="2">
        <v>392</v>
      </c>
      <c r="B10" s="2" t="s">
        <v>1068</v>
      </c>
      <c r="C10" s="2"/>
      <c r="D10" s="2"/>
    </row>
    <row r="11" spans="1:4">
      <c r="A11" s="3">
        <v>396</v>
      </c>
      <c r="B11" s="3" t="s">
        <v>1068</v>
      </c>
      <c r="C11" s="3"/>
      <c r="D11" s="3"/>
    </row>
    <row r="12" spans="1:4">
      <c r="A12" s="2">
        <v>347</v>
      </c>
      <c r="B12" s="2" t="s">
        <v>1069</v>
      </c>
      <c r="C12" s="2"/>
      <c r="D12" s="2"/>
    </row>
    <row r="13" spans="1:4">
      <c r="A13" s="3">
        <v>381</v>
      </c>
      <c r="B13" s="3" t="s">
        <v>1070</v>
      </c>
      <c r="C13" s="3"/>
      <c r="D13" s="3"/>
    </row>
    <row r="14" spans="1:4">
      <c r="A14" s="2">
        <v>359</v>
      </c>
      <c r="B14" s="2" t="s">
        <v>1071</v>
      </c>
      <c r="C14" s="2"/>
      <c r="D14" s="2"/>
    </row>
    <row r="15" spans="1:4">
      <c r="A15" s="3">
        <v>382</v>
      </c>
      <c r="B15" s="3" t="s">
        <v>1072</v>
      </c>
      <c r="C15" s="3"/>
      <c r="D15" s="3"/>
    </row>
    <row r="16" spans="1:4">
      <c r="A16" s="2">
        <v>383</v>
      </c>
      <c r="B16" s="2" t="s">
        <v>1072</v>
      </c>
      <c r="C16" s="2"/>
      <c r="D16" s="2"/>
    </row>
    <row r="17" spans="1:4">
      <c r="A17" s="3">
        <v>384</v>
      </c>
      <c r="B17" s="3" t="s">
        <v>1072</v>
      </c>
      <c r="C17" s="3"/>
      <c r="D17" s="3"/>
    </row>
    <row r="18" spans="1:4">
      <c r="A18" s="2">
        <v>385</v>
      </c>
      <c r="B18" s="2" t="s">
        <v>1072</v>
      </c>
      <c r="C18" s="2"/>
      <c r="D18" s="2"/>
    </row>
    <row r="19" spans="1:4">
      <c r="A19" s="3">
        <v>386</v>
      </c>
      <c r="B19" s="3" t="s">
        <v>1072</v>
      </c>
      <c r="C19" s="3"/>
      <c r="D19" s="3"/>
    </row>
    <row r="20" spans="1:4">
      <c r="A20" s="2">
        <v>355</v>
      </c>
      <c r="B20" s="2" t="s">
        <v>1073</v>
      </c>
      <c r="C20" s="2"/>
      <c r="D20" s="2"/>
    </row>
    <row r="21" spans="1:4">
      <c r="A21" s="3">
        <v>358</v>
      </c>
      <c r="B21" s="3" t="s">
        <v>1074</v>
      </c>
      <c r="C21" s="3"/>
      <c r="D21" s="3"/>
    </row>
    <row r="22" spans="1:4">
      <c r="A22" s="2">
        <v>345</v>
      </c>
      <c r="B22" s="2" t="s">
        <v>1075</v>
      </c>
      <c r="C22" s="2"/>
      <c r="D22" s="2"/>
    </row>
    <row r="23" spans="1:4">
      <c r="A23" s="3">
        <v>346</v>
      </c>
      <c r="B23" s="3" t="s">
        <v>1076</v>
      </c>
      <c r="C23" s="3"/>
      <c r="D23" s="3"/>
    </row>
    <row r="24" spans="1:4">
      <c r="A24" s="2">
        <v>348</v>
      </c>
      <c r="B24" s="2" t="s">
        <v>1077</v>
      </c>
      <c r="C24" s="2"/>
      <c r="D24" s="2"/>
    </row>
    <row r="25" spans="1:4">
      <c r="A25" s="3">
        <v>350</v>
      </c>
      <c r="B25" s="3" t="s">
        <v>1078</v>
      </c>
      <c r="C25" s="3"/>
      <c r="D25" s="3"/>
    </row>
    <row r="26" spans="1:4">
      <c r="A26" s="2">
        <v>351</v>
      </c>
      <c r="B26" s="2" t="s">
        <v>1079</v>
      </c>
      <c r="C26" s="2"/>
      <c r="D26" s="2"/>
    </row>
    <row r="27" spans="1:4">
      <c r="A27" s="3">
        <v>352</v>
      </c>
      <c r="B27" s="3" t="s">
        <v>1080</v>
      </c>
      <c r="C27" s="3"/>
      <c r="D27" s="3"/>
    </row>
    <row r="28" spans="1:4">
      <c r="A28" s="2">
        <v>353</v>
      </c>
      <c r="B28" s="2" t="s">
        <v>1081</v>
      </c>
      <c r="C28" s="2"/>
      <c r="D28" s="2"/>
    </row>
    <row r="29" spans="1:4">
      <c r="A29" s="3">
        <v>357</v>
      </c>
      <c r="B29" s="3" t="s">
        <v>1082</v>
      </c>
      <c r="C29" s="3"/>
      <c r="D29" s="3"/>
    </row>
    <row r="30" spans="1:4">
      <c r="A30" s="2">
        <v>367</v>
      </c>
      <c r="B30" s="2" t="s">
        <v>1083</v>
      </c>
      <c r="C30" s="2"/>
      <c r="D30" s="2"/>
    </row>
    <row r="31" spans="1:4">
      <c r="A31" s="3">
        <v>349</v>
      </c>
      <c r="B31" s="3" t="s">
        <v>1084</v>
      </c>
      <c r="C31" s="3"/>
      <c r="D31" s="3"/>
    </row>
    <row r="32" spans="1:4">
      <c r="A32" s="2">
        <v>354</v>
      </c>
      <c r="B32" s="2" t="s">
        <v>1085</v>
      </c>
      <c r="C32" s="2"/>
      <c r="D32" s="2"/>
    </row>
    <row r="33" spans="1:4">
      <c r="A33" s="3">
        <v>371</v>
      </c>
      <c r="B33" s="3" t="s">
        <v>1086</v>
      </c>
      <c r="C33" s="3"/>
      <c r="D33" s="3"/>
    </row>
    <row r="34" spans="1:4">
      <c r="A34" s="2">
        <v>366</v>
      </c>
      <c r="B34" s="2" t="s">
        <v>1087</v>
      </c>
      <c r="C34" s="2"/>
      <c r="D34" s="2"/>
    </row>
    <row r="35" spans="1:4">
      <c r="A35" s="3">
        <v>395</v>
      </c>
      <c r="B35" s="3" t="s">
        <v>1087</v>
      </c>
      <c r="C35" s="3"/>
      <c r="D35" s="3"/>
    </row>
    <row r="36" spans="1:4">
      <c r="A36" s="2">
        <v>373</v>
      </c>
      <c r="B36" s="2" t="s">
        <v>1088</v>
      </c>
      <c r="C36" s="2"/>
      <c r="D36" s="2"/>
    </row>
    <row r="37" spans="1:4">
      <c r="A37" s="3">
        <v>374</v>
      </c>
      <c r="B37" s="3" t="s">
        <v>1089</v>
      </c>
      <c r="C37" s="3"/>
      <c r="D37" s="3"/>
    </row>
    <row r="38" spans="1:4">
      <c r="A38" s="2">
        <v>375</v>
      </c>
      <c r="B38" s="2" t="s">
        <v>1090</v>
      </c>
      <c r="C38" s="2"/>
      <c r="D38" s="2"/>
    </row>
    <row r="39" spans="1:4">
      <c r="A39" s="3">
        <v>376</v>
      </c>
      <c r="B39" s="3" t="s">
        <v>1091</v>
      </c>
      <c r="C39" s="3"/>
      <c r="D39" s="3"/>
    </row>
    <row r="40" spans="1:4">
      <c r="A40" s="2">
        <v>377</v>
      </c>
      <c r="B40" s="2" t="s">
        <v>1092</v>
      </c>
      <c r="C40" s="2"/>
      <c r="D40" s="2"/>
    </row>
    <row r="41" spans="1:4">
      <c r="A41" s="3">
        <v>378</v>
      </c>
      <c r="B41" s="3" t="s">
        <v>1093</v>
      </c>
      <c r="C41" s="3"/>
      <c r="D41" s="3"/>
    </row>
    <row r="42" spans="1:4">
      <c r="A42" s="2">
        <v>379</v>
      </c>
      <c r="B42" s="2" t="s">
        <v>1094</v>
      </c>
      <c r="C42" s="2"/>
      <c r="D42" s="2"/>
    </row>
    <row r="43" spans="1:4">
      <c r="A43" s="3">
        <v>380</v>
      </c>
      <c r="B43" s="3" t="s">
        <v>1095</v>
      </c>
      <c r="C43" s="3"/>
      <c r="D43" s="3"/>
    </row>
    <row r="44" spans="1:4">
      <c r="A44" s="2">
        <v>388</v>
      </c>
      <c r="B44" s="2" t="s">
        <v>1096</v>
      </c>
      <c r="C44" s="2"/>
      <c r="D44" s="2"/>
    </row>
    <row r="45" spans="1:4">
      <c r="A45" s="3">
        <v>389</v>
      </c>
      <c r="B45" s="3" t="s">
        <v>1097</v>
      </c>
      <c r="C45" s="3"/>
      <c r="D45" s="3"/>
    </row>
    <row r="46" spans="1:4">
      <c r="A46" s="2">
        <v>368</v>
      </c>
      <c r="B46" s="2" t="s">
        <v>1098</v>
      </c>
      <c r="C46" s="2"/>
      <c r="D46" s="2"/>
    </row>
    <row r="47" spans="1:4">
      <c r="A47" s="3">
        <v>356</v>
      </c>
      <c r="B47" s="3" t="s">
        <v>1099</v>
      </c>
      <c r="C47" s="3"/>
      <c r="D47" s="3"/>
    </row>
    <row r="48" spans="1:4">
      <c r="A48" s="2">
        <v>369</v>
      </c>
      <c r="B48" s="2" t="s">
        <v>1100</v>
      </c>
      <c r="C48" s="2"/>
      <c r="D48" s="2"/>
    </row>
    <row r="49" spans="1:4">
      <c r="A49" s="3">
        <v>393</v>
      </c>
      <c r="B49" s="3" t="s">
        <v>1101</v>
      </c>
      <c r="C49" s="3"/>
      <c r="D49" s="3"/>
    </row>
    <row r="50" spans="1:4">
      <c r="A50" s="2">
        <v>394</v>
      </c>
      <c r="B50" s="2" t="s">
        <v>1101</v>
      </c>
      <c r="C50" s="2"/>
      <c r="D50" s="2"/>
    </row>
    <row r="51" spans="1:4">
      <c r="A51" s="3">
        <v>362</v>
      </c>
      <c r="B51" s="3" t="s">
        <v>1102</v>
      </c>
      <c r="C51" s="3"/>
      <c r="D51" s="3"/>
    </row>
    <row r="52" spans="1:4">
      <c r="A52" s="2">
        <v>390</v>
      </c>
      <c r="B52" s="2" t="s">
        <v>1103</v>
      </c>
      <c r="C52" s="2"/>
      <c r="D52" s="2"/>
    </row>
    <row r="53" spans="1:4">
      <c r="A53" s="3">
        <v>391</v>
      </c>
      <c r="B53" s="3" t="s">
        <v>1104</v>
      </c>
      <c r="C53" s="3"/>
      <c r="D53" s="3"/>
    </row>
    <row r="54" spans="1:4">
      <c r="A54" s="2">
        <v>364</v>
      </c>
      <c r="B54" s="2" t="s">
        <v>1105</v>
      </c>
      <c r="C54" s="2"/>
      <c r="D54" s="2"/>
    </row>
    <row r="55" spans="1:4">
      <c r="A55" s="3">
        <v>365</v>
      </c>
      <c r="B55" s="3" t="s">
        <v>1105</v>
      </c>
      <c r="C55" s="3"/>
      <c r="D55" s="3"/>
    </row>
    <row r="56" spans="1:4">
      <c r="A56" s="2">
        <v>361</v>
      </c>
      <c r="B56" s="2" t="s">
        <v>1106</v>
      </c>
      <c r="C56" s="2"/>
      <c r="D56" s="2"/>
    </row>
    <row r="57" spans="1:4">
      <c r="A57" s="3">
        <v>363</v>
      </c>
      <c r="B57" s="3" t="s">
        <v>1107</v>
      </c>
      <c r="C57" s="3"/>
      <c r="D57" s="3"/>
    </row>
    <row r="58" spans="1:4">
      <c r="A58" s="2">
        <v>398</v>
      </c>
      <c r="B58" s="2" t="s">
        <v>1108</v>
      </c>
      <c r="C58" s="2"/>
      <c r="D58"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sheetView>
  </sheetViews>
  <sheetFormatPr defaultRowHeight="15"/>
  <cols>
    <col min="1" max="1" width="8.7109375" customWidth="1"/>
    <col min="2" max="2" width="35.7109375" customWidth="1"/>
    <col min="3" max="3" width="25.7109375" customWidth="1"/>
    <col min="4" max="4" width="8.7109375" customWidth="1"/>
  </cols>
  <sheetData>
    <row r="1" spans="1:4">
      <c r="A1" s="1" t="s">
        <v>0</v>
      </c>
      <c r="B1" s="1" t="s">
        <v>2</v>
      </c>
      <c r="C1" s="1" t="s">
        <v>3</v>
      </c>
      <c r="D1" s="1" t="s">
        <v>4</v>
      </c>
    </row>
    <row r="2" spans="1:4">
      <c r="A2" s="2">
        <v>405</v>
      </c>
      <c r="B2" s="2" t="s">
        <v>1110</v>
      </c>
      <c r="C2" s="2" t="s">
        <v>1111</v>
      </c>
      <c r="D2" s="2">
        <v>2026</v>
      </c>
    </row>
    <row r="3" spans="1:4">
      <c r="A3" s="3">
        <v>406</v>
      </c>
      <c r="B3" s="3" t="s">
        <v>1114</v>
      </c>
      <c r="C3" s="3"/>
      <c r="D3" s="3">
        <v>2024</v>
      </c>
    </row>
    <row r="4" spans="1:4">
      <c r="A4" s="2">
        <v>404</v>
      </c>
      <c r="B4" s="2" t="s">
        <v>1116</v>
      </c>
      <c r="C4" s="2"/>
      <c r="D4" s="2">
        <v>2024</v>
      </c>
    </row>
    <row r="5" spans="1:4">
      <c r="A5" s="3">
        <v>402</v>
      </c>
      <c r="B5" s="3" t="s">
        <v>1120</v>
      </c>
      <c r="C5" s="3" t="s">
        <v>1121</v>
      </c>
      <c r="D5" s="3">
        <v>1987</v>
      </c>
    </row>
    <row r="6" spans="1:4">
      <c r="A6" s="2">
        <v>410</v>
      </c>
      <c r="B6" s="2" t="s">
        <v>1123</v>
      </c>
      <c r="C6" s="2"/>
      <c r="D6" s="2"/>
    </row>
    <row r="7" spans="1:4">
      <c r="A7" s="3">
        <v>409</v>
      </c>
      <c r="B7" s="3" t="s">
        <v>1126</v>
      </c>
      <c r="C7" s="3"/>
      <c r="D7" s="3"/>
    </row>
    <row r="8" spans="1:4">
      <c r="A8" s="2">
        <v>403</v>
      </c>
      <c r="B8" s="2" t="s">
        <v>1128</v>
      </c>
      <c r="C8" s="2" t="s">
        <v>1129</v>
      </c>
      <c r="D8" s="2"/>
    </row>
    <row r="9" spans="1:4">
      <c r="A9" s="3">
        <v>408</v>
      </c>
      <c r="B9" s="3" t="s">
        <v>1131</v>
      </c>
      <c r="C9" s="3"/>
      <c r="D9" s="3"/>
    </row>
    <row r="10" spans="1:4">
      <c r="A10" s="2">
        <v>407</v>
      </c>
      <c r="B10" s="2" t="s">
        <v>1133</v>
      </c>
      <c r="C10" s="2"/>
      <c r="D1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6711"/>
  <sheetViews>
    <sheetView workbookViewId="0">
      <pane ySplit="1" topLeftCell="A2" activePane="bottomLeft" state="frozen"/>
      <selection pane="bottomLeft"/>
    </sheetView>
  </sheetViews>
  <sheetFormatPr defaultRowHeight="15"/>
  <cols>
    <col min="1" max="1" width="10.7109375" customWidth="1"/>
    <col min="2" max="2" width="35.7109375" customWidth="1"/>
    <col min="3" max="3" width="40.7109375" customWidth="1"/>
    <col min="4" max="4" width="35.7109375" customWidth="1"/>
  </cols>
  <sheetData>
    <row r="1" spans="1:4">
      <c r="A1" s="1" t="s">
        <v>1135</v>
      </c>
      <c r="B1" s="1" t="s">
        <v>1136</v>
      </c>
      <c r="C1" s="1" t="s">
        <v>1137</v>
      </c>
      <c r="D1" s="1" t="s">
        <v>1138</v>
      </c>
    </row>
    <row r="2" spans="1:4">
      <c r="A2" s="2">
        <v>2</v>
      </c>
      <c r="B2" s="2" t="s">
        <v>113</v>
      </c>
      <c r="C2" s="2" t="s">
        <v>1139</v>
      </c>
      <c r="D2" s="2"/>
    </row>
    <row r="3" spans="1:4">
      <c r="A3" s="3">
        <v>2</v>
      </c>
      <c r="B3" s="3" t="s">
        <v>113</v>
      </c>
      <c r="C3" s="3" t="s">
        <v>1140</v>
      </c>
      <c r="D3" s="3"/>
    </row>
    <row r="4" spans="1:4">
      <c r="A4" s="2">
        <v>2</v>
      </c>
      <c r="B4" s="2" t="s">
        <v>113</v>
      </c>
      <c r="C4" s="2" t="s">
        <v>1141</v>
      </c>
      <c r="D4" s="2"/>
    </row>
    <row r="5" spans="1:4">
      <c r="A5" s="3">
        <v>2</v>
      </c>
      <c r="B5" s="3" t="s">
        <v>113</v>
      </c>
      <c r="C5" s="3" t="s">
        <v>1142</v>
      </c>
      <c r="D5" s="3"/>
    </row>
    <row r="6" spans="1:4">
      <c r="A6" s="2">
        <v>2</v>
      </c>
      <c r="B6" s="2" t="s">
        <v>113</v>
      </c>
      <c r="C6" s="2" t="s">
        <v>1143</v>
      </c>
      <c r="D6" s="2"/>
    </row>
    <row r="7" spans="1:4">
      <c r="A7" s="3">
        <v>2</v>
      </c>
      <c r="B7" s="3" t="s">
        <v>113</v>
      </c>
      <c r="C7" s="3" t="s">
        <v>1144</v>
      </c>
      <c r="D7" s="3"/>
    </row>
    <row r="8" spans="1:4">
      <c r="A8" s="2">
        <v>2</v>
      </c>
      <c r="B8" s="2" t="s">
        <v>113</v>
      </c>
      <c r="C8" s="2" t="s">
        <v>1145</v>
      </c>
      <c r="D8" s="2"/>
    </row>
    <row r="9" spans="1:4">
      <c r="A9" s="3">
        <v>2</v>
      </c>
      <c r="B9" s="3" t="s">
        <v>113</v>
      </c>
      <c r="C9" s="3" t="s">
        <v>1146</v>
      </c>
      <c r="D9" s="3"/>
    </row>
    <row r="10" spans="1:4">
      <c r="A10" s="2">
        <v>2</v>
      </c>
      <c r="B10" s="2" t="s">
        <v>113</v>
      </c>
      <c r="C10" s="2" t="s">
        <v>1147</v>
      </c>
      <c r="D10" s="2"/>
    </row>
    <row r="11" spans="1:4">
      <c r="A11" s="3">
        <v>2</v>
      </c>
      <c r="B11" s="3" t="s">
        <v>113</v>
      </c>
      <c r="C11" s="3" t="s">
        <v>1148</v>
      </c>
      <c r="D11" s="3"/>
    </row>
    <row r="12" spans="1:4">
      <c r="A12" s="2">
        <v>2</v>
      </c>
      <c r="B12" s="2" t="s">
        <v>113</v>
      </c>
      <c r="C12" s="2" t="s">
        <v>1149</v>
      </c>
      <c r="D12" s="2"/>
    </row>
    <row r="13" spans="1:4">
      <c r="A13" s="3">
        <v>2</v>
      </c>
      <c r="B13" s="3" t="s">
        <v>113</v>
      </c>
      <c r="C13" s="3" t="s">
        <v>1150</v>
      </c>
      <c r="D13" s="3"/>
    </row>
    <row r="14" spans="1:4">
      <c r="A14" s="2">
        <v>2</v>
      </c>
      <c r="B14" s="2" t="s">
        <v>113</v>
      </c>
      <c r="C14" s="2" t="s">
        <v>1151</v>
      </c>
      <c r="D14" s="2"/>
    </row>
    <row r="15" spans="1:4">
      <c r="A15" s="3">
        <v>2</v>
      </c>
      <c r="B15" s="3" t="s">
        <v>113</v>
      </c>
      <c r="C15" s="3" t="s">
        <v>1152</v>
      </c>
      <c r="D15" s="3"/>
    </row>
    <row r="16" spans="1:4">
      <c r="A16" s="2">
        <v>2</v>
      </c>
      <c r="B16" s="2" t="s">
        <v>113</v>
      </c>
      <c r="C16" s="2" t="s">
        <v>1153</v>
      </c>
      <c r="D16" s="2"/>
    </row>
    <row r="17" spans="1:4">
      <c r="A17" s="3">
        <v>2</v>
      </c>
      <c r="B17" s="3" t="s">
        <v>113</v>
      </c>
      <c r="C17" s="3" t="s">
        <v>1154</v>
      </c>
      <c r="D17" s="3"/>
    </row>
    <row r="18" spans="1:4">
      <c r="A18" s="2">
        <v>3</v>
      </c>
      <c r="B18" s="2" t="s">
        <v>126</v>
      </c>
      <c r="C18" s="2" t="s">
        <v>1155</v>
      </c>
      <c r="D18" s="2"/>
    </row>
    <row r="19" spans="1:4">
      <c r="A19" s="3">
        <v>4</v>
      </c>
      <c r="B19" s="3" t="s">
        <v>118</v>
      </c>
      <c r="C19" s="3" t="s">
        <v>1156</v>
      </c>
      <c r="D19" s="3"/>
    </row>
    <row r="20" spans="1:4">
      <c r="A20" s="2">
        <v>4</v>
      </c>
      <c r="B20" s="2" t="s">
        <v>118</v>
      </c>
      <c r="C20" s="2" t="s">
        <v>1157</v>
      </c>
      <c r="D20" s="2"/>
    </row>
    <row r="21" spans="1:4">
      <c r="A21" s="3">
        <v>4</v>
      </c>
      <c r="B21" s="3" t="s">
        <v>118</v>
      </c>
      <c r="C21" s="3" t="s">
        <v>1158</v>
      </c>
      <c r="D21" s="3"/>
    </row>
    <row r="22" spans="1:4">
      <c r="A22" s="2">
        <v>4</v>
      </c>
      <c r="B22" s="2" t="s">
        <v>118</v>
      </c>
      <c r="C22" s="2" t="s">
        <v>1159</v>
      </c>
      <c r="D22" s="2"/>
    </row>
    <row r="23" spans="1:4">
      <c r="A23" s="3">
        <v>4</v>
      </c>
      <c r="B23" s="3" t="s">
        <v>118</v>
      </c>
      <c r="C23" s="3" t="s">
        <v>1160</v>
      </c>
      <c r="D23" s="3"/>
    </row>
    <row r="24" spans="1:4">
      <c r="A24" s="2">
        <v>4</v>
      </c>
      <c r="B24" s="2" t="s">
        <v>118</v>
      </c>
      <c r="C24" s="2" t="s">
        <v>1161</v>
      </c>
      <c r="D24" s="2"/>
    </row>
    <row r="25" spans="1:4">
      <c r="A25" s="3">
        <v>5</v>
      </c>
      <c r="B25" s="3" t="s">
        <v>122</v>
      </c>
      <c r="C25" s="3" t="s">
        <v>1162</v>
      </c>
      <c r="D25" s="3"/>
    </row>
    <row r="26" spans="1:4">
      <c r="A26" s="2">
        <v>5</v>
      </c>
      <c r="B26" s="2" t="s">
        <v>122</v>
      </c>
      <c r="C26" s="2" t="s">
        <v>1163</v>
      </c>
      <c r="D26" s="2"/>
    </row>
    <row r="27" spans="1:4">
      <c r="A27" s="3">
        <v>5</v>
      </c>
      <c r="B27" s="3" t="s">
        <v>122</v>
      </c>
      <c r="C27" s="3" t="s">
        <v>1164</v>
      </c>
      <c r="D27" s="3"/>
    </row>
    <row r="28" spans="1:4">
      <c r="A28" s="2">
        <v>5</v>
      </c>
      <c r="B28" s="2" t="s">
        <v>122</v>
      </c>
      <c r="C28" s="2" t="s">
        <v>1165</v>
      </c>
      <c r="D28" s="2"/>
    </row>
    <row r="29" spans="1:4">
      <c r="A29" s="3">
        <v>5</v>
      </c>
      <c r="B29" s="3" t="s">
        <v>122</v>
      </c>
      <c r="C29" s="3" t="s">
        <v>1166</v>
      </c>
      <c r="D29" s="3"/>
    </row>
    <row r="30" spans="1:4">
      <c r="A30" s="2">
        <v>5</v>
      </c>
      <c r="B30" s="2" t="s">
        <v>122</v>
      </c>
      <c r="C30" s="2">
        <f>−ρ− (3)</f>
        <v>0</v>
      </c>
      <c r="D30" s="2"/>
    </row>
    <row r="31" spans="1:4">
      <c r="A31" s="3">
        <v>5</v>
      </c>
      <c r="B31" s="3" t="s">
        <v>122</v>
      </c>
      <c r="C31" s="3" t="s">
        <v>1167</v>
      </c>
      <c r="D31" s="3"/>
    </row>
    <row r="32" spans="1:4">
      <c r="A32" s="2">
        <v>5</v>
      </c>
      <c r="B32" s="2" t="s">
        <v>122</v>
      </c>
      <c r="C32" s="2" t="s">
        <v>1168</v>
      </c>
      <c r="D32" s="2"/>
    </row>
    <row r="33" spans="1:4">
      <c r="A33" s="3">
        <v>5</v>
      </c>
      <c r="B33" s="3" t="s">
        <v>122</v>
      </c>
      <c r="C33" s="3" t="s">
        <v>1169</v>
      </c>
      <c r="D33" s="3"/>
    </row>
    <row r="34" spans="1:4">
      <c r="A34" s="2">
        <v>5</v>
      </c>
      <c r="B34" s="2" t="s">
        <v>122</v>
      </c>
      <c r="C34" s="2" t="s">
        <v>1170</v>
      </c>
      <c r="D34" s="2"/>
    </row>
    <row r="35" spans="1:4">
      <c r="A35" s="3">
        <v>5</v>
      </c>
      <c r="B35" s="3" t="s">
        <v>122</v>
      </c>
      <c r="C35" s="3" t="s">
        <v>1171</v>
      </c>
      <c r="D35" s="3"/>
    </row>
    <row r="36" spans="1:4">
      <c r="A36" s="2">
        <v>5</v>
      </c>
      <c r="B36" s="2" t="s">
        <v>122</v>
      </c>
      <c r="C36" s="2" t="s">
        <v>1172</v>
      </c>
      <c r="D36" s="2"/>
    </row>
    <row r="37" spans="1:4">
      <c r="A37" s="3">
        <v>5</v>
      </c>
      <c r="B37" s="3" t="s">
        <v>122</v>
      </c>
      <c r="C37" s="3" t="s">
        <v>1173</v>
      </c>
      <c r="D37" s="3"/>
    </row>
    <row r="38" spans="1:4">
      <c r="A38" s="2">
        <v>5</v>
      </c>
      <c r="B38" s="2" t="s">
        <v>122</v>
      </c>
      <c r="C38" s="2" t="s">
        <v>1174</v>
      </c>
      <c r="D38" s="2"/>
    </row>
    <row r="39" spans="1:4">
      <c r="A39" s="3">
        <v>5</v>
      </c>
      <c r="B39" s="3" t="s">
        <v>122</v>
      </c>
      <c r="C39" s="3" t="s">
        <v>1175</v>
      </c>
      <c r="D39" s="3"/>
    </row>
    <row r="40" spans="1:4">
      <c r="A40" s="2">
        <v>5</v>
      </c>
      <c r="B40" s="2" t="s">
        <v>122</v>
      </c>
      <c r="C40" s="2" t="s">
        <v>1176</v>
      </c>
      <c r="D40" s="2"/>
    </row>
    <row r="41" spans="1:4">
      <c r="A41" s="3">
        <v>5</v>
      </c>
      <c r="B41" s="3" t="s">
        <v>122</v>
      </c>
      <c r="C41" s="3" t="s">
        <v>1177</v>
      </c>
      <c r="D41" s="3"/>
    </row>
    <row r="42" spans="1:4">
      <c r="A42" s="2">
        <v>5</v>
      </c>
      <c r="B42" s="2" t="s">
        <v>122</v>
      </c>
      <c r="C42" s="2" t="s">
        <v>1178</v>
      </c>
      <c r="D42" s="2"/>
    </row>
    <row r="43" spans="1:4">
      <c r="A43" s="3">
        <v>5</v>
      </c>
      <c r="B43" s="3" t="s">
        <v>122</v>
      </c>
      <c r="C43" s="3" t="s">
        <v>1179</v>
      </c>
      <c r="D43" s="3"/>
    </row>
    <row r="44" spans="1:4">
      <c r="A44" s="2">
        <v>5</v>
      </c>
      <c r="B44" s="2" t="s">
        <v>122</v>
      </c>
      <c r="C44" s="2" t="s">
        <v>1180</v>
      </c>
      <c r="D44" s="2"/>
    </row>
    <row r="45" spans="1:4">
      <c r="A45" s="3">
        <v>5</v>
      </c>
      <c r="B45" s="3" t="s">
        <v>122</v>
      </c>
      <c r="C45" s="3" t="s">
        <v>1181</v>
      </c>
      <c r="D45" s="3"/>
    </row>
    <row r="46" spans="1:4">
      <c r="A46" s="2">
        <v>5</v>
      </c>
      <c r="B46" s="2" t="s">
        <v>122</v>
      </c>
      <c r="C46" s="2" t="s">
        <v>1182</v>
      </c>
      <c r="D46" s="2"/>
    </row>
    <row r="47" spans="1:4">
      <c r="A47" s="3">
        <v>5</v>
      </c>
      <c r="B47" s="3" t="s">
        <v>122</v>
      </c>
      <c r="C47" s="3" t="s">
        <v>1183</v>
      </c>
      <c r="D47" s="3"/>
    </row>
    <row r="48" spans="1:4">
      <c r="A48" s="2">
        <v>5</v>
      </c>
      <c r="B48" s="2" t="s">
        <v>122</v>
      </c>
      <c r="C48" s="2" t="s">
        <v>1184</v>
      </c>
      <c r="D48" s="2"/>
    </row>
    <row r="49" spans="1:4">
      <c r="A49" s="3">
        <v>5</v>
      </c>
      <c r="B49" s="3" t="s">
        <v>122</v>
      </c>
      <c r="C49" s="3" t="s">
        <v>1185</v>
      </c>
      <c r="D49" s="3"/>
    </row>
    <row r="50" spans="1:4">
      <c r="A50" s="2">
        <v>5</v>
      </c>
      <c r="B50" s="2" t="s">
        <v>122</v>
      </c>
      <c r="C50" s="2" t="s">
        <v>1186</v>
      </c>
      <c r="D50" s="2"/>
    </row>
    <row r="51" spans="1:4">
      <c r="A51" s="3">
        <v>6</v>
      </c>
      <c r="B51" s="3" t="s">
        <v>130</v>
      </c>
      <c r="C51" s="3" t="s">
        <v>1187</v>
      </c>
      <c r="D51" s="3"/>
    </row>
    <row r="52" spans="1:4">
      <c r="A52" s="2">
        <v>9</v>
      </c>
      <c r="B52" s="2" t="s">
        <v>85</v>
      </c>
      <c r="C52" s="2" t="s">
        <v>1188</v>
      </c>
      <c r="D52" s="2"/>
    </row>
    <row r="53" spans="1:4">
      <c r="A53" s="3">
        <v>9</v>
      </c>
      <c r="B53" s="3" t="s">
        <v>85</v>
      </c>
      <c r="C53" s="3" t="s">
        <v>1189</v>
      </c>
      <c r="D53" s="3"/>
    </row>
    <row r="54" spans="1:4">
      <c r="A54" s="2">
        <v>9</v>
      </c>
      <c r="B54" s="2" t="s">
        <v>85</v>
      </c>
      <c r="C54" s="2" t="s">
        <v>1190</v>
      </c>
      <c r="D54" s="2"/>
    </row>
    <row r="55" spans="1:4">
      <c r="A55" s="3">
        <v>9</v>
      </c>
      <c r="B55" s="3" t="s">
        <v>85</v>
      </c>
      <c r="C55" s="3" t="s">
        <v>1191</v>
      </c>
      <c r="D55" s="3"/>
    </row>
    <row r="56" spans="1:4">
      <c r="A56" s="2">
        <v>9</v>
      </c>
      <c r="B56" s="2" t="s">
        <v>85</v>
      </c>
      <c r="C56" s="2" t="s">
        <v>1192</v>
      </c>
      <c r="D56" s="2"/>
    </row>
    <row r="57" spans="1:4">
      <c r="A57" s="3">
        <v>9</v>
      </c>
      <c r="B57" s="3" t="s">
        <v>85</v>
      </c>
      <c r="C57" s="3" t="s">
        <v>1193</v>
      </c>
      <c r="D57" s="3"/>
    </row>
    <row r="58" spans="1:4">
      <c r="A58" s="2">
        <v>9</v>
      </c>
      <c r="B58" s="2" t="s">
        <v>85</v>
      </c>
      <c r="C58" s="2" t="s">
        <v>1194</v>
      </c>
      <c r="D58" s="2"/>
    </row>
    <row r="59" spans="1:4">
      <c r="A59" s="3">
        <v>9</v>
      </c>
      <c r="B59" s="3" t="s">
        <v>85</v>
      </c>
      <c r="C59" s="3" t="s">
        <v>1195</v>
      </c>
      <c r="D59" s="3"/>
    </row>
    <row r="60" spans="1:4">
      <c r="A60" s="2">
        <v>9</v>
      </c>
      <c r="B60" s="2" t="s">
        <v>85</v>
      </c>
      <c r="C60" s="2" t="s">
        <v>1196</v>
      </c>
      <c r="D60" s="2"/>
    </row>
    <row r="61" spans="1:4">
      <c r="A61" s="3">
        <v>9</v>
      </c>
      <c r="B61" s="3" t="s">
        <v>85</v>
      </c>
      <c r="C61" s="3" t="s">
        <v>1197</v>
      </c>
      <c r="D61" s="3"/>
    </row>
    <row r="62" spans="1:4">
      <c r="A62" s="2">
        <v>9</v>
      </c>
      <c r="B62" s="2" t="s">
        <v>85</v>
      </c>
      <c r="C62" s="2" t="s">
        <v>1198</v>
      </c>
      <c r="D62" s="2"/>
    </row>
    <row r="63" spans="1:4">
      <c r="A63" s="3">
        <v>9</v>
      </c>
      <c r="B63" s="3" t="s">
        <v>85</v>
      </c>
      <c r="C63" s="3" t="s">
        <v>1199</v>
      </c>
      <c r="D63" s="3"/>
    </row>
    <row r="64" spans="1:4">
      <c r="A64" s="2">
        <v>9</v>
      </c>
      <c r="B64" s="2" t="s">
        <v>85</v>
      </c>
      <c r="C64" s="2" t="s">
        <v>1200</v>
      </c>
      <c r="D64" s="2"/>
    </row>
    <row r="65" spans="1:4">
      <c r="A65" s="3">
        <v>9</v>
      </c>
      <c r="B65" s="3" t="s">
        <v>85</v>
      </c>
      <c r="C65" s="3" t="s">
        <v>1201</v>
      </c>
      <c r="D65" s="3"/>
    </row>
    <row r="66" spans="1:4">
      <c r="A66" s="2">
        <v>9</v>
      </c>
      <c r="B66" s="2" t="s">
        <v>85</v>
      </c>
      <c r="C66" s="2" t="s">
        <v>1202</v>
      </c>
      <c r="D66" s="2"/>
    </row>
    <row r="67" spans="1:4">
      <c r="A67" s="3">
        <v>9</v>
      </c>
      <c r="B67" s="3" t="s">
        <v>85</v>
      </c>
      <c r="C67" s="3" t="s">
        <v>1203</v>
      </c>
      <c r="D67" s="3"/>
    </row>
    <row r="68" spans="1:4">
      <c r="A68" s="2">
        <v>9</v>
      </c>
      <c r="B68" s="2" t="s">
        <v>85</v>
      </c>
      <c r="C68" s="2" t="s">
        <v>1204</v>
      </c>
      <c r="D68" s="2"/>
    </row>
    <row r="69" spans="1:4">
      <c r="A69" s="3">
        <v>9</v>
      </c>
      <c r="B69" s="3" t="s">
        <v>85</v>
      </c>
      <c r="C69" s="3" t="s">
        <v>1205</v>
      </c>
      <c r="D69" s="3"/>
    </row>
    <row r="70" spans="1:4">
      <c r="A70" s="2">
        <v>9</v>
      </c>
      <c r="B70" s="2" t="s">
        <v>85</v>
      </c>
      <c r="C70" s="2" t="s">
        <v>1206</v>
      </c>
      <c r="D70" s="2"/>
    </row>
    <row r="71" spans="1:4">
      <c r="A71" s="3">
        <v>9</v>
      </c>
      <c r="B71" s="3" t="s">
        <v>85</v>
      </c>
      <c r="C71" s="3" t="s">
        <v>1207</v>
      </c>
      <c r="D71" s="3"/>
    </row>
    <row r="72" spans="1:4">
      <c r="A72" s="2">
        <v>9</v>
      </c>
      <c r="B72" s="2" t="s">
        <v>85</v>
      </c>
      <c r="C72" s="2" t="s">
        <v>1208</v>
      </c>
      <c r="D72" s="2"/>
    </row>
    <row r="73" spans="1:4">
      <c r="A73" s="3">
        <v>9</v>
      </c>
      <c r="B73" s="3" t="s">
        <v>85</v>
      </c>
      <c r="C73" s="3" t="s">
        <v>1209</v>
      </c>
      <c r="D73" s="3"/>
    </row>
    <row r="74" spans="1:4">
      <c r="A74" s="2">
        <v>9</v>
      </c>
      <c r="B74" s="2" t="s">
        <v>85</v>
      </c>
      <c r="C74" s="2" t="s">
        <v>1210</v>
      </c>
      <c r="D74" s="2"/>
    </row>
    <row r="75" spans="1:4">
      <c r="A75" s="3">
        <v>9</v>
      </c>
      <c r="B75" s="3" t="s">
        <v>85</v>
      </c>
      <c r="C75" s="3" t="s">
        <v>1210</v>
      </c>
      <c r="D75" s="3"/>
    </row>
    <row r="76" spans="1:4">
      <c r="A76" s="2">
        <v>9</v>
      </c>
      <c r="B76" s="2" t="s">
        <v>85</v>
      </c>
      <c r="C76" s="2" t="s">
        <v>1211</v>
      </c>
      <c r="D76" s="2"/>
    </row>
    <row r="77" spans="1:4">
      <c r="A77" s="3">
        <v>9</v>
      </c>
      <c r="B77" s="3" t="s">
        <v>85</v>
      </c>
      <c r="C77" s="3" t="s">
        <v>1212</v>
      </c>
      <c r="D77" s="3"/>
    </row>
    <row r="78" spans="1:4">
      <c r="A78" s="2">
        <v>9</v>
      </c>
      <c r="B78" s="2" t="s">
        <v>85</v>
      </c>
      <c r="C78" s="2" t="s">
        <v>1213</v>
      </c>
      <c r="D78" s="2"/>
    </row>
    <row r="79" spans="1:4">
      <c r="A79" s="3">
        <v>9</v>
      </c>
      <c r="B79" s="3" t="s">
        <v>85</v>
      </c>
      <c r="C79" s="3" t="s">
        <v>1214</v>
      </c>
      <c r="D79" s="3"/>
    </row>
    <row r="80" spans="1:4">
      <c r="A80" s="2">
        <v>9</v>
      </c>
      <c r="B80" s="2" t="s">
        <v>85</v>
      </c>
      <c r="C80" s="2" t="s">
        <v>1215</v>
      </c>
      <c r="D80" s="2"/>
    </row>
    <row r="81" spans="1:4">
      <c r="A81" s="3">
        <v>9</v>
      </c>
      <c r="B81" s="3" t="s">
        <v>85</v>
      </c>
      <c r="C81" s="3" t="s">
        <v>1216</v>
      </c>
      <c r="D81" s="3"/>
    </row>
    <row r="82" spans="1:4">
      <c r="A82" s="2">
        <v>9</v>
      </c>
      <c r="B82" s="2" t="s">
        <v>85</v>
      </c>
      <c r="C82" s="2" t="s">
        <v>1216</v>
      </c>
      <c r="D82" s="2"/>
    </row>
    <row r="83" spans="1:4">
      <c r="A83" s="3">
        <v>9</v>
      </c>
      <c r="B83" s="3" t="s">
        <v>85</v>
      </c>
      <c r="C83" s="3" t="s">
        <v>1217</v>
      </c>
      <c r="D83" s="3"/>
    </row>
    <row r="84" spans="1:4">
      <c r="A84" s="2">
        <v>9</v>
      </c>
      <c r="B84" s="2" t="s">
        <v>85</v>
      </c>
      <c r="C84" s="2" t="s">
        <v>1218</v>
      </c>
      <c r="D84" s="2"/>
    </row>
    <row r="85" spans="1:4">
      <c r="A85" s="3">
        <v>9</v>
      </c>
      <c r="B85" s="3" t="s">
        <v>85</v>
      </c>
      <c r="C85" s="3" t="s">
        <v>1216</v>
      </c>
      <c r="D85" s="3"/>
    </row>
    <row r="86" spans="1:4">
      <c r="A86" s="2">
        <v>9</v>
      </c>
      <c r="B86" s="2" t="s">
        <v>85</v>
      </c>
      <c r="C86" s="2" t="s">
        <v>1219</v>
      </c>
      <c r="D86" s="2"/>
    </row>
    <row r="87" spans="1:4">
      <c r="A87" s="3">
        <v>9</v>
      </c>
      <c r="B87" s="3" t="s">
        <v>85</v>
      </c>
      <c r="C87" s="3" t="s">
        <v>1220</v>
      </c>
      <c r="D87" s="3"/>
    </row>
    <row r="88" spans="1:4">
      <c r="A88" s="2">
        <v>9</v>
      </c>
      <c r="B88" s="2" t="s">
        <v>85</v>
      </c>
      <c r="C88" s="2" t="s">
        <v>1216</v>
      </c>
      <c r="D88" s="2"/>
    </row>
    <row r="89" spans="1:4">
      <c r="A89" s="3">
        <v>9</v>
      </c>
      <c r="B89" s="3" t="s">
        <v>85</v>
      </c>
      <c r="C89" s="3" t="s">
        <v>1221</v>
      </c>
      <c r="D89" s="3"/>
    </row>
    <row r="90" spans="1:4">
      <c r="A90" s="2">
        <v>9</v>
      </c>
      <c r="B90" s="2" t="s">
        <v>85</v>
      </c>
      <c r="C90" s="2" t="s">
        <v>1222</v>
      </c>
      <c r="D90" s="2"/>
    </row>
    <row r="91" spans="1:4">
      <c r="A91" s="3">
        <v>9</v>
      </c>
      <c r="B91" s="3" t="s">
        <v>85</v>
      </c>
      <c r="C91" s="3" t="s">
        <v>1223</v>
      </c>
      <c r="D91" s="3"/>
    </row>
    <row r="92" spans="1:4">
      <c r="A92" s="2">
        <v>9</v>
      </c>
      <c r="B92" s="2" t="s">
        <v>85</v>
      </c>
      <c r="C92" s="2" t="s">
        <v>1216</v>
      </c>
      <c r="D92" s="2"/>
    </row>
    <row r="93" spans="1:4">
      <c r="A93" s="3">
        <v>9</v>
      </c>
      <c r="B93" s="3" t="s">
        <v>85</v>
      </c>
      <c r="C93" s="3" t="s">
        <v>1224</v>
      </c>
      <c r="D93" s="3"/>
    </row>
    <row r="94" spans="1:4">
      <c r="A94" s="2">
        <v>9</v>
      </c>
      <c r="B94" s="2" t="s">
        <v>85</v>
      </c>
      <c r="C94" s="2" t="s">
        <v>1216</v>
      </c>
      <c r="D94" s="2"/>
    </row>
    <row r="95" spans="1:4">
      <c r="A95" s="3">
        <v>9</v>
      </c>
      <c r="B95" s="3" t="s">
        <v>85</v>
      </c>
      <c r="C95" s="3" t="s">
        <v>1225</v>
      </c>
      <c r="D95" s="3"/>
    </row>
    <row r="96" spans="1:4">
      <c r="A96" s="2">
        <v>9</v>
      </c>
      <c r="B96" s="2" t="s">
        <v>85</v>
      </c>
      <c r="C96" s="2" t="s">
        <v>1226</v>
      </c>
      <c r="D96" s="2"/>
    </row>
    <row r="97" spans="1:4">
      <c r="A97" s="3">
        <v>9</v>
      </c>
      <c r="B97" s="3" t="s">
        <v>85</v>
      </c>
      <c r="C97" s="3" t="s">
        <v>1226</v>
      </c>
      <c r="D97" s="3"/>
    </row>
    <row r="98" spans="1:4">
      <c r="A98" s="2">
        <v>9</v>
      </c>
      <c r="B98" s="2" t="s">
        <v>85</v>
      </c>
      <c r="C98" s="2" t="s">
        <v>1227</v>
      </c>
      <c r="D98" s="2"/>
    </row>
    <row r="99" spans="1:4">
      <c r="A99" s="3">
        <v>9</v>
      </c>
      <c r="B99" s="3" t="s">
        <v>85</v>
      </c>
      <c r="C99" s="3" t="s">
        <v>1228</v>
      </c>
      <c r="D99" s="3"/>
    </row>
    <row r="100" spans="1:4">
      <c r="A100" s="2">
        <v>9</v>
      </c>
      <c r="B100" s="2" t="s">
        <v>85</v>
      </c>
      <c r="C100" s="2" t="s">
        <v>1229</v>
      </c>
      <c r="D100" s="2"/>
    </row>
    <row r="101" spans="1:4">
      <c r="A101" s="3">
        <v>9</v>
      </c>
      <c r="B101" s="3" t="s">
        <v>85</v>
      </c>
      <c r="C101" s="3" t="s">
        <v>1230</v>
      </c>
      <c r="D101" s="3"/>
    </row>
    <row r="102" spans="1:4">
      <c r="A102" s="2">
        <v>10</v>
      </c>
      <c r="B102" s="2" t="s">
        <v>104</v>
      </c>
      <c r="C102" s="2" t="s">
        <v>1231</v>
      </c>
      <c r="D102" s="2"/>
    </row>
    <row r="103" spans="1:4">
      <c r="A103" s="3">
        <v>10</v>
      </c>
      <c r="B103" s="3" t="s">
        <v>104</v>
      </c>
      <c r="C103" s="3" t="s">
        <v>1232</v>
      </c>
      <c r="D103" s="3"/>
    </row>
    <row r="104" spans="1:4">
      <c r="A104" s="2">
        <v>10</v>
      </c>
      <c r="B104" s="2" t="s">
        <v>104</v>
      </c>
      <c r="C104" s="2" t="s">
        <v>1233</v>
      </c>
      <c r="D104" s="2"/>
    </row>
    <row r="105" spans="1:4">
      <c r="A105" s="3">
        <v>10</v>
      </c>
      <c r="B105" s="3" t="s">
        <v>104</v>
      </c>
      <c r="C105" s="3" t="s">
        <v>1234</v>
      </c>
      <c r="D105" s="3"/>
    </row>
    <row r="106" spans="1:4">
      <c r="A106" s="2">
        <v>10</v>
      </c>
      <c r="B106" s="2" t="s">
        <v>104</v>
      </c>
      <c r="C106" s="2" t="s">
        <v>1235</v>
      </c>
      <c r="D106" s="2"/>
    </row>
    <row r="107" spans="1:4">
      <c r="A107" s="3">
        <v>10</v>
      </c>
      <c r="B107" s="3" t="s">
        <v>104</v>
      </c>
      <c r="C107" s="3" t="s">
        <v>1236</v>
      </c>
      <c r="D107" s="3"/>
    </row>
    <row r="108" spans="1:4">
      <c r="A108" s="2">
        <v>10</v>
      </c>
      <c r="B108" s="2" t="s">
        <v>104</v>
      </c>
      <c r="C108" s="2" t="s">
        <v>1237</v>
      </c>
      <c r="D108" s="2"/>
    </row>
    <row r="109" spans="1:4">
      <c r="A109" s="3">
        <v>10</v>
      </c>
      <c r="B109" s="3" t="s">
        <v>104</v>
      </c>
      <c r="C109" s="3" t="s">
        <v>1238</v>
      </c>
      <c r="D109" s="3"/>
    </row>
    <row r="110" spans="1:4">
      <c r="A110" s="2">
        <v>10</v>
      </c>
      <c r="B110" s="2" t="s">
        <v>104</v>
      </c>
      <c r="C110" s="2" t="s">
        <v>1239</v>
      </c>
      <c r="D110" s="2"/>
    </row>
    <row r="111" spans="1:4">
      <c r="A111" s="3">
        <v>10</v>
      </c>
      <c r="B111" s="3" t="s">
        <v>104</v>
      </c>
      <c r="C111" s="3" t="s">
        <v>1240</v>
      </c>
      <c r="D111" s="3"/>
    </row>
    <row r="112" spans="1:4">
      <c r="A112" s="2">
        <v>10</v>
      </c>
      <c r="B112" s="2" t="s">
        <v>104</v>
      </c>
      <c r="C112" s="2" t="s">
        <v>1241</v>
      </c>
      <c r="D112" s="2"/>
    </row>
    <row r="113" spans="1:4">
      <c r="A113" s="3">
        <v>11</v>
      </c>
      <c r="B113" s="3" t="s">
        <v>44</v>
      </c>
      <c r="C113" s="3" t="s">
        <v>1242</v>
      </c>
      <c r="D113" s="3"/>
    </row>
    <row r="114" spans="1:4">
      <c r="A114" s="2">
        <v>11</v>
      </c>
      <c r="B114" s="2" t="s">
        <v>44</v>
      </c>
      <c r="C114" s="2" t="s">
        <v>1243</v>
      </c>
      <c r="D114" s="2"/>
    </row>
    <row r="115" spans="1:4">
      <c r="A115" s="3">
        <v>11</v>
      </c>
      <c r="B115" s="3" t="s">
        <v>44</v>
      </c>
      <c r="C115" s="3" t="s">
        <v>1244</v>
      </c>
      <c r="D115" s="3"/>
    </row>
    <row r="116" spans="1:4">
      <c r="A116" s="2">
        <v>11</v>
      </c>
      <c r="B116" s="2" t="s">
        <v>44</v>
      </c>
      <c r="C116" s="2" t="s">
        <v>1245</v>
      </c>
      <c r="D116" s="2"/>
    </row>
    <row r="117" spans="1:4">
      <c r="A117" s="3">
        <v>11</v>
      </c>
      <c r="B117" s="3" t="s">
        <v>44</v>
      </c>
      <c r="C117" s="3" t="s">
        <v>1246</v>
      </c>
      <c r="D117" s="3"/>
    </row>
    <row r="118" spans="1:4">
      <c r="A118" s="2">
        <v>11</v>
      </c>
      <c r="B118" s="2" t="s">
        <v>44</v>
      </c>
      <c r="C118" s="2" t="s">
        <v>1247</v>
      </c>
      <c r="D118" s="2"/>
    </row>
    <row r="119" spans="1:4">
      <c r="A119" s="3">
        <v>11</v>
      </c>
      <c r="B119" s="3" t="s">
        <v>44</v>
      </c>
      <c r="C119" s="3" t="s">
        <v>1248</v>
      </c>
      <c r="D119" s="3"/>
    </row>
    <row r="120" spans="1:4">
      <c r="A120" s="2">
        <v>11</v>
      </c>
      <c r="B120" s="2" t="s">
        <v>44</v>
      </c>
      <c r="C120" s="2" t="s">
        <v>1249</v>
      </c>
      <c r="D120" s="2"/>
    </row>
    <row r="121" spans="1:4">
      <c r="A121" s="3">
        <v>11</v>
      </c>
      <c r="B121" s="3" t="s">
        <v>44</v>
      </c>
      <c r="C121" s="3" t="s">
        <v>1250</v>
      </c>
      <c r="D121" s="3"/>
    </row>
    <row r="122" spans="1:4">
      <c r="A122" s="2">
        <v>11</v>
      </c>
      <c r="B122" s="2" t="s">
        <v>44</v>
      </c>
      <c r="C122" s="2" t="s">
        <v>1251</v>
      </c>
      <c r="D122" s="2"/>
    </row>
    <row r="123" spans="1:4">
      <c r="A123" s="3">
        <v>11</v>
      </c>
      <c r="B123" s="3" t="s">
        <v>44</v>
      </c>
      <c r="C123" s="3" t="s">
        <v>1252</v>
      </c>
      <c r="D123" s="3"/>
    </row>
    <row r="124" spans="1:4">
      <c r="A124" s="2">
        <v>11</v>
      </c>
      <c r="B124" s="2" t="s">
        <v>44</v>
      </c>
      <c r="C124" s="2" t="s">
        <v>1253</v>
      </c>
      <c r="D124" s="2"/>
    </row>
    <row r="125" spans="1:4">
      <c r="A125" s="3">
        <v>11</v>
      </c>
      <c r="B125" s="3" t="s">
        <v>44</v>
      </c>
      <c r="C125" s="3" t="s">
        <v>1254</v>
      </c>
      <c r="D125" s="3"/>
    </row>
    <row r="126" spans="1:4">
      <c r="A126" s="2">
        <v>11</v>
      </c>
      <c r="B126" s="2" t="s">
        <v>44</v>
      </c>
      <c r="C126" s="2" t="s">
        <v>1255</v>
      </c>
      <c r="D126" s="2"/>
    </row>
    <row r="127" spans="1:4">
      <c r="A127" s="3">
        <v>11</v>
      </c>
      <c r="B127" s="3" t="s">
        <v>44</v>
      </c>
      <c r="C127" s="3" t="s">
        <v>1256</v>
      </c>
      <c r="D127" s="3"/>
    </row>
    <row r="128" spans="1:4">
      <c r="A128" s="2">
        <v>11</v>
      </c>
      <c r="B128" s="2" t="s">
        <v>44</v>
      </c>
      <c r="C128" s="2" t="s">
        <v>1257</v>
      </c>
      <c r="D128" s="2"/>
    </row>
    <row r="129" spans="1:4">
      <c r="A129" s="3">
        <v>11</v>
      </c>
      <c r="B129" s="3" t="s">
        <v>44</v>
      </c>
      <c r="C129" s="3" t="s">
        <v>1258</v>
      </c>
      <c r="D129" s="3"/>
    </row>
    <row r="130" spans="1:4">
      <c r="A130" s="2">
        <v>11</v>
      </c>
      <c r="B130" s="2" t="s">
        <v>44</v>
      </c>
      <c r="C130" s="2" t="s">
        <v>1259</v>
      </c>
      <c r="D130" s="2"/>
    </row>
    <row r="131" spans="1:4">
      <c r="A131" s="3">
        <v>11</v>
      </c>
      <c r="B131" s="3" t="s">
        <v>44</v>
      </c>
      <c r="C131" s="3" t="s">
        <v>1260</v>
      </c>
      <c r="D131" s="3"/>
    </row>
    <row r="132" spans="1:4">
      <c r="A132" s="2">
        <v>11</v>
      </c>
      <c r="B132" s="2" t="s">
        <v>44</v>
      </c>
      <c r="C132" s="2" t="s">
        <v>1261</v>
      </c>
      <c r="D132" s="2"/>
    </row>
    <row r="133" spans="1:4">
      <c r="A133" s="3">
        <v>11</v>
      </c>
      <c r="B133" s="3" t="s">
        <v>44</v>
      </c>
      <c r="C133" s="3" t="s">
        <v>1262</v>
      </c>
      <c r="D133" s="3"/>
    </row>
    <row r="134" spans="1:4">
      <c r="A134" s="2">
        <v>11</v>
      </c>
      <c r="B134" s="2" t="s">
        <v>44</v>
      </c>
      <c r="C134" s="2" t="s">
        <v>1263</v>
      </c>
      <c r="D134" s="2"/>
    </row>
    <row r="135" spans="1:4">
      <c r="A135" s="3">
        <v>11</v>
      </c>
      <c r="B135" s="3" t="s">
        <v>44</v>
      </c>
      <c r="C135" s="3" t="s">
        <v>1264</v>
      </c>
      <c r="D135" s="3"/>
    </row>
    <row r="136" spans="1:4">
      <c r="A136" s="2">
        <v>11</v>
      </c>
      <c r="B136" s="2" t="s">
        <v>44</v>
      </c>
      <c r="C136" s="2" t="s">
        <v>1265</v>
      </c>
      <c r="D136" s="2"/>
    </row>
    <row r="137" spans="1:4">
      <c r="A137" s="3">
        <v>11</v>
      </c>
      <c r="B137" s="3" t="s">
        <v>44</v>
      </c>
      <c r="C137" s="3" t="s">
        <v>1266</v>
      </c>
      <c r="D137" s="3"/>
    </row>
    <row r="138" spans="1:4">
      <c r="A138" s="2">
        <v>11</v>
      </c>
      <c r="B138" s="2" t="s">
        <v>44</v>
      </c>
      <c r="C138" s="2" t="s">
        <v>1267</v>
      </c>
      <c r="D138" s="2"/>
    </row>
    <row r="139" spans="1:4">
      <c r="A139" s="3">
        <v>11</v>
      </c>
      <c r="B139" s="3" t="s">
        <v>44</v>
      </c>
      <c r="C139" s="3" t="s">
        <v>1268</v>
      </c>
      <c r="D139" s="3"/>
    </row>
    <row r="140" spans="1:4">
      <c r="A140" s="2">
        <v>11</v>
      </c>
      <c r="B140" s="2" t="s">
        <v>44</v>
      </c>
      <c r="C140" s="2" t="s">
        <v>1269</v>
      </c>
      <c r="D140" s="2"/>
    </row>
    <row r="141" spans="1:4">
      <c r="A141" s="3">
        <v>11</v>
      </c>
      <c r="B141" s="3" t="s">
        <v>44</v>
      </c>
      <c r="C141" s="3" t="s">
        <v>1270</v>
      </c>
      <c r="D141" s="3"/>
    </row>
    <row r="142" spans="1:4">
      <c r="A142" s="2">
        <v>11</v>
      </c>
      <c r="B142" s="2" t="s">
        <v>44</v>
      </c>
      <c r="C142" s="2" t="s">
        <v>1271</v>
      </c>
      <c r="D142" s="2"/>
    </row>
    <row r="143" spans="1:4">
      <c r="A143" s="3">
        <v>11</v>
      </c>
      <c r="B143" s="3" t="s">
        <v>44</v>
      </c>
      <c r="C143" s="3" t="s">
        <v>1272</v>
      </c>
      <c r="D143" s="3"/>
    </row>
    <row r="144" spans="1:4">
      <c r="A144" s="2">
        <v>11</v>
      </c>
      <c r="B144" s="2" t="s">
        <v>44</v>
      </c>
      <c r="C144" s="2" t="s">
        <v>1273</v>
      </c>
      <c r="D144" s="2"/>
    </row>
    <row r="145" spans="1:4">
      <c r="A145" s="3">
        <v>11</v>
      </c>
      <c r="B145" s="3" t="s">
        <v>44</v>
      </c>
      <c r="C145" s="3" t="s">
        <v>1274</v>
      </c>
      <c r="D145" s="3"/>
    </row>
    <row r="146" spans="1:4">
      <c r="A146" s="2">
        <v>11</v>
      </c>
      <c r="B146" s="2" t="s">
        <v>44</v>
      </c>
      <c r="C146" s="2" t="s">
        <v>1275</v>
      </c>
      <c r="D146" s="2"/>
    </row>
    <row r="147" spans="1:4">
      <c r="A147" s="3">
        <v>11</v>
      </c>
      <c r="B147" s="3" t="s">
        <v>44</v>
      </c>
      <c r="C147" s="3" t="s">
        <v>1276</v>
      </c>
      <c r="D147" s="3"/>
    </row>
    <row r="148" spans="1:4">
      <c r="A148" s="2">
        <v>11</v>
      </c>
      <c r="B148" s="2" t="s">
        <v>44</v>
      </c>
      <c r="C148" s="2" t="s">
        <v>1277</v>
      </c>
      <c r="D148" s="2"/>
    </row>
    <row r="149" spans="1:4">
      <c r="A149" s="3">
        <v>11</v>
      </c>
      <c r="B149" s="3" t="s">
        <v>44</v>
      </c>
      <c r="C149" s="3" t="s">
        <v>1278</v>
      </c>
      <c r="D149" s="3"/>
    </row>
    <row r="150" spans="1:4">
      <c r="A150" s="2">
        <v>11</v>
      </c>
      <c r="B150" s="2" t="s">
        <v>44</v>
      </c>
      <c r="C150" s="2" t="s">
        <v>1279</v>
      </c>
      <c r="D150" s="2"/>
    </row>
    <row r="151" spans="1:4">
      <c r="A151" s="3">
        <v>11</v>
      </c>
      <c r="B151" s="3" t="s">
        <v>44</v>
      </c>
      <c r="C151" s="3" t="s">
        <v>1280</v>
      </c>
      <c r="D151" s="3"/>
    </row>
    <row r="152" spans="1:4">
      <c r="A152" s="2">
        <v>11</v>
      </c>
      <c r="B152" s="2" t="s">
        <v>44</v>
      </c>
      <c r="C152" s="2" t="s">
        <v>1281</v>
      </c>
      <c r="D152" s="2"/>
    </row>
    <row r="153" spans="1:4">
      <c r="A153" s="3">
        <v>11</v>
      </c>
      <c r="B153" s="3" t="s">
        <v>44</v>
      </c>
      <c r="C153" s="3" t="s">
        <v>1282</v>
      </c>
      <c r="D153" s="3"/>
    </row>
    <row r="154" spans="1:4">
      <c r="A154" s="2">
        <v>11</v>
      </c>
      <c r="B154" s="2" t="s">
        <v>44</v>
      </c>
      <c r="C154" s="2" t="s">
        <v>1283</v>
      </c>
      <c r="D154" s="2"/>
    </row>
    <row r="155" spans="1:4">
      <c r="A155" s="3">
        <v>11</v>
      </c>
      <c r="B155" s="3" t="s">
        <v>44</v>
      </c>
      <c r="C155" s="3" t="s">
        <v>1284</v>
      </c>
      <c r="D155" s="3"/>
    </row>
    <row r="156" spans="1:4">
      <c r="A156" s="2">
        <v>11</v>
      </c>
      <c r="B156" s="2" t="s">
        <v>44</v>
      </c>
      <c r="C156" s="2" t="s">
        <v>1285</v>
      </c>
      <c r="D156" s="2"/>
    </row>
    <row r="157" spans="1:4">
      <c r="A157" s="3">
        <v>11</v>
      </c>
      <c r="B157" s="3" t="s">
        <v>44</v>
      </c>
      <c r="C157" s="3" t="s">
        <v>1286</v>
      </c>
      <c r="D157" s="3"/>
    </row>
    <row r="158" spans="1:4">
      <c r="A158" s="2">
        <v>11</v>
      </c>
      <c r="B158" s="2" t="s">
        <v>44</v>
      </c>
      <c r="C158" s="2" t="s">
        <v>1287</v>
      </c>
      <c r="D158" s="2"/>
    </row>
    <row r="159" spans="1:4">
      <c r="A159" s="3">
        <v>11</v>
      </c>
      <c r="B159" s="3" t="s">
        <v>44</v>
      </c>
      <c r="C159" s="3" t="s">
        <v>1288</v>
      </c>
      <c r="D159" s="3"/>
    </row>
    <row r="160" spans="1:4">
      <c r="A160" s="2">
        <v>11</v>
      </c>
      <c r="B160" s="2" t="s">
        <v>44</v>
      </c>
      <c r="C160" s="2" t="s">
        <v>1289</v>
      </c>
      <c r="D160" s="2"/>
    </row>
    <row r="161" spans="1:4">
      <c r="A161" s="3">
        <v>11</v>
      </c>
      <c r="B161" s="3" t="s">
        <v>44</v>
      </c>
      <c r="C161" s="3" t="s">
        <v>1290</v>
      </c>
      <c r="D161" s="3"/>
    </row>
    <row r="162" spans="1:4">
      <c r="A162" s="2">
        <v>11</v>
      </c>
      <c r="B162" s="2" t="s">
        <v>44</v>
      </c>
      <c r="C162" s="2" t="s">
        <v>1291</v>
      </c>
      <c r="D162" s="2"/>
    </row>
    <row r="163" spans="1:4">
      <c r="A163" s="3">
        <v>12</v>
      </c>
      <c r="B163" s="3" t="s">
        <v>48</v>
      </c>
      <c r="C163" s="3" t="s">
        <v>1292</v>
      </c>
      <c r="D163" s="3"/>
    </row>
    <row r="164" spans="1:4">
      <c r="A164" s="2">
        <v>12</v>
      </c>
      <c r="B164" s="2" t="s">
        <v>48</v>
      </c>
      <c r="C164" s="2" t="s">
        <v>1293</v>
      </c>
      <c r="D164" s="2"/>
    </row>
    <row r="165" spans="1:4">
      <c r="A165" s="3">
        <v>12</v>
      </c>
      <c r="B165" s="3" t="s">
        <v>48</v>
      </c>
      <c r="C165" s="3" t="s">
        <v>1294</v>
      </c>
      <c r="D165" s="3"/>
    </row>
    <row r="166" spans="1:4">
      <c r="A166" s="2">
        <v>12</v>
      </c>
      <c r="B166" s="2" t="s">
        <v>48</v>
      </c>
      <c r="C166" s="2" t="s">
        <v>1295</v>
      </c>
      <c r="D166" s="2"/>
    </row>
    <row r="167" spans="1:4">
      <c r="A167" s="3">
        <v>12</v>
      </c>
      <c r="B167" s="3" t="s">
        <v>48</v>
      </c>
      <c r="C167" s="3" t="s">
        <v>1296</v>
      </c>
      <c r="D167" s="3"/>
    </row>
    <row r="168" spans="1:4">
      <c r="A168" s="2">
        <v>12</v>
      </c>
      <c r="B168" s="2" t="s">
        <v>48</v>
      </c>
      <c r="C168" s="2" t="s">
        <v>1297</v>
      </c>
      <c r="D168" s="2"/>
    </row>
    <row r="169" spans="1:4">
      <c r="A169" s="3">
        <v>12</v>
      </c>
      <c r="B169" s="3" t="s">
        <v>48</v>
      </c>
      <c r="C169" s="3" t="s">
        <v>1298</v>
      </c>
      <c r="D169" s="3"/>
    </row>
    <row r="170" spans="1:4">
      <c r="A170" s="2">
        <v>12</v>
      </c>
      <c r="B170" s="2" t="s">
        <v>48</v>
      </c>
      <c r="C170" s="2" t="s">
        <v>1299</v>
      </c>
      <c r="D170" s="2"/>
    </row>
    <row r="171" spans="1:4">
      <c r="A171" s="3">
        <v>12</v>
      </c>
      <c r="B171" s="3" t="s">
        <v>48</v>
      </c>
      <c r="C171" s="3" t="s">
        <v>1300</v>
      </c>
      <c r="D171" s="3"/>
    </row>
    <row r="172" spans="1:4">
      <c r="A172" s="2">
        <v>12</v>
      </c>
      <c r="B172" s="2" t="s">
        <v>48</v>
      </c>
      <c r="C172" s="2" t="s">
        <v>1301</v>
      </c>
      <c r="D172" s="2"/>
    </row>
    <row r="173" spans="1:4">
      <c r="A173" s="3">
        <v>12</v>
      </c>
      <c r="B173" s="3" t="s">
        <v>48</v>
      </c>
      <c r="C173" s="3" t="s">
        <v>1302</v>
      </c>
      <c r="D173" s="3"/>
    </row>
    <row r="174" spans="1:4">
      <c r="A174" s="2">
        <v>12</v>
      </c>
      <c r="B174" s="2" t="s">
        <v>48</v>
      </c>
      <c r="C174" s="2" t="s">
        <v>1303</v>
      </c>
      <c r="D174" s="2"/>
    </row>
    <row r="175" spans="1:4">
      <c r="A175" s="3">
        <v>12</v>
      </c>
      <c r="B175" s="3" t="s">
        <v>48</v>
      </c>
      <c r="C175" s="3" t="s">
        <v>1304</v>
      </c>
      <c r="D175" s="3"/>
    </row>
    <row r="176" spans="1:4">
      <c r="A176" s="2">
        <v>12</v>
      </c>
      <c r="B176" s="2" t="s">
        <v>48</v>
      </c>
      <c r="C176" s="2" t="s">
        <v>1305</v>
      </c>
      <c r="D176" s="2"/>
    </row>
    <row r="177" spans="1:4">
      <c r="A177" s="3">
        <v>12</v>
      </c>
      <c r="B177" s="3" t="s">
        <v>48</v>
      </c>
      <c r="C177" s="3" t="s">
        <v>1306</v>
      </c>
      <c r="D177" s="3"/>
    </row>
    <row r="178" spans="1:4">
      <c r="A178" s="2">
        <v>12</v>
      </c>
      <c r="B178" s="2" t="s">
        <v>48</v>
      </c>
      <c r="C178" s="2" t="s">
        <v>1307</v>
      </c>
      <c r="D178" s="2"/>
    </row>
    <row r="179" spans="1:4">
      <c r="A179" s="3">
        <v>12</v>
      </c>
      <c r="B179" s="3" t="s">
        <v>48</v>
      </c>
      <c r="C179" s="3" t="s">
        <v>1308</v>
      </c>
      <c r="D179" s="3"/>
    </row>
    <row r="180" spans="1:4">
      <c r="A180" s="2">
        <v>12</v>
      </c>
      <c r="B180" s="2" t="s">
        <v>48</v>
      </c>
      <c r="C180" s="2" t="s">
        <v>1309</v>
      </c>
      <c r="D180" s="2"/>
    </row>
    <row r="181" spans="1:4">
      <c r="A181" s="3">
        <v>12</v>
      </c>
      <c r="B181" s="3" t="s">
        <v>48</v>
      </c>
      <c r="C181" s="3" t="s">
        <v>1310</v>
      </c>
      <c r="D181" s="3"/>
    </row>
    <row r="182" spans="1:4">
      <c r="A182" s="2">
        <v>12</v>
      </c>
      <c r="B182" s="2" t="s">
        <v>48</v>
      </c>
      <c r="C182" s="2" t="s">
        <v>1311</v>
      </c>
      <c r="D182" s="2"/>
    </row>
    <row r="183" spans="1:4">
      <c r="A183" s="3">
        <v>12</v>
      </c>
      <c r="B183" s="3" t="s">
        <v>48</v>
      </c>
      <c r="C183" s="3" t="s">
        <v>1312</v>
      </c>
      <c r="D183" s="3"/>
    </row>
    <row r="184" spans="1:4">
      <c r="A184" s="2">
        <v>12</v>
      </c>
      <c r="B184" s="2" t="s">
        <v>48</v>
      </c>
      <c r="C184" s="2" t="s">
        <v>1313</v>
      </c>
      <c r="D184" s="2"/>
    </row>
    <row r="185" spans="1:4">
      <c r="A185" s="3">
        <v>12</v>
      </c>
      <c r="B185" s="3" t="s">
        <v>48</v>
      </c>
      <c r="C185" s="3" t="s">
        <v>1314</v>
      </c>
      <c r="D185" s="3"/>
    </row>
    <row r="186" spans="1:4">
      <c r="A186" s="2">
        <v>12</v>
      </c>
      <c r="B186" s="2" t="s">
        <v>48</v>
      </c>
      <c r="C186" s="2" t="s">
        <v>1315</v>
      </c>
      <c r="D186" s="2"/>
    </row>
    <row r="187" spans="1:4">
      <c r="A187" s="3">
        <v>13</v>
      </c>
      <c r="B187" s="3" t="s">
        <v>50</v>
      </c>
      <c r="C187" s="3" t="s">
        <v>1316</v>
      </c>
      <c r="D187" s="3"/>
    </row>
    <row r="188" spans="1:4">
      <c r="A188" s="2">
        <v>13</v>
      </c>
      <c r="B188" s="2" t="s">
        <v>50</v>
      </c>
      <c r="C188" s="2" t="s">
        <v>1317</v>
      </c>
      <c r="D188" s="2"/>
    </row>
    <row r="189" spans="1:4">
      <c r="A189" s="3">
        <v>13</v>
      </c>
      <c r="B189" s="3" t="s">
        <v>50</v>
      </c>
      <c r="C189" s="3" t="s">
        <v>1318</v>
      </c>
      <c r="D189" s="3"/>
    </row>
    <row r="190" spans="1:4">
      <c r="A190" s="2">
        <v>13</v>
      </c>
      <c r="B190" s="2" t="s">
        <v>50</v>
      </c>
      <c r="C190" s="2" t="s">
        <v>1319</v>
      </c>
      <c r="D190" s="2"/>
    </row>
    <row r="191" spans="1:4">
      <c r="A191" s="3">
        <v>13</v>
      </c>
      <c r="B191" s="3" t="s">
        <v>50</v>
      </c>
      <c r="C191" s="3" t="s">
        <v>1320</v>
      </c>
      <c r="D191" s="3"/>
    </row>
    <row r="192" spans="1:4">
      <c r="A192" s="2">
        <v>13</v>
      </c>
      <c r="B192" s="2" t="s">
        <v>50</v>
      </c>
      <c r="C192" s="2" t="s">
        <v>1321</v>
      </c>
      <c r="D192" s="2"/>
    </row>
    <row r="193" spans="1:4">
      <c r="A193" s="3">
        <v>13</v>
      </c>
      <c r="B193" s="3" t="s">
        <v>50</v>
      </c>
      <c r="C193" s="3" t="s">
        <v>1322</v>
      </c>
      <c r="D193" s="3"/>
    </row>
    <row r="194" spans="1:4">
      <c r="A194" s="2">
        <v>13</v>
      </c>
      <c r="B194" s="2" t="s">
        <v>50</v>
      </c>
      <c r="C194" s="2" t="s">
        <v>1323</v>
      </c>
      <c r="D194" s="2"/>
    </row>
    <row r="195" spans="1:4">
      <c r="A195" s="3">
        <v>13</v>
      </c>
      <c r="B195" s="3" t="s">
        <v>50</v>
      </c>
      <c r="C195" s="3" t="s">
        <v>1324</v>
      </c>
      <c r="D195" s="3"/>
    </row>
    <row r="196" spans="1:4">
      <c r="A196" s="2">
        <v>14</v>
      </c>
      <c r="B196" s="2" t="s">
        <v>53</v>
      </c>
      <c r="C196" s="2" t="s">
        <v>1325</v>
      </c>
      <c r="D196" s="2"/>
    </row>
    <row r="197" spans="1:4">
      <c r="A197" s="3">
        <v>14</v>
      </c>
      <c r="B197" s="3" t="s">
        <v>53</v>
      </c>
      <c r="C197" s="3" t="s">
        <v>1326</v>
      </c>
      <c r="D197" s="3"/>
    </row>
    <row r="198" spans="1:4">
      <c r="A198" s="2">
        <v>14</v>
      </c>
      <c r="B198" s="2" t="s">
        <v>53</v>
      </c>
      <c r="C198" s="2" t="s">
        <v>1327</v>
      </c>
      <c r="D198" s="2"/>
    </row>
    <row r="199" spans="1:4">
      <c r="A199" s="3">
        <v>14</v>
      </c>
      <c r="B199" s="3" t="s">
        <v>53</v>
      </c>
      <c r="C199" s="3" t="s">
        <v>1328</v>
      </c>
      <c r="D199" s="3"/>
    </row>
    <row r="200" spans="1:4">
      <c r="A200" s="2">
        <v>14</v>
      </c>
      <c r="B200" s="2" t="s">
        <v>53</v>
      </c>
      <c r="C200" s="2" t="s">
        <v>1329</v>
      </c>
      <c r="D200" s="2"/>
    </row>
    <row r="201" spans="1:4">
      <c r="A201" s="3">
        <v>14</v>
      </c>
      <c r="B201" s="3" t="s">
        <v>53</v>
      </c>
      <c r="C201" s="3" t="s">
        <v>1330</v>
      </c>
      <c r="D201" s="3"/>
    </row>
    <row r="202" spans="1:4">
      <c r="A202" s="2">
        <v>14</v>
      </c>
      <c r="B202" s="2" t="s">
        <v>53</v>
      </c>
      <c r="C202" s="2" t="s">
        <v>1331</v>
      </c>
      <c r="D202" s="2"/>
    </row>
    <row r="203" spans="1:4">
      <c r="A203" s="3">
        <v>14</v>
      </c>
      <c r="B203" s="3" t="s">
        <v>53</v>
      </c>
      <c r="C203" s="3" t="s">
        <v>1332</v>
      </c>
      <c r="D203" s="3"/>
    </row>
    <row r="204" spans="1:4">
      <c r="A204" s="2">
        <v>14</v>
      </c>
      <c r="B204" s="2" t="s">
        <v>53</v>
      </c>
      <c r="C204" s="2" t="s">
        <v>1333</v>
      </c>
      <c r="D204" s="2"/>
    </row>
    <row r="205" spans="1:4">
      <c r="A205" s="3">
        <v>16</v>
      </c>
      <c r="B205" s="3" t="s">
        <v>72</v>
      </c>
      <c r="C205" s="3" t="s">
        <v>1334</v>
      </c>
      <c r="D205" s="3"/>
    </row>
    <row r="206" spans="1:4">
      <c r="A206" s="2">
        <v>16</v>
      </c>
      <c r="B206" s="2" t="s">
        <v>72</v>
      </c>
      <c r="C206" s="2" t="s">
        <v>1335</v>
      </c>
      <c r="D206" s="2"/>
    </row>
    <row r="207" spans="1:4">
      <c r="A207" s="3">
        <v>16</v>
      </c>
      <c r="B207" s="3" t="s">
        <v>72</v>
      </c>
      <c r="C207" s="3" t="s">
        <v>1336</v>
      </c>
      <c r="D207" s="3"/>
    </row>
    <row r="208" spans="1:4">
      <c r="A208" s="2">
        <v>16</v>
      </c>
      <c r="B208" s="2" t="s">
        <v>72</v>
      </c>
      <c r="C208" s="2" t="s">
        <v>1337</v>
      </c>
      <c r="D208" s="2"/>
    </row>
    <row r="209" spans="1:4">
      <c r="A209" s="3">
        <v>16</v>
      </c>
      <c r="B209" s="3" t="s">
        <v>72</v>
      </c>
      <c r="C209" s="3" t="s">
        <v>1338</v>
      </c>
      <c r="D209" s="3"/>
    </row>
    <row r="210" spans="1:4">
      <c r="A210" s="2">
        <v>17</v>
      </c>
      <c r="B210" s="2" t="s">
        <v>76</v>
      </c>
      <c r="C210" s="2" t="s">
        <v>1339</v>
      </c>
      <c r="D210" s="2"/>
    </row>
    <row r="211" spans="1:4">
      <c r="A211" s="3">
        <v>17</v>
      </c>
      <c r="B211" s="3" t="s">
        <v>76</v>
      </c>
      <c r="C211" s="3" t="s">
        <v>1340</v>
      </c>
      <c r="D211" s="3"/>
    </row>
    <row r="212" spans="1:4">
      <c r="A212" s="2">
        <v>17</v>
      </c>
      <c r="B212" s="2" t="s">
        <v>76</v>
      </c>
      <c r="C212" s="2" t="s">
        <v>1341</v>
      </c>
      <c r="D212" s="2"/>
    </row>
    <row r="213" spans="1:4">
      <c r="A213" s="3">
        <v>17</v>
      </c>
      <c r="B213" s="3" t="s">
        <v>76</v>
      </c>
      <c r="C213" s="3">
        <f>∇ i:(6)</f>
        <v>0</v>
      </c>
      <c r="D213" s="3"/>
    </row>
    <row r="214" spans="1:4">
      <c r="A214" s="2">
        <v>17</v>
      </c>
      <c r="B214" s="2" t="s">
        <v>76</v>
      </c>
      <c r="C214" s="2">
        <f>∇ (i∇Ti) +∇ (e∇Te) +∇ (iu): (7)</f>
        <v>0</v>
      </c>
      <c r="D214" s="2"/>
    </row>
    <row r="215" spans="1:4">
      <c r="A215" s="3">
        <v>17</v>
      </c>
      <c r="B215" s="3" t="s">
        <v>76</v>
      </c>
      <c r="C215" s="3" t="s">
        <v>1342</v>
      </c>
      <c r="D215" s="3"/>
    </row>
    <row r="216" spans="1:4">
      <c r="A216" s="2">
        <v>17</v>
      </c>
      <c r="B216" s="2" t="s">
        <v>76</v>
      </c>
      <c r="C216" s="2">
        <f>u ∇pe+∇ (e∇Te) +jEQei: (9)</f>
        <v>0</v>
      </c>
      <c r="D216" s="2"/>
    </row>
    <row r="217" spans="1:4">
      <c r="A217" s="3">
        <v>17</v>
      </c>
      <c r="B217" s="3" t="s">
        <v>76</v>
      </c>
      <c r="C217" s="3" t="s">
        <v>1343</v>
      </c>
      <c r="D217" s="3"/>
    </row>
    <row r="218" spans="1:4">
      <c r="A218" s="2">
        <v>17</v>
      </c>
      <c r="B218" s="2" t="s">
        <v>76</v>
      </c>
      <c r="C218" s="2" t="s">
        <v>1344</v>
      </c>
      <c r="D218" s="2"/>
    </row>
    <row r="219" spans="1:4">
      <c r="A219" s="3">
        <v>17</v>
      </c>
      <c r="B219" s="3" t="s">
        <v>76</v>
      </c>
      <c r="C219" s="3" t="s">
        <v>1345</v>
      </c>
      <c r="D219" s="3"/>
    </row>
    <row r="220" spans="1:4">
      <c r="A220" s="2">
        <v>17</v>
      </c>
      <c r="B220" s="2" t="s">
        <v>76</v>
      </c>
      <c r="C220" s="2" t="s">
        <v>1346</v>
      </c>
      <c r="D220" s="2"/>
    </row>
    <row r="221" spans="1:4">
      <c r="A221" s="3">
        <v>17</v>
      </c>
      <c r="B221" s="3" t="s">
        <v>76</v>
      </c>
      <c r="C221" s="3" t="s">
        <v>1347</v>
      </c>
      <c r="D221" s="3"/>
    </row>
    <row r="222" spans="1:4">
      <c r="A222" s="2">
        <v>17</v>
      </c>
      <c r="B222" s="2" t="s">
        <v>76</v>
      </c>
      <c r="C222" s="2" t="s">
        <v>1348</v>
      </c>
      <c r="D222" s="2"/>
    </row>
    <row r="223" spans="1:4">
      <c r="A223" s="3">
        <v>17</v>
      </c>
      <c r="B223" s="3" t="s">
        <v>76</v>
      </c>
      <c r="C223" s="3" t="s">
        <v>1349</v>
      </c>
      <c r="D223" s="3"/>
    </row>
    <row r="224" spans="1:4">
      <c r="A224" s="2">
        <v>17</v>
      </c>
      <c r="B224" s="2" t="s">
        <v>76</v>
      </c>
      <c r="C224" s="2" t="s">
        <v>1350</v>
      </c>
      <c r="D224" s="2"/>
    </row>
    <row r="225" spans="1:4">
      <c r="A225" s="3">
        <v>17</v>
      </c>
      <c r="B225" s="3" t="s">
        <v>76</v>
      </c>
      <c r="C225" s="3" t="s">
        <v>1351</v>
      </c>
      <c r="D225" s="3"/>
    </row>
    <row r="226" spans="1:4">
      <c r="A226" s="2">
        <v>17</v>
      </c>
      <c r="B226" s="2" t="s">
        <v>76</v>
      </c>
      <c r="C226" s="2" t="s">
        <v>1352</v>
      </c>
      <c r="D226" s="2"/>
    </row>
    <row r="227" spans="1:4">
      <c r="A227" s="3">
        <v>17</v>
      </c>
      <c r="B227" s="3" t="s">
        <v>76</v>
      </c>
      <c r="C227" s="3" t="s">
        <v>1353</v>
      </c>
      <c r="D227" s="3"/>
    </row>
    <row r="228" spans="1:4">
      <c r="A228" s="2">
        <v>17</v>
      </c>
      <c r="B228" s="2" t="s">
        <v>76</v>
      </c>
      <c r="C228" s="2" t="s">
        <v>1354</v>
      </c>
      <c r="D228" s="2"/>
    </row>
    <row r="229" spans="1:4">
      <c r="A229" s="3">
        <v>17</v>
      </c>
      <c r="B229" s="3" t="s">
        <v>76</v>
      </c>
      <c r="C229" s="3" t="s">
        <v>1355</v>
      </c>
      <c r="D229" s="3"/>
    </row>
    <row r="230" spans="1:4">
      <c r="A230" s="2">
        <v>17</v>
      </c>
      <c r="B230" s="2" t="s">
        <v>76</v>
      </c>
      <c r="C230" s="2" t="s">
        <v>1356</v>
      </c>
      <c r="D230" s="2"/>
    </row>
    <row r="231" spans="1:4">
      <c r="A231" s="3">
        <v>17</v>
      </c>
      <c r="B231" s="3" t="s">
        <v>76</v>
      </c>
      <c r="C231" s="3" t="s">
        <v>1357</v>
      </c>
      <c r="D231" s="3"/>
    </row>
    <row r="232" spans="1:4">
      <c r="A232" s="2">
        <v>17</v>
      </c>
      <c r="B232" s="2" t="s">
        <v>76</v>
      </c>
      <c r="C232" s="2" t="s">
        <v>1358</v>
      </c>
      <c r="D232" s="2"/>
    </row>
    <row r="233" spans="1:4">
      <c r="A233" s="3">
        <v>17</v>
      </c>
      <c r="B233" s="3" t="s">
        <v>76</v>
      </c>
      <c r="C233" s="3" t="s">
        <v>1359</v>
      </c>
      <c r="D233" s="3"/>
    </row>
    <row r="234" spans="1:4">
      <c r="A234" s="2">
        <v>17</v>
      </c>
      <c r="B234" s="2" t="s">
        <v>76</v>
      </c>
      <c r="C234" s="2" t="s">
        <v>1359</v>
      </c>
      <c r="D234" s="2"/>
    </row>
    <row r="235" spans="1:4">
      <c r="A235" s="3">
        <v>17</v>
      </c>
      <c r="B235" s="3" t="s">
        <v>76</v>
      </c>
      <c r="C235" s="3" t="s">
        <v>1360</v>
      </c>
      <c r="D235" s="3"/>
    </row>
    <row r="236" spans="1:4">
      <c r="A236" s="2">
        <v>17</v>
      </c>
      <c r="B236" s="2" t="s">
        <v>76</v>
      </c>
      <c r="C236" s="2" t="s">
        <v>1361</v>
      </c>
      <c r="D236" s="2"/>
    </row>
    <row r="237" spans="1:4">
      <c r="A237" s="3">
        <v>17</v>
      </c>
      <c r="B237" s="3" t="s">
        <v>76</v>
      </c>
      <c r="C237" s="3" t="s">
        <v>1362</v>
      </c>
      <c r="D237" s="3"/>
    </row>
    <row r="238" spans="1:4">
      <c r="A238" s="2">
        <v>19</v>
      </c>
      <c r="B238" s="2" t="s">
        <v>32</v>
      </c>
      <c r="C238" s="2" t="s">
        <v>1363</v>
      </c>
      <c r="D238" s="2"/>
    </row>
    <row r="239" spans="1:4">
      <c r="A239" s="3">
        <v>19</v>
      </c>
      <c r="B239" s="3" t="s">
        <v>32</v>
      </c>
      <c r="C239" s="3" t="s">
        <v>1364</v>
      </c>
      <c r="D239" s="3"/>
    </row>
    <row r="240" spans="1:4">
      <c r="A240" s="2">
        <v>19</v>
      </c>
      <c r="B240" s="2" t="s">
        <v>32</v>
      </c>
      <c r="C240" s="2" t="s">
        <v>1365</v>
      </c>
      <c r="D240" s="2"/>
    </row>
    <row r="241" spans="1:4">
      <c r="A241" s="3">
        <v>19</v>
      </c>
      <c r="B241" s="3" t="s">
        <v>32</v>
      </c>
      <c r="C241" s="3" t="s">
        <v>1366</v>
      </c>
      <c r="D241" s="3"/>
    </row>
    <row r="242" spans="1:4">
      <c r="A242" s="2">
        <v>19</v>
      </c>
      <c r="B242" s="2" t="s">
        <v>32</v>
      </c>
      <c r="C242" s="2" t="s">
        <v>1367</v>
      </c>
      <c r="D242" s="2"/>
    </row>
    <row r="243" spans="1:4">
      <c r="A243" s="3">
        <v>19</v>
      </c>
      <c r="B243" s="3" t="s">
        <v>32</v>
      </c>
      <c r="C243" s="3" t="s">
        <v>1368</v>
      </c>
      <c r="D243" s="3"/>
    </row>
    <row r="244" spans="1:4">
      <c r="A244" s="2">
        <v>19</v>
      </c>
      <c r="B244" s="2" t="s">
        <v>32</v>
      </c>
      <c r="C244" s="2" t="s">
        <v>1369</v>
      </c>
      <c r="D244" s="2"/>
    </row>
    <row r="245" spans="1:4">
      <c r="A245" s="3">
        <v>19</v>
      </c>
      <c r="B245" s="3" t="s">
        <v>32</v>
      </c>
      <c r="C245" s="3" t="s">
        <v>1370</v>
      </c>
      <c r="D245" s="3"/>
    </row>
    <row r="246" spans="1:4">
      <c r="A246" s="2">
        <v>19</v>
      </c>
      <c r="B246" s="2" t="s">
        <v>32</v>
      </c>
      <c r="C246" s="2" t="s">
        <v>1371</v>
      </c>
      <c r="D246" s="2"/>
    </row>
    <row r="247" spans="1:4">
      <c r="A247" s="3">
        <v>19</v>
      </c>
      <c r="B247" s="3" t="s">
        <v>32</v>
      </c>
      <c r="C247" s="3" t="s">
        <v>1372</v>
      </c>
      <c r="D247" s="3"/>
    </row>
    <row r="248" spans="1:4">
      <c r="A248" s="2">
        <v>19</v>
      </c>
      <c r="B248" s="2" t="s">
        <v>32</v>
      </c>
      <c r="C248" s="2" t="s">
        <v>1373</v>
      </c>
      <c r="D248" s="2"/>
    </row>
    <row r="249" spans="1:4">
      <c r="A249" s="3">
        <v>19</v>
      </c>
      <c r="B249" s="3" t="s">
        <v>32</v>
      </c>
      <c r="C249" s="3" t="s">
        <v>1374</v>
      </c>
      <c r="D249" s="3"/>
    </row>
    <row r="250" spans="1:4">
      <c r="A250" s="2">
        <v>19</v>
      </c>
      <c r="B250" s="2" t="s">
        <v>32</v>
      </c>
      <c r="C250" s="2" t="s">
        <v>1375</v>
      </c>
      <c r="D250" s="2"/>
    </row>
    <row r="251" spans="1:4">
      <c r="A251" s="3">
        <v>19</v>
      </c>
      <c r="B251" s="3" t="s">
        <v>32</v>
      </c>
      <c r="C251" s="3" t="s">
        <v>1376</v>
      </c>
      <c r="D251" s="3"/>
    </row>
    <row r="252" spans="1:4">
      <c r="A252" s="2">
        <v>19</v>
      </c>
      <c r="B252" s="2" t="s">
        <v>32</v>
      </c>
      <c r="C252" s="2" t="s">
        <v>1377</v>
      </c>
      <c r="D252" s="2"/>
    </row>
    <row r="253" spans="1:4">
      <c r="A253" s="3">
        <v>19</v>
      </c>
      <c r="B253" s="3" t="s">
        <v>32</v>
      </c>
      <c r="C253" s="3" t="s">
        <v>1378</v>
      </c>
      <c r="D253" s="3"/>
    </row>
    <row r="254" spans="1:4">
      <c r="A254" s="2">
        <v>19</v>
      </c>
      <c r="B254" s="2" t="s">
        <v>32</v>
      </c>
      <c r="C254" s="2" t="s">
        <v>1379</v>
      </c>
      <c r="D254" s="2"/>
    </row>
    <row r="255" spans="1:4">
      <c r="A255" s="3">
        <v>19</v>
      </c>
      <c r="B255" s="3" t="s">
        <v>32</v>
      </c>
      <c r="C255" s="3" t="s">
        <v>1380</v>
      </c>
      <c r="D255" s="3"/>
    </row>
    <row r="256" spans="1:4">
      <c r="A256" s="2">
        <v>19</v>
      </c>
      <c r="B256" s="2" t="s">
        <v>32</v>
      </c>
      <c r="C256" s="2" t="s">
        <v>1381</v>
      </c>
      <c r="D256" s="2"/>
    </row>
    <row r="257" spans="1:4">
      <c r="A257" s="3">
        <v>19</v>
      </c>
      <c r="B257" s="3" t="s">
        <v>32</v>
      </c>
      <c r="C257" s="3" t="s">
        <v>1382</v>
      </c>
      <c r="D257" s="3"/>
    </row>
    <row r="258" spans="1:4">
      <c r="A258" s="2">
        <v>19</v>
      </c>
      <c r="B258" s="2" t="s">
        <v>32</v>
      </c>
      <c r="C258" s="2" t="s">
        <v>1383</v>
      </c>
      <c r="D258" s="2"/>
    </row>
    <row r="259" spans="1:4">
      <c r="A259" s="3">
        <v>19</v>
      </c>
      <c r="B259" s="3" t="s">
        <v>32</v>
      </c>
      <c r="C259" s="3" t="s">
        <v>1384</v>
      </c>
      <c r="D259" s="3"/>
    </row>
    <row r="260" spans="1:4">
      <c r="A260" s="2">
        <v>19</v>
      </c>
      <c r="B260" s="2" t="s">
        <v>32</v>
      </c>
      <c r="C260" s="2" t="s">
        <v>1385</v>
      </c>
      <c r="D260" s="2"/>
    </row>
    <row r="261" spans="1:4">
      <c r="A261" s="3">
        <v>20</v>
      </c>
      <c r="B261" s="3" t="s">
        <v>141</v>
      </c>
      <c r="C261" s="3" t="s">
        <v>1386</v>
      </c>
      <c r="D261" s="3"/>
    </row>
    <row r="262" spans="1:4">
      <c r="A262" s="2">
        <v>20</v>
      </c>
      <c r="B262" s="2" t="s">
        <v>141</v>
      </c>
      <c r="C262" s="2" t="s">
        <v>1387</v>
      </c>
      <c r="D262" s="2"/>
    </row>
    <row r="263" spans="1:4">
      <c r="A263" s="3">
        <v>20</v>
      </c>
      <c r="B263" s="3" t="s">
        <v>141</v>
      </c>
      <c r="C263" s="3" t="s">
        <v>1388</v>
      </c>
      <c r="D263" s="3"/>
    </row>
    <row r="264" spans="1:4">
      <c r="A264" s="2">
        <v>20</v>
      </c>
      <c r="B264" s="2" t="s">
        <v>141</v>
      </c>
      <c r="C264" s="2" t="s">
        <v>1389</v>
      </c>
      <c r="D264" s="2"/>
    </row>
    <row r="265" spans="1:4">
      <c r="A265" s="3">
        <v>20</v>
      </c>
      <c r="B265" s="3" t="s">
        <v>141</v>
      </c>
      <c r="C265" s="3" t="s">
        <v>1390</v>
      </c>
      <c r="D265" s="3"/>
    </row>
    <row r="266" spans="1:4">
      <c r="A266" s="2">
        <v>20</v>
      </c>
      <c r="B266" s="2" t="s">
        <v>141</v>
      </c>
      <c r="C266" s="2" t="s">
        <v>1391</v>
      </c>
      <c r="D266" s="2"/>
    </row>
    <row r="267" spans="1:4">
      <c r="A267" s="3">
        <v>20</v>
      </c>
      <c r="B267" s="3" t="s">
        <v>141</v>
      </c>
      <c r="C267" s="3" t="s">
        <v>1392</v>
      </c>
      <c r="D267" s="3"/>
    </row>
    <row r="268" spans="1:4">
      <c r="A268" s="2">
        <v>20</v>
      </c>
      <c r="B268" s="2" t="s">
        <v>141</v>
      </c>
      <c r="C268" s="2" t="s">
        <v>1393</v>
      </c>
      <c r="D268" s="2"/>
    </row>
    <row r="269" spans="1:4">
      <c r="A269" s="3">
        <v>20</v>
      </c>
      <c r="B269" s="3" t="s">
        <v>141</v>
      </c>
      <c r="C269" s="3" t="s">
        <v>1394</v>
      </c>
      <c r="D269" s="3"/>
    </row>
    <row r="270" spans="1:4">
      <c r="A270" s="2">
        <v>20</v>
      </c>
      <c r="B270" s="2" t="s">
        <v>141</v>
      </c>
      <c r="C270" s="2" t="s">
        <v>1395</v>
      </c>
      <c r="D270" s="2"/>
    </row>
    <row r="271" spans="1:4">
      <c r="A271" s="3">
        <v>20</v>
      </c>
      <c r="B271" s="3" t="s">
        <v>141</v>
      </c>
      <c r="C271" s="3" t="s">
        <v>1396</v>
      </c>
      <c r="D271" s="3"/>
    </row>
    <row r="272" spans="1:4">
      <c r="A272" s="2">
        <v>20</v>
      </c>
      <c r="B272" s="2" t="s">
        <v>141</v>
      </c>
      <c r="C272" s="2" t="s">
        <v>1397</v>
      </c>
      <c r="D272" s="2"/>
    </row>
    <row r="273" spans="1:4">
      <c r="A273" s="3">
        <v>20</v>
      </c>
      <c r="B273" s="3" t="s">
        <v>141</v>
      </c>
      <c r="C273" s="3" t="s">
        <v>1398</v>
      </c>
      <c r="D273" s="3"/>
    </row>
    <row r="274" spans="1:4">
      <c r="A274" s="2">
        <v>20</v>
      </c>
      <c r="B274" s="2" t="s">
        <v>141</v>
      </c>
      <c r="C274" s="2" t="s">
        <v>1399</v>
      </c>
      <c r="D274" s="2"/>
    </row>
    <row r="275" spans="1:4">
      <c r="A275" s="3">
        <v>20</v>
      </c>
      <c r="B275" s="3" t="s">
        <v>141</v>
      </c>
      <c r="C275" s="3" t="s">
        <v>1400</v>
      </c>
      <c r="D275" s="3"/>
    </row>
    <row r="276" spans="1:4">
      <c r="A276" s="2">
        <v>20</v>
      </c>
      <c r="B276" s="2" t="s">
        <v>141</v>
      </c>
      <c r="C276" s="2" t="s">
        <v>1401</v>
      </c>
      <c r="D276" s="2"/>
    </row>
    <row r="277" spans="1:4">
      <c r="A277" s="3">
        <v>20</v>
      </c>
      <c r="B277" s="3" t="s">
        <v>141</v>
      </c>
      <c r="C277" s="3" t="s">
        <v>1402</v>
      </c>
      <c r="D277" s="3"/>
    </row>
    <row r="278" spans="1:4">
      <c r="A278" s="2">
        <v>20</v>
      </c>
      <c r="B278" s="2" t="s">
        <v>141</v>
      </c>
      <c r="C278" s="2" t="s">
        <v>1403</v>
      </c>
      <c r="D278" s="2"/>
    </row>
    <row r="279" spans="1:4">
      <c r="A279" s="3">
        <v>20</v>
      </c>
      <c r="B279" s="3" t="s">
        <v>141</v>
      </c>
      <c r="C279" s="3" t="s">
        <v>1404</v>
      </c>
      <c r="D279" s="3"/>
    </row>
    <row r="280" spans="1:4">
      <c r="A280" s="2">
        <v>20</v>
      </c>
      <c r="B280" s="2" t="s">
        <v>141</v>
      </c>
      <c r="C280" s="2" t="s">
        <v>1405</v>
      </c>
      <c r="D280" s="2"/>
    </row>
    <row r="281" spans="1:4">
      <c r="A281" s="3">
        <v>20</v>
      </c>
      <c r="B281" s="3" t="s">
        <v>141</v>
      </c>
      <c r="C281" s="3" t="s">
        <v>1406</v>
      </c>
      <c r="D281" s="3"/>
    </row>
    <row r="282" spans="1:4">
      <c r="A282" s="2">
        <v>20</v>
      </c>
      <c r="B282" s="2" t="s">
        <v>141</v>
      </c>
      <c r="C282" s="2" t="s">
        <v>1407</v>
      </c>
      <c r="D282" s="2"/>
    </row>
    <row r="283" spans="1:4">
      <c r="A283" s="3">
        <v>20</v>
      </c>
      <c r="B283" s="3" t="s">
        <v>141</v>
      </c>
      <c r="C283" s="3" t="s">
        <v>1408</v>
      </c>
      <c r="D283" s="3"/>
    </row>
    <row r="284" spans="1:4">
      <c r="A284" s="2">
        <v>20</v>
      </c>
      <c r="B284" s="2" t="s">
        <v>141</v>
      </c>
      <c r="C284" s="2" t="s">
        <v>1409</v>
      </c>
      <c r="D284" s="2"/>
    </row>
    <row r="285" spans="1:4">
      <c r="A285" s="3">
        <v>20</v>
      </c>
      <c r="B285" s="3" t="s">
        <v>141</v>
      </c>
      <c r="C285" s="3" t="s">
        <v>1410</v>
      </c>
      <c r="D285" s="3"/>
    </row>
    <row r="286" spans="1:4">
      <c r="A286" s="2">
        <v>20</v>
      </c>
      <c r="B286" s="2" t="s">
        <v>141</v>
      </c>
      <c r="C286" s="2" t="s">
        <v>1411</v>
      </c>
      <c r="D286" s="2"/>
    </row>
    <row r="287" spans="1:4">
      <c r="A287" s="3">
        <v>20</v>
      </c>
      <c r="B287" s="3" t="s">
        <v>141</v>
      </c>
      <c r="C287" s="3" t="s">
        <v>1412</v>
      </c>
      <c r="D287" s="3"/>
    </row>
    <row r="288" spans="1:4">
      <c r="A288" s="2">
        <v>20</v>
      </c>
      <c r="B288" s="2" t="s">
        <v>141</v>
      </c>
      <c r="C288" s="2" t="s">
        <v>1413</v>
      </c>
      <c r="D288" s="2"/>
    </row>
    <row r="289" spans="1:4">
      <c r="A289" s="3">
        <v>20</v>
      </c>
      <c r="B289" s="3" t="s">
        <v>141</v>
      </c>
      <c r="C289" s="3" t="s">
        <v>1414</v>
      </c>
      <c r="D289" s="3"/>
    </row>
    <row r="290" spans="1:4">
      <c r="A290" s="2">
        <v>20</v>
      </c>
      <c r="B290" s="2" t="s">
        <v>141</v>
      </c>
      <c r="C290" s="2" t="s">
        <v>1415</v>
      </c>
      <c r="D290" s="2"/>
    </row>
    <row r="291" spans="1:4">
      <c r="A291" s="3">
        <v>20</v>
      </c>
      <c r="B291" s="3" t="s">
        <v>141</v>
      </c>
      <c r="C291" s="3" t="s">
        <v>1416</v>
      </c>
      <c r="D291" s="3"/>
    </row>
    <row r="292" spans="1:4">
      <c r="A292" s="2">
        <v>20</v>
      </c>
      <c r="B292" s="2" t="s">
        <v>141</v>
      </c>
      <c r="C292" s="2" t="s">
        <v>1417</v>
      </c>
      <c r="D292" s="2"/>
    </row>
    <row r="293" spans="1:4">
      <c r="A293" s="3">
        <v>20</v>
      </c>
      <c r="B293" s="3" t="s">
        <v>141</v>
      </c>
      <c r="C293" s="3" t="s">
        <v>1418</v>
      </c>
      <c r="D293" s="3"/>
    </row>
    <row r="294" spans="1:4">
      <c r="A294" s="2">
        <v>20</v>
      </c>
      <c r="B294" s="2" t="s">
        <v>141</v>
      </c>
      <c r="C294" s="2" t="s">
        <v>1419</v>
      </c>
      <c r="D294" s="2"/>
    </row>
    <row r="295" spans="1:4">
      <c r="A295" s="3">
        <v>20</v>
      </c>
      <c r="B295" s="3" t="s">
        <v>141</v>
      </c>
      <c r="C295" s="3" t="s">
        <v>1420</v>
      </c>
      <c r="D295" s="3"/>
    </row>
    <row r="296" spans="1:4">
      <c r="A296" s="2">
        <v>20</v>
      </c>
      <c r="B296" s="2" t="s">
        <v>141</v>
      </c>
      <c r="C296" s="2" t="s">
        <v>1421</v>
      </c>
      <c r="D296" s="2"/>
    </row>
    <row r="297" spans="1:4">
      <c r="A297" s="3">
        <v>20</v>
      </c>
      <c r="B297" s="3" t="s">
        <v>141</v>
      </c>
      <c r="C297" s="3" t="s">
        <v>1422</v>
      </c>
      <c r="D297" s="3"/>
    </row>
    <row r="298" spans="1:4">
      <c r="A298" s="2">
        <v>20</v>
      </c>
      <c r="B298" s="2" t="s">
        <v>141</v>
      </c>
      <c r="C298" s="2" t="s">
        <v>1423</v>
      </c>
      <c r="D298" s="2"/>
    </row>
    <row r="299" spans="1:4">
      <c r="A299" s="3">
        <v>20</v>
      </c>
      <c r="B299" s="3" t="s">
        <v>141</v>
      </c>
      <c r="C299" s="3" t="s">
        <v>1424</v>
      </c>
      <c r="D299" s="3"/>
    </row>
    <row r="300" spans="1:4">
      <c r="A300" s="2">
        <v>20</v>
      </c>
      <c r="B300" s="2" t="s">
        <v>141</v>
      </c>
      <c r="C300" s="2" t="s">
        <v>1425</v>
      </c>
      <c r="D300" s="2"/>
    </row>
    <row r="301" spans="1:4">
      <c r="A301" s="3">
        <v>20</v>
      </c>
      <c r="B301" s="3" t="s">
        <v>141</v>
      </c>
      <c r="C301" s="3" t="s">
        <v>1426</v>
      </c>
      <c r="D301" s="3"/>
    </row>
    <row r="302" spans="1:4">
      <c r="A302" s="2">
        <v>20</v>
      </c>
      <c r="B302" s="2" t="s">
        <v>141</v>
      </c>
      <c r="C302" s="2" t="s">
        <v>1427</v>
      </c>
      <c r="D302" s="2"/>
    </row>
    <row r="303" spans="1:4">
      <c r="A303" s="3">
        <v>20</v>
      </c>
      <c r="B303" s="3" t="s">
        <v>141</v>
      </c>
      <c r="C303" s="3" t="s">
        <v>1428</v>
      </c>
      <c r="D303" s="3"/>
    </row>
    <row r="304" spans="1:4">
      <c r="A304" s="2">
        <v>20</v>
      </c>
      <c r="B304" s="2" t="s">
        <v>141</v>
      </c>
      <c r="C304" s="2" t="s">
        <v>1429</v>
      </c>
      <c r="D304" s="2"/>
    </row>
    <row r="305" spans="1:4">
      <c r="A305" s="3">
        <v>20</v>
      </c>
      <c r="B305" s="3" t="s">
        <v>141</v>
      </c>
      <c r="C305" s="3" t="s">
        <v>1430</v>
      </c>
      <c r="D305" s="3"/>
    </row>
    <row r="306" spans="1:4">
      <c r="A306" s="2">
        <v>20</v>
      </c>
      <c r="B306" s="2" t="s">
        <v>141</v>
      </c>
      <c r="C306" s="2" t="s">
        <v>1431</v>
      </c>
      <c r="D306" s="2"/>
    </row>
    <row r="307" spans="1:4">
      <c r="A307" s="3">
        <v>20</v>
      </c>
      <c r="B307" s="3" t="s">
        <v>141</v>
      </c>
      <c r="C307" s="3" t="s">
        <v>1432</v>
      </c>
      <c r="D307" s="3"/>
    </row>
    <row r="308" spans="1:4">
      <c r="A308" s="2">
        <v>20</v>
      </c>
      <c r="B308" s="2" t="s">
        <v>141</v>
      </c>
      <c r="C308" s="2" t="s">
        <v>1433</v>
      </c>
      <c r="D308" s="2"/>
    </row>
    <row r="309" spans="1:4">
      <c r="A309" s="3">
        <v>20</v>
      </c>
      <c r="B309" s="3" t="s">
        <v>141</v>
      </c>
      <c r="C309" s="3" t="s">
        <v>1434</v>
      </c>
      <c r="D309" s="3"/>
    </row>
    <row r="310" spans="1:4">
      <c r="A310" s="2">
        <v>20</v>
      </c>
      <c r="B310" s="2" t="s">
        <v>141</v>
      </c>
      <c r="C310" s="2" t="s">
        <v>1435</v>
      </c>
      <c r="D310" s="2"/>
    </row>
    <row r="311" spans="1:4">
      <c r="A311" s="3">
        <v>21</v>
      </c>
      <c r="B311" s="3" t="s">
        <v>228</v>
      </c>
      <c r="C311" s="3" t="s">
        <v>1436</v>
      </c>
      <c r="D311" s="3"/>
    </row>
    <row r="312" spans="1:4">
      <c r="A312" s="2">
        <v>21</v>
      </c>
      <c r="B312" s="2" t="s">
        <v>228</v>
      </c>
      <c r="C312" s="2" t="s">
        <v>1437</v>
      </c>
      <c r="D312" s="2"/>
    </row>
    <row r="313" spans="1:4">
      <c r="A313" s="3">
        <v>21</v>
      </c>
      <c r="B313" s="3" t="s">
        <v>228</v>
      </c>
      <c r="C313" s="3" t="s">
        <v>1438</v>
      </c>
      <c r="D313" s="3"/>
    </row>
    <row r="314" spans="1:4">
      <c r="A314" s="2">
        <v>21</v>
      </c>
      <c r="B314" s="2" t="s">
        <v>228</v>
      </c>
      <c r="C314" s="2" t="s">
        <v>1439</v>
      </c>
      <c r="D314" s="2"/>
    </row>
    <row r="315" spans="1:4">
      <c r="A315" s="3">
        <v>21</v>
      </c>
      <c r="B315" s="3" t="s">
        <v>228</v>
      </c>
      <c r="C315" s="3" t="s">
        <v>1440</v>
      </c>
      <c r="D315" s="3"/>
    </row>
    <row r="316" spans="1:4">
      <c r="A316" s="2">
        <v>21</v>
      </c>
      <c r="B316" s="2" t="s">
        <v>228</v>
      </c>
      <c r="C316" s="2" t="s">
        <v>1441</v>
      </c>
      <c r="D316" s="2"/>
    </row>
    <row r="317" spans="1:4">
      <c r="A317" s="3">
        <v>21</v>
      </c>
      <c r="B317" s="3" t="s">
        <v>228</v>
      </c>
      <c r="C317" s="3" t="s">
        <v>1442</v>
      </c>
      <c r="D317" s="3"/>
    </row>
    <row r="318" spans="1:4">
      <c r="A318" s="2">
        <v>21</v>
      </c>
      <c r="B318" s="2" t="s">
        <v>228</v>
      </c>
      <c r="C318" s="2" t="s">
        <v>1443</v>
      </c>
      <c r="D318" s="2"/>
    </row>
    <row r="319" spans="1:4">
      <c r="A319" s="3">
        <v>21</v>
      </c>
      <c r="B319" s="3" t="s">
        <v>228</v>
      </c>
      <c r="C319" s="3" t="s">
        <v>1444</v>
      </c>
      <c r="D319" s="3"/>
    </row>
    <row r="320" spans="1:4">
      <c r="A320" s="2">
        <v>21</v>
      </c>
      <c r="B320" s="2" t="s">
        <v>228</v>
      </c>
      <c r="C320" s="2" t="s">
        <v>1445</v>
      </c>
      <c r="D320" s="2"/>
    </row>
    <row r="321" spans="1:4">
      <c r="A321" s="3">
        <v>21</v>
      </c>
      <c r="B321" s="3" t="s">
        <v>228</v>
      </c>
      <c r="C321" s="3" t="s">
        <v>1446</v>
      </c>
      <c r="D321" s="3"/>
    </row>
    <row r="322" spans="1:4">
      <c r="A322" s="2">
        <v>21</v>
      </c>
      <c r="B322" s="2" t="s">
        <v>228</v>
      </c>
      <c r="C322" s="2" t="s">
        <v>1447</v>
      </c>
      <c r="D322" s="2"/>
    </row>
    <row r="323" spans="1:4">
      <c r="A323" s="3">
        <v>21</v>
      </c>
      <c r="B323" s="3" t="s">
        <v>228</v>
      </c>
      <c r="C323" s="3" t="s">
        <v>1448</v>
      </c>
      <c r="D323" s="3"/>
    </row>
    <row r="324" spans="1:4">
      <c r="A324" s="2">
        <v>21</v>
      </c>
      <c r="B324" s="2" t="s">
        <v>228</v>
      </c>
      <c r="C324" s="2" t="s">
        <v>1449</v>
      </c>
      <c r="D324" s="2"/>
    </row>
    <row r="325" spans="1:4">
      <c r="A325" s="3">
        <v>21</v>
      </c>
      <c r="B325" s="3" t="s">
        <v>228</v>
      </c>
      <c r="C325" s="3" t="s">
        <v>1450</v>
      </c>
      <c r="D325" s="3"/>
    </row>
    <row r="326" spans="1:4">
      <c r="A326" s="2">
        <v>21</v>
      </c>
      <c r="B326" s="2" t="s">
        <v>228</v>
      </c>
      <c r="C326" s="2" t="s">
        <v>1451</v>
      </c>
      <c r="D326" s="2"/>
    </row>
    <row r="327" spans="1:4">
      <c r="A327" s="3">
        <v>21</v>
      </c>
      <c r="B327" s="3" t="s">
        <v>228</v>
      </c>
      <c r="C327" s="3" t="s">
        <v>1452</v>
      </c>
      <c r="D327" s="3"/>
    </row>
    <row r="328" spans="1:4">
      <c r="A328" s="2">
        <v>21</v>
      </c>
      <c r="B328" s="2" t="s">
        <v>228</v>
      </c>
      <c r="C328" s="2" t="s">
        <v>1453</v>
      </c>
      <c r="D328" s="2"/>
    </row>
    <row r="329" spans="1:4">
      <c r="A329" s="3">
        <v>21</v>
      </c>
      <c r="B329" s="3" t="s">
        <v>228</v>
      </c>
      <c r="C329" s="3" t="s">
        <v>1454</v>
      </c>
      <c r="D329" s="3"/>
    </row>
    <row r="330" spans="1:4">
      <c r="A330" s="2">
        <v>21</v>
      </c>
      <c r="B330" s="2" t="s">
        <v>228</v>
      </c>
      <c r="C330" s="2" t="s">
        <v>1455</v>
      </c>
      <c r="D330" s="2"/>
    </row>
    <row r="331" spans="1:4">
      <c r="A331" s="3">
        <v>21</v>
      </c>
      <c r="B331" s="3" t="s">
        <v>228</v>
      </c>
      <c r="C331" s="3" t="s">
        <v>1456</v>
      </c>
      <c r="D331" s="3"/>
    </row>
    <row r="332" spans="1:4">
      <c r="A332" s="2">
        <v>21</v>
      </c>
      <c r="B332" s="2" t="s">
        <v>228</v>
      </c>
      <c r="C332" s="2" t="s">
        <v>1457</v>
      </c>
      <c r="D332" s="2"/>
    </row>
    <row r="333" spans="1:4">
      <c r="A333" s="3">
        <v>21</v>
      </c>
      <c r="B333" s="3" t="s">
        <v>228</v>
      </c>
      <c r="C333" s="3" t="s">
        <v>1458</v>
      </c>
      <c r="D333" s="3"/>
    </row>
    <row r="334" spans="1:4">
      <c r="A334" s="2">
        <v>21</v>
      </c>
      <c r="B334" s="2" t="s">
        <v>228</v>
      </c>
      <c r="C334" s="2" t="s">
        <v>1459</v>
      </c>
      <c r="D334" s="2"/>
    </row>
    <row r="335" spans="1:4">
      <c r="A335" s="3">
        <v>21</v>
      </c>
      <c r="B335" s="3" t="s">
        <v>228</v>
      </c>
      <c r="C335" s="3" t="s">
        <v>1460</v>
      </c>
      <c r="D335" s="3"/>
    </row>
    <row r="336" spans="1:4">
      <c r="A336" s="2">
        <v>21</v>
      </c>
      <c r="B336" s="2" t="s">
        <v>228</v>
      </c>
      <c r="C336" s="2" t="s">
        <v>1461</v>
      </c>
      <c r="D336" s="2"/>
    </row>
    <row r="337" spans="1:4">
      <c r="A337" s="3">
        <v>21</v>
      </c>
      <c r="B337" s="3" t="s">
        <v>228</v>
      </c>
      <c r="C337" s="3" t="s">
        <v>1462</v>
      </c>
      <c r="D337" s="3"/>
    </row>
    <row r="338" spans="1:4">
      <c r="A338" s="2">
        <v>21</v>
      </c>
      <c r="B338" s="2" t="s">
        <v>228</v>
      </c>
      <c r="C338" s="2" t="s">
        <v>1463</v>
      </c>
      <c r="D338" s="2"/>
    </row>
    <row r="339" spans="1:4">
      <c r="A339" s="3">
        <v>21</v>
      </c>
      <c r="B339" s="3" t="s">
        <v>228</v>
      </c>
      <c r="C339" s="3" t="s">
        <v>1464</v>
      </c>
      <c r="D339" s="3"/>
    </row>
    <row r="340" spans="1:4">
      <c r="A340" s="2">
        <v>21</v>
      </c>
      <c r="B340" s="2" t="s">
        <v>228</v>
      </c>
      <c r="C340" s="2" t="s">
        <v>1465</v>
      </c>
      <c r="D340" s="2"/>
    </row>
    <row r="341" spans="1:4">
      <c r="A341" s="3">
        <v>21</v>
      </c>
      <c r="B341" s="3" t="s">
        <v>228</v>
      </c>
      <c r="C341" s="3" t="s">
        <v>1466</v>
      </c>
      <c r="D341" s="3"/>
    </row>
    <row r="342" spans="1:4">
      <c r="A342" s="2">
        <v>21</v>
      </c>
      <c r="B342" s="2" t="s">
        <v>228</v>
      </c>
      <c r="C342" s="2" t="s">
        <v>1467</v>
      </c>
      <c r="D342" s="2"/>
    </row>
    <row r="343" spans="1:4">
      <c r="A343" s="3">
        <v>21</v>
      </c>
      <c r="B343" s="3" t="s">
        <v>228</v>
      </c>
      <c r="C343" s="3" t="s">
        <v>1468</v>
      </c>
      <c r="D343" s="3"/>
    </row>
    <row r="344" spans="1:4">
      <c r="A344" s="2">
        <v>21</v>
      </c>
      <c r="B344" s="2" t="s">
        <v>228</v>
      </c>
      <c r="C344" s="2" t="s">
        <v>1469</v>
      </c>
      <c r="D344" s="2"/>
    </row>
    <row r="345" spans="1:4">
      <c r="A345" s="3">
        <v>22</v>
      </c>
      <c r="B345" s="3" t="s">
        <v>192</v>
      </c>
      <c r="C345" s="3" t="s">
        <v>1470</v>
      </c>
      <c r="D345" s="3"/>
    </row>
    <row r="346" spans="1:4">
      <c r="A346" s="2">
        <v>22</v>
      </c>
      <c r="B346" s="2" t="s">
        <v>192</v>
      </c>
      <c r="C346" s="2" t="s">
        <v>1471</v>
      </c>
      <c r="D346" s="2"/>
    </row>
    <row r="347" spans="1:4">
      <c r="A347" s="3">
        <v>22</v>
      </c>
      <c r="B347" s="3" t="s">
        <v>192</v>
      </c>
      <c r="C347" s="3" t="s">
        <v>1472</v>
      </c>
      <c r="D347" s="3"/>
    </row>
    <row r="348" spans="1:4">
      <c r="A348" s="2">
        <v>22</v>
      </c>
      <c r="B348" s="2" t="s">
        <v>192</v>
      </c>
      <c r="C348" s="2" t="s">
        <v>1473</v>
      </c>
      <c r="D348" s="2"/>
    </row>
    <row r="349" spans="1:4">
      <c r="A349" s="3">
        <v>22</v>
      </c>
      <c r="B349" s="3" t="s">
        <v>192</v>
      </c>
      <c r="C349" s="3" t="s">
        <v>1474</v>
      </c>
      <c r="D349" s="3"/>
    </row>
    <row r="350" spans="1:4">
      <c r="A350" s="2">
        <v>22</v>
      </c>
      <c r="B350" s="2" t="s">
        <v>192</v>
      </c>
      <c r="C350" s="2" t="s">
        <v>1475</v>
      </c>
      <c r="D350" s="2"/>
    </row>
    <row r="351" spans="1:4">
      <c r="A351" s="3">
        <v>22</v>
      </c>
      <c r="B351" s="3" t="s">
        <v>192</v>
      </c>
      <c r="C351" s="3" t="s">
        <v>1476</v>
      </c>
      <c r="D351" s="3"/>
    </row>
    <row r="352" spans="1:4">
      <c r="A352" s="2">
        <v>22</v>
      </c>
      <c r="B352" s="2" t="s">
        <v>192</v>
      </c>
      <c r="C352" s="2" t="s">
        <v>1477</v>
      </c>
      <c r="D352" s="2"/>
    </row>
    <row r="353" spans="1:4">
      <c r="A353" s="3">
        <v>22</v>
      </c>
      <c r="B353" s="3" t="s">
        <v>192</v>
      </c>
      <c r="C353" s="3" t="s">
        <v>1478</v>
      </c>
      <c r="D353" s="3"/>
    </row>
    <row r="354" spans="1:4">
      <c r="A354" s="2">
        <v>22</v>
      </c>
      <c r="B354" s="2" t="s">
        <v>192</v>
      </c>
      <c r="C354" s="2" t="s">
        <v>1479</v>
      </c>
      <c r="D354" s="2"/>
    </row>
    <row r="355" spans="1:4">
      <c r="A355" s="3">
        <v>22</v>
      </c>
      <c r="B355" s="3" t="s">
        <v>192</v>
      </c>
      <c r="C355" s="3" t="s">
        <v>1480</v>
      </c>
      <c r="D355" s="3"/>
    </row>
    <row r="356" spans="1:4">
      <c r="A356" s="2">
        <v>23</v>
      </c>
      <c r="B356" s="2" t="s">
        <v>192</v>
      </c>
      <c r="C356" s="2" t="s">
        <v>1470</v>
      </c>
      <c r="D356" s="2"/>
    </row>
    <row r="357" spans="1:4">
      <c r="A357" s="3">
        <v>23</v>
      </c>
      <c r="B357" s="3" t="s">
        <v>192</v>
      </c>
      <c r="C357" s="3" t="s">
        <v>1471</v>
      </c>
      <c r="D357" s="3"/>
    </row>
    <row r="358" spans="1:4">
      <c r="A358" s="2">
        <v>23</v>
      </c>
      <c r="B358" s="2" t="s">
        <v>192</v>
      </c>
      <c r="C358" s="2" t="s">
        <v>1472</v>
      </c>
      <c r="D358" s="2"/>
    </row>
    <row r="359" spans="1:4">
      <c r="A359" s="3">
        <v>23</v>
      </c>
      <c r="B359" s="3" t="s">
        <v>192</v>
      </c>
      <c r="C359" s="3" t="s">
        <v>1473</v>
      </c>
      <c r="D359" s="3"/>
    </row>
    <row r="360" spans="1:4">
      <c r="A360" s="2">
        <v>23</v>
      </c>
      <c r="B360" s="2" t="s">
        <v>192</v>
      </c>
      <c r="C360" s="2" t="s">
        <v>1474</v>
      </c>
      <c r="D360" s="2"/>
    </row>
    <row r="361" spans="1:4">
      <c r="A361" s="3">
        <v>23</v>
      </c>
      <c r="B361" s="3" t="s">
        <v>192</v>
      </c>
      <c r="C361" s="3" t="s">
        <v>1475</v>
      </c>
      <c r="D361" s="3"/>
    </row>
    <row r="362" spans="1:4">
      <c r="A362" s="2">
        <v>23</v>
      </c>
      <c r="B362" s="2" t="s">
        <v>192</v>
      </c>
      <c r="C362" s="2" t="s">
        <v>1476</v>
      </c>
      <c r="D362" s="2"/>
    </row>
    <row r="363" spans="1:4">
      <c r="A363" s="3">
        <v>23</v>
      </c>
      <c r="B363" s="3" t="s">
        <v>192</v>
      </c>
      <c r="C363" s="3" t="s">
        <v>1477</v>
      </c>
      <c r="D363" s="3"/>
    </row>
    <row r="364" spans="1:4">
      <c r="A364" s="2">
        <v>23</v>
      </c>
      <c r="B364" s="2" t="s">
        <v>192</v>
      </c>
      <c r="C364" s="2" t="s">
        <v>1478</v>
      </c>
      <c r="D364" s="2"/>
    </row>
    <row r="365" spans="1:4">
      <c r="A365" s="3">
        <v>23</v>
      </c>
      <c r="B365" s="3" t="s">
        <v>192</v>
      </c>
      <c r="C365" s="3" t="s">
        <v>1479</v>
      </c>
      <c r="D365" s="3"/>
    </row>
    <row r="366" spans="1:4">
      <c r="A366" s="2">
        <v>23</v>
      </c>
      <c r="B366" s="2" t="s">
        <v>192</v>
      </c>
      <c r="C366" s="2" t="s">
        <v>1480</v>
      </c>
      <c r="D366" s="2"/>
    </row>
    <row r="367" spans="1:4">
      <c r="A367" s="3">
        <v>24</v>
      </c>
      <c r="B367" s="3" t="s">
        <v>172</v>
      </c>
      <c r="C367" s="3" t="s">
        <v>1481</v>
      </c>
      <c r="D367" s="3"/>
    </row>
    <row r="368" spans="1:4">
      <c r="A368" s="2">
        <v>24</v>
      </c>
      <c r="B368" s="2" t="s">
        <v>172</v>
      </c>
      <c r="C368" s="2" t="s">
        <v>1482</v>
      </c>
      <c r="D368" s="2"/>
    </row>
    <row r="369" spans="1:4">
      <c r="A369" s="3">
        <v>24</v>
      </c>
      <c r="B369" s="3" t="s">
        <v>172</v>
      </c>
      <c r="C369" s="3">
        <f>−ue∂pe</f>
        <v>0</v>
      </c>
      <c r="D369" s="3"/>
    </row>
    <row r="370" spans="1:4">
      <c r="A370" s="2">
        <v>24</v>
      </c>
      <c r="B370" s="2" t="s">
        <v>172</v>
      </c>
      <c r="C370" s="2" t="s">
        <v>1483</v>
      </c>
      <c r="D370" s="2"/>
    </row>
    <row r="371" spans="1:4">
      <c r="A371" s="3">
        <v>24</v>
      </c>
      <c r="B371" s="3" t="s">
        <v>172</v>
      </c>
      <c r="C371" s="3" t="s">
        <v>1484</v>
      </c>
      <c r="D371" s="3"/>
    </row>
    <row r="372" spans="1:4">
      <c r="A372" s="2">
        <v>24</v>
      </c>
      <c r="B372" s="2" t="s">
        <v>172</v>
      </c>
      <c r="C372" s="2" t="s">
        <v>1485</v>
      </c>
      <c r="D372" s="2"/>
    </row>
    <row r="373" spans="1:4">
      <c r="A373" s="3">
        <v>25</v>
      </c>
      <c r="B373" s="3" t="s">
        <v>180</v>
      </c>
      <c r="C373" s="3" t="s">
        <v>1486</v>
      </c>
      <c r="D373" s="3"/>
    </row>
    <row r="374" spans="1:4">
      <c r="A374" s="2">
        <v>25</v>
      </c>
      <c r="B374" s="2" t="s">
        <v>180</v>
      </c>
      <c r="C374" s="2" t="s">
        <v>1487</v>
      </c>
      <c r="D374" s="2"/>
    </row>
    <row r="375" spans="1:4">
      <c r="A375" s="3">
        <v>25</v>
      </c>
      <c r="B375" s="3" t="s">
        <v>180</v>
      </c>
      <c r="C375" s="3" t="s">
        <v>1488</v>
      </c>
      <c r="D375" s="3"/>
    </row>
    <row r="376" spans="1:4">
      <c r="A376" s="2">
        <v>25</v>
      </c>
      <c r="B376" s="2" t="s">
        <v>180</v>
      </c>
      <c r="C376" s="2" t="s">
        <v>1489</v>
      </c>
      <c r="D376" s="2"/>
    </row>
    <row r="377" spans="1:4">
      <c r="A377" s="3">
        <v>25</v>
      </c>
      <c r="B377" s="3" t="s">
        <v>180</v>
      </c>
      <c r="C377" s="3" t="s">
        <v>1490</v>
      </c>
      <c r="D377" s="3"/>
    </row>
    <row r="378" spans="1:4">
      <c r="A378" s="2">
        <v>25</v>
      </c>
      <c r="B378" s="2" t="s">
        <v>180</v>
      </c>
      <c r="C378" s="2" t="s">
        <v>1491</v>
      </c>
      <c r="D378" s="2"/>
    </row>
    <row r="379" spans="1:4">
      <c r="A379" s="3">
        <v>25</v>
      </c>
      <c r="B379" s="3" t="s">
        <v>180</v>
      </c>
      <c r="C379" s="3" t="s">
        <v>1492</v>
      </c>
      <c r="D379" s="3"/>
    </row>
    <row r="380" spans="1:4">
      <c r="A380" s="2">
        <v>25</v>
      </c>
      <c r="B380" s="2" t="s">
        <v>180</v>
      </c>
      <c r="C380" s="2" t="s">
        <v>1493</v>
      </c>
      <c r="D380" s="2"/>
    </row>
    <row r="381" spans="1:4">
      <c r="A381" s="3">
        <v>25</v>
      </c>
      <c r="B381" s="3" t="s">
        <v>180</v>
      </c>
      <c r="C381" s="3" t="s">
        <v>1494</v>
      </c>
      <c r="D381" s="3"/>
    </row>
    <row r="382" spans="1:4">
      <c r="A382" s="2">
        <v>25</v>
      </c>
      <c r="B382" s="2" t="s">
        <v>180</v>
      </c>
      <c r="C382" s="2" t="s">
        <v>1495</v>
      </c>
      <c r="D382" s="2"/>
    </row>
    <row r="383" spans="1:4">
      <c r="A383" s="3">
        <v>25</v>
      </c>
      <c r="B383" s="3" t="s">
        <v>180</v>
      </c>
      <c r="C383" s="3" t="s">
        <v>1496</v>
      </c>
      <c r="D383" s="3"/>
    </row>
    <row r="384" spans="1:4">
      <c r="A384" s="2">
        <v>25</v>
      </c>
      <c r="B384" s="2" t="s">
        <v>180</v>
      </c>
      <c r="C384" s="2" t="s">
        <v>1497</v>
      </c>
      <c r="D384" s="2"/>
    </row>
    <row r="385" spans="1:4">
      <c r="A385" s="3">
        <v>26</v>
      </c>
      <c r="B385" s="3" t="s">
        <v>35</v>
      </c>
      <c r="C385" s="3" t="s">
        <v>1498</v>
      </c>
      <c r="D385" s="3"/>
    </row>
    <row r="386" spans="1:4">
      <c r="A386" s="2">
        <v>26</v>
      </c>
      <c r="B386" s="2" t="s">
        <v>35</v>
      </c>
      <c r="C386" s="2" t="s">
        <v>1499</v>
      </c>
      <c r="D386" s="2"/>
    </row>
    <row r="387" spans="1:4">
      <c r="A387" s="3">
        <v>26</v>
      </c>
      <c r="B387" s="3" t="s">
        <v>35</v>
      </c>
      <c r="C387" s="3" t="s">
        <v>1500</v>
      </c>
      <c r="D387" s="3"/>
    </row>
    <row r="388" spans="1:4">
      <c r="A388" s="2">
        <v>26</v>
      </c>
      <c r="B388" s="2" t="s">
        <v>35</v>
      </c>
      <c r="C388" s="2" t="s">
        <v>1501</v>
      </c>
      <c r="D388" s="2"/>
    </row>
    <row r="389" spans="1:4">
      <c r="A389" s="3">
        <v>26</v>
      </c>
      <c r="B389" s="3" t="s">
        <v>35</v>
      </c>
      <c r="C389" s="3" t="s">
        <v>1502</v>
      </c>
      <c r="D389" s="3"/>
    </row>
    <row r="390" spans="1:4">
      <c r="A390" s="2">
        <v>26</v>
      </c>
      <c r="B390" s="2" t="s">
        <v>35</v>
      </c>
      <c r="C390" s="2" t="s">
        <v>1503</v>
      </c>
      <c r="D390" s="2"/>
    </row>
    <row r="391" spans="1:4">
      <c r="A391" s="3">
        <v>26</v>
      </c>
      <c r="B391" s="3" t="s">
        <v>35</v>
      </c>
      <c r="C391" s="3" t="s">
        <v>1504</v>
      </c>
      <c r="D391" s="3"/>
    </row>
    <row r="392" spans="1:4">
      <c r="A392" s="2">
        <v>26</v>
      </c>
      <c r="B392" s="2" t="s">
        <v>35</v>
      </c>
      <c r="C392" s="2" t="s">
        <v>1505</v>
      </c>
      <c r="D392" s="2"/>
    </row>
    <row r="393" spans="1:4">
      <c r="A393" s="3">
        <v>26</v>
      </c>
      <c r="B393" s="3" t="s">
        <v>35</v>
      </c>
      <c r="C393" s="3" t="s">
        <v>1506</v>
      </c>
      <c r="D393" s="3"/>
    </row>
    <row r="394" spans="1:4">
      <c r="A394" s="2">
        <v>26</v>
      </c>
      <c r="B394" s="2" t="s">
        <v>35</v>
      </c>
      <c r="C394" s="2" t="s">
        <v>1507</v>
      </c>
      <c r="D394" s="2"/>
    </row>
    <row r="395" spans="1:4">
      <c r="A395" s="3">
        <v>26</v>
      </c>
      <c r="B395" s="3" t="s">
        <v>35</v>
      </c>
      <c r="C395" s="3" t="s">
        <v>1508</v>
      </c>
      <c r="D395" s="3"/>
    </row>
    <row r="396" spans="1:4">
      <c r="A396" s="2">
        <v>26</v>
      </c>
      <c r="B396" s="2" t="s">
        <v>35</v>
      </c>
      <c r="C396" s="2" t="s">
        <v>1509</v>
      </c>
      <c r="D396" s="2"/>
    </row>
    <row r="397" spans="1:4">
      <c r="A397" s="3">
        <v>26</v>
      </c>
      <c r="B397" s="3" t="s">
        <v>35</v>
      </c>
      <c r="C397" s="3" t="s">
        <v>1510</v>
      </c>
      <c r="D397" s="3"/>
    </row>
    <row r="398" spans="1:4">
      <c r="A398" s="2">
        <v>26</v>
      </c>
      <c r="B398" s="2" t="s">
        <v>35</v>
      </c>
      <c r="C398" s="2" t="s">
        <v>1511</v>
      </c>
      <c r="D398" s="2"/>
    </row>
    <row r="399" spans="1:4">
      <c r="A399" s="3">
        <v>26</v>
      </c>
      <c r="B399" s="3" t="s">
        <v>35</v>
      </c>
      <c r="C399" s="3" t="s">
        <v>1512</v>
      </c>
      <c r="D399" s="3"/>
    </row>
    <row r="400" spans="1:4">
      <c r="A400" s="2">
        <v>26</v>
      </c>
      <c r="B400" s="2" t="s">
        <v>35</v>
      </c>
      <c r="C400" s="2" t="s">
        <v>1513</v>
      </c>
      <c r="D400" s="2"/>
    </row>
    <row r="401" spans="1:4">
      <c r="A401" s="3">
        <v>26</v>
      </c>
      <c r="B401" s="3" t="s">
        <v>35</v>
      </c>
      <c r="C401" s="3" t="s">
        <v>1514</v>
      </c>
      <c r="D401" s="3"/>
    </row>
    <row r="402" spans="1:4">
      <c r="A402" s="2">
        <v>26</v>
      </c>
      <c r="B402" s="2" t="s">
        <v>35</v>
      </c>
      <c r="C402" s="2" t="s">
        <v>1515</v>
      </c>
      <c r="D402" s="2"/>
    </row>
    <row r="403" spans="1:4">
      <c r="A403" s="3">
        <v>26</v>
      </c>
      <c r="B403" s="3" t="s">
        <v>35</v>
      </c>
      <c r="C403" s="3" t="s">
        <v>1516</v>
      </c>
      <c r="D403" s="3"/>
    </row>
    <row r="404" spans="1:4">
      <c r="A404" s="2">
        <v>26</v>
      </c>
      <c r="B404" s="2" t="s">
        <v>35</v>
      </c>
      <c r="C404" s="2" t="s">
        <v>1517</v>
      </c>
      <c r="D404" s="2"/>
    </row>
    <row r="405" spans="1:4">
      <c r="A405" s="3">
        <v>26</v>
      </c>
      <c r="B405" s="3" t="s">
        <v>35</v>
      </c>
      <c r="C405" s="3" t="s">
        <v>1518</v>
      </c>
      <c r="D405" s="3"/>
    </row>
    <row r="406" spans="1:4">
      <c r="A406" s="2">
        <v>26</v>
      </c>
      <c r="B406" s="2" t="s">
        <v>35</v>
      </c>
      <c r="C406" s="2" t="s">
        <v>1519</v>
      </c>
      <c r="D406" s="2"/>
    </row>
    <row r="407" spans="1:4">
      <c r="A407" s="3">
        <v>28</v>
      </c>
      <c r="B407" s="3" t="s">
        <v>175</v>
      </c>
      <c r="C407" s="3" t="s">
        <v>1520</v>
      </c>
      <c r="D407" s="3"/>
    </row>
    <row r="408" spans="1:4">
      <c r="A408" s="2">
        <v>28</v>
      </c>
      <c r="B408" s="2" t="s">
        <v>175</v>
      </c>
      <c r="C408" s="2" t="s">
        <v>1521</v>
      </c>
      <c r="D408" s="2"/>
    </row>
    <row r="409" spans="1:4">
      <c r="A409" s="3">
        <v>29</v>
      </c>
      <c r="B409" s="3" t="s">
        <v>184</v>
      </c>
      <c r="C409" s="3" t="s">
        <v>1522</v>
      </c>
      <c r="D409" s="3"/>
    </row>
    <row r="410" spans="1:4">
      <c r="A410" s="2">
        <v>29</v>
      </c>
      <c r="B410" s="2" t="s">
        <v>184</v>
      </c>
      <c r="C410" s="2" t="s">
        <v>1523</v>
      </c>
      <c r="D410" s="2"/>
    </row>
    <row r="411" spans="1:4">
      <c r="A411" s="3">
        <v>30</v>
      </c>
      <c r="B411" s="3" t="s">
        <v>209</v>
      </c>
      <c r="C411" s="3" t="s">
        <v>1470</v>
      </c>
      <c r="D411" s="3"/>
    </row>
    <row r="412" spans="1:4">
      <c r="A412" s="2">
        <v>30</v>
      </c>
      <c r="B412" s="2" t="s">
        <v>209</v>
      </c>
      <c r="C412" s="2" t="s">
        <v>1524</v>
      </c>
      <c r="D412" s="2"/>
    </row>
    <row r="413" spans="1:4">
      <c r="A413" s="3">
        <v>30</v>
      </c>
      <c r="B413" s="3" t="s">
        <v>209</v>
      </c>
      <c r="C413" s="3" t="s">
        <v>1525</v>
      </c>
      <c r="D413" s="3"/>
    </row>
    <row r="414" spans="1:4">
      <c r="A414" s="2">
        <v>30</v>
      </c>
      <c r="B414" s="2" t="s">
        <v>209</v>
      </c>
      <c r="C414" s="2" t="s">
        <v>1526</v>
      </c>
      <c r="D414" s="2"/>
    </row>
    <row r="415" spans="1:4">
      <c r="A415" s="3">
        <v>30</v>
      </c>
      <c r="B415" s="3" t="s">
        <v>209</v>
      </c>
      <c r="C415" s="3" t="s">
        <v>1527</v>
      </c>
      <c r="D415" s="3"/>
    </row>
    <row r="416" spans="1:4">
      <c r="A416" s="2">
        <v>31</v>
      </c>
      <c r="B416" s="2" t="s">
        <v>207</v>
      </c>
      <c r="C416" s="2" t="s">
        <v>1528</v>
      </c>
      <c r="D416" s="2"/>
    </row>
    <row r="417" spans="1:4">
      <c r="A417" s="3">
        <v>31</v>
      </c>
      <c r="B417" s="3" t="s">
        <v>207</v>
      </c>
      <c r="C417" s="3" t="s">
        <v>1529</v>
      </c>
      <c r="D417" s="3"/>
    </row>
    <row r="418" spans="1:4">
      <c r="A418" s="2">
        <v>32</v>
      </c>
      <c r="B418" s="2" t="s">
        <v>164</v>
      </c>
      <c r="C418" s="2" t="s">
        <v>1530</v>
      </c>
      <c r="D418" s="2"/>
    </row>
    <row r="419" spans="1:4">
      <c r="A419" s="3">
        <v>32</v>
      </c>
      <c r="B419" s="3" t="s">
        <v>164</v>
      </c>
      <c r="C419" s="3" t="s">
        <v>1531</v>
      </c>
      <c r="D419" s="3"/>
    </row>
    <row r="420" spans="1:4">
      <c r="A420" s="2">
        <v>32</v>
      </c>
      <c r="B420" s="2" t="s">
        <v>164</v>
      </c>
      <c r="C420" s="2" t="s">
        <v>1532</v>
      </c>
      <c r="D420" s="2"/>
    </row>
    <row r="421" spans="1:4">
      <c r="A421" s="3">
        <v>33</v>
      </c>
      <c r="B421" s="3" t="s">
        <v>23</v>
      </c>
      <c r="C421" s="3" t="s">
        <v>1533</v>
      </c>
      <c r="D421" s="3"/>
    </row>
    <row r="422" spans="1:4">
      <c r="A422" s="2">
        <v>33</v>
      </c>
      <c r="B422" s="2" t="s">
        <v>23</v>
      </c>
      <c r="C422" s="2" t="s">
        <v>1534</v>
      </c>
      <c r="D422" s="2"/>
    </row>
    <row r="423" spans="1:4">
      <c r="A423" s="3">
        <v>33</v>
      </c>
      <c r="B423" s="3" t="s">
        <v>23</v>
      </c>
      <c r="C423" s="3" t="s">
        <v>1535</v>
      </c>
      <c r="D423" s="3"/>
    </row>
    <row r="424" spans="1:4">
      <c r="A424" s="2">
        <v>33</v>
      </c>
      <c r="B424" s="2" t="s">
        <v>23</v>
      </c>
      <c r="C424" s="2" t="s">
        <v>1536</v>
      </c>
      <c r="D424" s="2"/>
    </row>
    <row r="425" spans="1:4">
      <c r="A425" s="3">
        <v>33</v>
      </c>
      <c r="B425" s="3" t="s">
        <v>23</v>
      </c>
      <c r="C425" s="3" t="s">
        <v>1537</v>
      </c>
      <c r="D425" s="3"/>
    </row>
    <row r="426" spans="1:4">
      <c r="A426" s="2">
        <v>33</v>
      </c>
      <c r="B426" s="2" t="s">
        <v>23</v>
      </c>
      <c r="C426" s="2" t="s">
        <v>1538</v>
      </c>
      <c r="D426" s="2"/>
    </row>
    <row r="427" spans="1:4">
      <c r="A427" s="3">
        <v>33</v>
      </c>
      <c r="B427" s="3" t="s">
        <v>23</v>
      </c>
      <c r="C427" s="3" t="s">
        <v>1539</v>
      </c>
      <c r="D427" s="3"/>
    </row>
    <row r="428" spans="1:4">
      <c r="A428" s="2">
        <v>33</v>
      </c>
      <c r="B428" s="2" t="s">
        <v>23</v>
      </c>
      <c r="C428" s="2" t="s">
        <v>1540</v>
      </c>
      <c r="D428" s="2"/>
    </row>
    <row r="429" spans="1:4">
      <c r="A429" s="3">
        <v>33</v>
      </c>
      <c r="B429" s="3" t="s">
        <v>23</v>
      </c>
      <c r="C429" s="3" t="s">
        <v>1541</v>
      </c>
      <c r="D429" s="3"/>
    </row>
    <row r="430" spans="1:4">
      <c r="A430" s="2">
        <v>33</v>
      </c>
      <c r="B430" s="2" t="s">
        <v>23</v>
      </c>
      <c r="C430" s="2" t="s">
        <v>1542</v>
      </c>
      <c r="D430" s="2"/>
    </row>
    <row r="431" spans="1:4">
      <c r="A431" s="3">
        <v>33</v>
      </c>
      <c r="B431" s="3" t="s">
        <v>23</v>
      </c>
      <c r="C431" s="3" t="s">
        <v>1543</v>
      </c>
      <c r="D431" s="3"/>
    </row>
    <row r="432" spans="1:4">
      <c r="A432" s="2">
        <v>33</v>
      </c>
      <c r="B432" s="2" t="s">
        <v>23</v>
      </c>
      <c r="C432" s="2" t="s">
        <v>1544</v>
      </c>
      <c r="D432" s="2"/>
    </row>
    <row r="433" spans="1:4">
      <c r="A433" s="3">
        <v>33</v>
      </c>
      <c r="B433" s="3" t="s">
        <v>23</v>
      </c>
      <c r="C433" s="3" t="s">
        <v>1545</v>
      </c>
      <c r="D433" s="3"/>
    </row>
    <row r="434" spans="1:4">
      <c r="A434" s="2">
        <v>33</v>
      </c>
      <c r="B434" s="2" t="s">
        <v>23</v>
      </c>
      <c r="C434" s="2" t="s">
        <v>1546</v>
      </c>
      <c r="D434" s="2"/>
    </row>
    <row r="435" spans="1:4">
      <c r="A435" s="3">
        <v>33</v>
      </c>
      <c r="B435" s="3" t="s">
        <v>23</v>
      </c>
      <c r="C435" s="3" t="s">
        <v>1547</v>
      </c>
      <c r="D435" s="3"/>
    </row>
    <row r="436" spans="1:4">
      <c r="A436" s="2">
        <v>33</v>
      </c>
      <c r="B436" s="2" t="s">
        <v>23</v>
      </c>
      <c r="C436" s="2" t="s">
        <v>1548</v>
      </c>
      <c r="D436" s="2"/>
    </row>
    <row r="437" spans="1:4">
      <c r="A437" s="3">
        <v>33</v>
      </c>
      <c r="B437" s="3" t="s">
        <v>23</v>
      </c>
      <c r="C437" s="3" t="s">
        <v>1549</v>
      </c>
      <c r="D437" s="3"/>
    </row>
    <row r="438" spans="1:4">
      <c r="A438" s="2">
        <v>34</v>
      </c>
      <c r="B438" s="2" t="s">
        <v>160</v>
      </c>
      <c r="C438" s="2" t="s">
        <v>1550</v>
      </c>
      <c r="D438" s="2"/>
    </row>
    <row r="439" spans="1:4">
      <c r="A439" s="3">
        <v>34</v>
      </c>
      <c r="B439" s="3" t="s">
        <v>160</v>
      </c>
      <c r="C439" s="3" t="s">
        <v>1551</v>
      </c>
      <c r="D439" s="3"/>
    </row>
    <row r="440" spans="1:4">
      <c r="A440" s="2">
        <v>34</v>
      </c>
      <c r="B440" s="2" t="s">
        <v>160</v>
      </c>
      <c r="C440" s="2" t="s">
        <v>1552</v>
      </c>
      <c r="D440" s="2"/>
    </row>
    <row r="441" spans="1:4">
      <c r="A441" s="3">
        <v>34</v>
      </c>
      <c r="B441" s="3" t="s">
        <v>160</v>
      </c>
      <c r="C441" s="3" t="s">
        <v>1553</v>
      </c>
      <c r="D441" s="3"/>
    </row>
    <row r="442" spans="1:4">
      <c r="A442" s="2">
        <v>34</v>
      </c>
      <c r="B442" s="2" t="s">
        <v>160</v>
      </c>
      <c r="C442" s="2" t="s">
        <v>1554</v>
      </c>
      <c r="D442" s="2"/>
    </row>
    <row r="443" spans="1:4">
      <c r="A443" s="3">
        <v>34</v>
      </c>
      <c r="B443" s="3" t="s">
        <v>160</v>
      </c>
      <c r="C443" s="3" t="s">
        <v>1555</v>
      </c>
      <c r="D443" s="3"/>
    </row>
    <row r="444" spans="1:4">
      <c r="A444" s="2">
        <v>34</v>
      </c>
      <c r="B444" s="2" t="s">
        <v>160</v>
      </c>
      <c r="C444" s="2" t="s">
        <v>1556</v>
      </c>
      <c r="D444" s="2"/>
    </row>
    <row r="445" spans="1:4">
      <c r="A445" s="3">
        <v>34</v>
      </c>
      <c r="B445" s="3" t="s">
        <v>160</v>
      </c>
      <c r="C445" s="3" t="s">
        <v>1557</v>
      </c>
      <c r="D445" s="3"/>
    </row>
    <row r="446" spans="1:4">
      <c r="A446" s="2">
        <v>34</v>
      </c>
      <c r="B446" s="2" t="s">
        <v>160</v>
      </c>
      <c r="C446" s="2" t="s">
        <v>1558</v>
      </c>
      <c r="D446" s="2"/>
    </row>
    <row r="447" spans="1:4">
      <c r="A447" s="3">
        <v>34</v>
      </c>
      <c r="B447" s="3" t="s">
        <v>160</v>
      </c>
      <c r="C447" s="3" t="s">
        <v>1559</v>
      </c>
      <c r="D447" s="3"/>
    </row>
    <row r="448" spans="1:4">
      <c r="A448" s="2">
        <v>34</v>
      </c>
      <c r="B448" s="2" t="s">
        <v>160</v>
      </c>
      <c r="C448" s="2" t="s">
        <v>1560</v>
      </c>
      <c r="D448" s="2"/>
    </row>
    <row r="449" spans="1:4">
      <c r="A449" s="3">
        <v>34</v>
      </c>
      <c r="B449" s="3" t="s">
        <v>160</v>
      </c>
      <c r="C449" s="3" t="s">
        <v>1561</v>
      </c>
      <c r="D449" s="3"/>
    </row>
    <row r="450" spans="1:4">
      <c r="A450" s="2">
        <v>35</v>
      </c>
      <c r="B450" s="2" t="s">
        <v>155</v>
      </c>
      <c r="C450" s="2" t="s">
        <v>1562</v>
      </c>
      <c r="D450" s="2"/>
    </row>
    <row r="451" spans="1:4">
      <c r="A451" s="3">
        <v>35</v>
      </c>
      <c r="B451" s="3" t="s">
        <v>155</v>
      </c>
      <c r="C451" s="3" t="s">
        <v>1563</v>
      </c>
      <c r="D451" s="3"/>
    </row>
    <row r="452" spans="1:4">
      <c r="A452" s="2">
        <v>35</v>
      </c>
      <c r="B452" s="2" t="s">
        <v>155</v>
      </c>
      <c r="C452" s="2" t="s">
        <v>1564</v>
      </c>
      <c r="D452" s="2"/>
    </row>
    <row r="453" spans="1:4">
      <c r="A453" s="3">
        <v>35</v>
      </c>
      <c r="B453" s="3" t="s">
        <v>155</v>
      </c>
      <c r="C453" s="3" t="s">
        <v>1565</v>
      </c>
      <c r="D453" s="3"/>
    </row>
    <row r="454" spans="1:4">
      <c r="A454" s="2">
        <v>35</v>
      </c>
      <c r="B454" s="2" t="s">
        <v>155</v>
      </c>
      <c r="C454" s="2" t="s">
        <v>1566</v>
      </c>
      <c r="D454" s="2"/>
    </row>
    <row r="455" spans="1:4">
      <c r="A455" s="3">
        <v>35</v>
      </c>
      <c r="B455" s="3" t="s">
        <v>155</v>
      </c>
      <c r="C455" s="3" t="s">
        <v>1567</v>
      </c>
      <c r="D455" s="3"/>
    </row>
    <row r="456" spans="1:4">
      <c r="A456" s="2">
        <v>35</v>
      </c>
      <c r="B456" s="2" t="s">
        <v>155</v>
      </c>
      <c r="C456" s="2" t="s">
        <v>1568</v>
      </c>
      <c r="D456" s="2"/>
    </row>
    <row r="457" spans="1:4">
      <c r="A457" s="3">
        <v>35</v>
      </c>
      <c r="B457" s="3" t="s">
        <v>155</v>
      </c>
      <c r="C457" s="3" t="s">
        <v>1569</v>
      </c>
      <c r="D457" s="3"/>
    </row>
    <row r="458" spans="1:4">
      <c r="A458" s="2">
        <v>36</v>
      </c>
      <c r="B458" s="2" t="s">
        <v>94</v>
      </c>
      <c r="C458" s="2" t="s">
        <v>1570</v>
      </c>
      <c r="D458" s="2"/>
    </row>
    <row r="459" spans="1:4">
      <c r="A459" s="3">
        <v>36</v>
      </c>
      <c r="B459" s="3" t="s">
        <v>94</v>
      </c>
      <c r="C459" s="3" t="s">
        <v>1571</v>
      </c>
      <c r="D459" s="3"/>
    </row>
    <row r="460" spans="1:4">
      <c r="A460" s="2">
        <v>36</v>
      </c>
      <c r="B460" s="2" t="s">
        <v>94</v>
      </c>
      <c r="C460" s="2" t="s">
        <v>1572</v>
      </c>
      <c r="D460" s="2"/>
    </row>
    <row r="461" spans="1:4">
      <c r="A461" s="3">
        <v>36</v>
      </c>
      <c r="B461" s="3" t="s">
        <v>94</v>
      </c>
      <c r="C461" s="3" t="s">
        <v>1573</v>
      </c>
      <c r="D461" s="3"/>
    </row>
    <row r="462" spans="1:4">
      <c r="A462" s="2">
        <v>36</v>
      </c>
      <c r="B462" s="2" t="s">
        <v>94</v>
      </c>
      <c r="C462" s="2" t="s">
        <v>1574</v>
      </c>
      <c r="D462" s="2"/>
    </row>
    <row r="463" spans="1:4">
      <c r="A463" s="3">
        <v>36</v>
      </c>
      <c r="B463" s="3" t="s">
        <v>94</v>
      </c>
      <c r="C463" s="3" t="s">
        <v>1575</v>
      </c>
      <c r="D463" s="3"/>
    </row>
    <row r="464" spans="1:4">
      <c r="A464" s="2">
        <v>36</v>
      </c>
      <c r="B464" s="2" t="s">
        <v>94</v>
      </c>
      <c r="C464" s="2" t="s">
        <v>1576</v>
      </c>
      <c r="D464" s="2"/>
    </row>
    <row r="465" spans="1:4">
      <c r="A465" s="3">
        <v>36</v>
      </c>
      <c r="B465" s="3" t="s">
        <v>94</v>
      </c>
      <c r="C465" s="3" t="s">
        <v>1577</v>
      </c>
      <c r="D465" s="3"/>
    </row>
    <row r="466" spans="1:4">
      <c r="A466" s="2">
        <v>36</v>
      </c>
      <c r="B466" s="2" t="s">
        <v>94</v>
      </c>
      <c r="C466" s="2" t="s">
        <v>1578</v>
      </c>
      <c r="D466" s="2"/>
    </row>
    <row r="467" spans="1:4">
      <c r="A467" s="3">
        <v>36</v>
      </c>
      <c r="B467" s="3" t="s">
        <v>94</v>
      </c>
      <c r="C467" s="3" t="s">
        <v>1579</v>
      </c>
      <c r="D467" s="3"/>
    </row>
    <row r="468" spans="1:4">
      <c r="A468" s="2">
        <v>36</v>
      </c>
      <c r="B468" s="2" t="s">
        <v>94</v>
      </c>
      <c r="C468" s="2" t="s">
        <v>1580</v>
      </c>
      <c r="D468" s="2"/>
    </row>
    <row r="469" spans="1:4">
      <c r="A469" s="3">
        <v>36</v>
      </c>
      <c r="B469" s="3" t="s">
        <v>94</v>
      </c>
      <c r="C469" s="3" t="s">
        <v>1581</v>
      </c>
      <c r="D469" s="3"/>
    </row>
    <row r="470" spans="1:4">
      <c r="A470" s="2">
        <v>36</v>
      </c>
      <c r="B470" s="2" t="s">
        <v>94</v>
      </c>
      <c r="C470" s="2" t="s">
        <v>1582</v>
      </c>
      <c r="D470" s="2"/>
    </row>
    <row r="471" spans="1:4">
      <c r="A471" s="3">
        <v>36</v>
      </c>
      <c r="B471" s="3" t="s">
        <v>94</v>
      </c>
      <c r="C471" s="3" t="s">
        <v>1583</v>
      </c>
      <c r="D471" s="3"/>
    </row>
    <row r="472" spans="1:4">
      <c r="A472" s="2">
        <v>36</v>
      </c>
      <c r="B472" s="2" t="s">
        <v>94</v>
      </c>
      <c r="C472" s="2" t="s">
        <v>1584</v>
      </c>
      <c r="D472" s="2"/>
    </row>
    <row r="473" spans="1:4">
      <c r="A473" s="3">
        <v>36</v>
      </c>
      <c r="B473" s="3" t="s">
        <v>94</v>
      </c>
      <c r="C473" s="3" t="s">
        <v>1585</v>
      </c>
      <c r="D473" s="3"/>
    </row>
    <row r="474" spans="1:4">
      <c r="A474" s="2">
        <v>36</v>
      </c>
      <c r="B474" s="2" t="s">
        <v>94</v>
      </c>
      <c r="C474" s="2" t="s">
        <v>1586</v>
      </c>
      <c r="D474" s="2"/>
    </row>
    <row r="475" spans="1:4">
      <c r="A475" s="3">
        <v>36</v>
      </c>
      <c r="B475" s="3" t="s">
        <v>94</v>
      </c>
      <c r="C475" s="3" t="s">
        <v>1587</v>
      </c>
      <c r="D475" s="3"/>
    </row>
    <row r="476" spans="1:4">
      <c r="A476" s="2">
        <v>36</v>
      </c>
      <c r="B476" s="2" t="s">
        <v>94</v>
      </c>
      <c r="C476" s="2" t="s">
        <v>1588</v>
      </c>
      <c r="D476" s="2"/>
    </row>
    <row r="477" spans="1:4">
      <c r="A477" s="3">
        <v>36</v>
      </c>
      <c r="B477" s="3" t="s">
        <v>94</v>
      </c>
      <c r="C477" s="3" t="s">
        <v>1589</v>
      </c>
      <c r="D477" s="3"/>
    </row>
    <row r="478" spans="1:4">
      <c r="A478" s="2">
        <v>36</v>
      </c>
      <c r="B478" s="2" t="s">
        <v>94</v>
      </c>
      <c r="C478" s="2" t="s">
        <v>1590</v>
      </c>
      <c r="D478" s="2"/>
    </row>
    <row r="479" spans="1:4">
      <c r="A479" s="3">
        <v>36</v>
      </c>
      <c r="B479" s="3" t="s">
        <v>94</v>
      </c>
      <c r="C479" s="3" t="s">
        <v>1591</v>
      </c>
      <c r="D479" s="3"/>
    </row>
    <row r="480" spans="1:4">
      <c r="A480" s="2">
        <v>36</v>
      </c>
      <c r="B480" s="2" t="s">
        <v>94</v>
      </c>
      <c r="C480" s="2" t="s">
        <v>1592</v>
      </c>
      <c r="D480" s="2"/>
    </row>
    <row r="481" spans="1:4">
      <c r="A481" s="3">
        <v>36</v>
      </c>
      <c r="B481" s="3" t="s">
        <v>94</v>
      </c>
      <c r="C481" s="3" t="s">
        <v>1593</v>
      </c>
      <c r="D481" s="3"/>
    </row>
    <row r="482" spans="1:4">
      <c r="A482" s="2">
        <v>36</v>
      </c>
      <c r="B482" s="2" t="s">
        <v>94</v>
      </c>
      <c r="C482" s="2" t="s">
        <v>1594</v>
      </c>
      <c r="D482" s="2"/>
    </row>
    <row r="483" spans="1:4">
      <c r="A483" s="3">
        <v>36</v>
      </c>
      <c r="B483" s="3" t="s">
        <v>94</v>
      </c>
      <c r="C483" s="3" t="s">
        <v>1595</v>
      </c>
      <c r="D483" s="3"/>
    </row>
    <row r="484" spans="1:4">
      <c r="A484" s="2">
        <v>36</v>
      </c>
      <c r="B484" s="2" t="s">
        <v>94</v>
      </c>
      <c r="C484" s="2" t="s">
        <v>1596</v>
      </c>
      <c r="D484" s="2"/>
    </row>
    <row r="485" spans="1:4">
      <c r="A485" s="3">
        <v>36</v>
      </c>
      <c r="B485" s="3" t="s">
        <v>94</v>
      </c>
      <c r="C485" s="3" t="s">
        <v>1597</v>
      </c>
      <c r="D485" s="3"/>
    </row>
    <row r="486" spans="1:4">
      <c r="A486" s="2">
        <v>39</v>
      </c>
      <c r="B486" s="2" t="s">
        <v>133</v>
      </c>
      <c r="C486" s="2" t="s">
        <v>1598</v>
      </c>
      <c r="D486" s="2"/>
    </row>
    <row r="487" spans="1:4">
      <c r="A487" s="3">
        <v>39</v>
      </c>
      <c r="B487" s="3" t="s">
        <v>133</v>
      </c>
      <c r="C487" s="3" t="s">
        <v>1598</v>
      </c>
      <c r="D487" s="3"/>
    </row>
    <row r="488" spans="1:4">
      <c r="A488" s="2">
        <v>39</v>
      </c>
      <c r="B488" s="2" t="s">
        <v>133</v>
      </c>
      <c r="C488" s="2" t="s">
        <v>1599</v>
      </c>
      <c r="D488" s="2"/>
    </row>
    <row r="489" spans="1:4">
      <c r="A489" s="3">
        <v>39</v>
      </c>
      <c r="B489" s="3" t="s">
        <v>133</v>
      </c>
      <c r="C489" s="3" t="s">
        <v>1600</v>
      </c>
      <c r="D489" s="3"/>
    </row>
    <row r="490" spans="1:4">
      <c r="A490" s="2">
        <v>39</v>
      </c>
      <c r="B490" s="2" t="s">
        <v>133</v>
      </c>
      <c r="C490" s="2" t="s">
        <v>1601</v>
      </c>
      <c r="D490" s="2"/>
    </row>
    <row r="491" spans="1:4">
      <c r="A491" s="3">
        <v>39</v>
      </c>
      <c r="B491" s="3" t="s">
        <v>133</v>
      </c>
      <c r="C491" s="3" t="s">
        <v>1602</v>
      </c>
      <c r="D491" s="3"/>
    </row>
    <row r="492" spans="1:4">
      <c r="A492" s="2">
        <v>39</v>
      </c>
      <c r="B492" s="2" t="s">
        <v>133</v>
      </c>
      <c r="C492" s="2" t="s">
        <v>1603</v>
      </c>
      <c r="D492" s="2"/>
    </row>
    <row r="493" spans="1:4">
      <c r="A493" s="3">
        <v>39</v>
      </c>
      <c r="B493" s="3" t="s">
        <v>133</v>
      </c>
      <c r="C493" s="3" t="s">
        <v>1604</v>
      </c>
      <c r="D493" s="3"/>
    </row>
    <row r="494" spans="1:4">
      <c r="A494" s="2">
        <v>39</v>
      </c>
      <c r="B494" s="2" t="s">
        <v>133</v>
      </c>
      <c r="C494" s="2" t="s">
        <v>1605</v>
      </c>
      <c r="D494" s="2"/>
    </row>
    <row r="495" spans="1:4">
      <c r="A495" s="3">
        <v>39</v>
      </c>
      <c r="B495" s="3" t="s">
        <v>133</v>
      </c>
      <c r="C495" s="3" t="s">
        <v>1606</v>
      </c>
      <c r="D495" s="3"/>
    </row>
    <row r="496" spans="1:4">
      <c r="A496" s="2">
        <v>39</v>
      </c>
      <c r="B496" s="2" t="s">
        <v>133</v>
      </c>
      <c r="C496" s="2" t="s">
        <v>1607</v>
      </c>
      <c r="D496" s="2"/>
    </row>
    <row r="497" spans="1:4">
      <c r="A497" s="3">
        <v>39</v>
      </c>
      <c r="B497" s="3" t="s">
        <v>133</v>
      </c>
      <c r="C497" s="3" t="s">
        <v>1608</v>
      </c>
      <c r="D497" s="3"/>
    </row>
    <row r="498" spans="1:4">
      <c r="A498" s="2">
        <v>39</v>
      </c>
      <c r="B498" s="2" t="s">
        <v>133</v>
      </c>
      <c r="C498" s="2" t="s">
        <v>1609</v>
      </c>
      <c r="D498" s="2"/>
    </row>
    <row r="499" spans="1:4">
      <c r="A499" s="3">
        <v>39</v>
      </c>
      <c r="B499" s="3" t="s">
        <v>133</v>
      </c>
      <c r="C499" s="3" t="s">
        <v>1610</v>
      </c>
      <c r="D499" s="3"/>
    </row>
    <row r="500" spans="1:4">
      <c r="A500" s="2">
        <v>39</v>
      </c>
      <c r="B500" s="2" t="s">
        <v>133</v>
      </c>
      <c r="C500" s="2" t="s">
        <v>1611</v>
      </c>
      <c r="D500" s="2"/>
    </row>
    <row r="501" spans="1:4">
      <c r="A501" s="3">
        <v>39</v>
      </c>
      <c r="B501" s="3" t="s">
        <v>133</v>
      </c>
      <c r="C501" s="3" t="s">
        <v>1612</v>
      </c>
      <c r="D501" s="3"/>
    </row>
    <row r="502" spans="1:4">
      <c r="A502" s="2">
        <v>39</v>
      </c>
      <c r="B502" s="2" t="s">
        <v>133</v>
      </c>
      <c r="C502" s="2" t="s">
        <v>1613</v>
      </c>
      <c r="D502" s="2"/>
    </row>
    <row r="503" spans="1:4">
      <c r="A503" s="3">
        <v>39</v>
      </c>
      <c r="B503" s="3" t="s">
        <v>133</v>
      </c>
      <c r="C503" s="3" t="s">
        <v>1614</v>
      </c>
      <c r="D503" s="3"/>
    </row>
    <row r="504" spans="1:4">
      <c r="A504" s="2">
        <v>39</v>
      </c>
      <c r="B504" s="2" t="s">
        <v>133</v>
      </c>
      <c r="C504" s="2" t="s">
        <v>1615</v>
      </c>
      <c r="D504" s="2"/>
    </row>
    <row r="505" spans="1:4">
      <c r="A505" s="3">
        <v>39</v>
      </c>
      <c r="B505" s="3" t="s">
        <v>133</v>
      </c>
      <c r="C505" s="3" t="s">
        <v>1616</v>
      </c>
      <c r="D505" s="3"/>
    </row>
    <row r="506" spans="1:4">
      <c r="A506" s="2">
        <v>39</v>
      </c>
      <c r="B506" s="2" t="s">
        <v>133</v>
      </c>
      <c r="C506" s="2" t="s">
        <v>1617</v>
      </c>
      <c r="D506" s="2"/>
    </row>
    <row r="507" spans="1:4">
      <c r="A507" s="3">
        <v>39</v>
      </c>
      <c r="B507" s="3" t="s">
        <v>133</v>
      </c>
      <c r="C507" s="3" t="s">
        <v>1618</v>
      </c>
      <c r="D507" s="3"/>
    </row>
    <row r="508" spans="1:4">
      <c r="A508" s="2">
        <v>39</v>
      </c>
      <c r="B508" s="2" t="s">
        <v>133</v>
      </c>
      <c r="C508" s="2" t="s">
        <v>1619</v>
      </c>
      <c r="D508" s="2"/>
    </row>
    <row r="509" spans="1:4">
      <c r="A509" s="3">
        <v>39</v>
      </c>
      <c r="B509" s="3" t="s">
        <v>133</v>
      </c>
      <c r="C509" s="3" t="s">
        <v>1620</v>
      </c>
      <c r="D509" s="3"/>
    </row>
    <row r="510" spans="1:4">
      <c r="A510" s="2">
        <v>39</v>
      </c>
      <c r="B510" s="2" t="s">
        <v>133</v>
      </c>
      <c r="C510" s="2" t="s">
        <v>1621</v>
      </c>
      <c r="D510" s="2"/>
    </row>
    <row r="511" spans="1:4">
      <c r="A511" s="3">
        <v>39</v>
      </c>
      <c r="B511" s="3" t="s">
        <v>133</v>
      </c>
      <c r="C511" s="3" t="s">
        <v>1622</v>
      </c>
      <c r="D511" s="3"/>
    </row>
    <row r="512" spans="1:4">
      <c r="A512" s="2">
        <v>39</v>
      </c>
      <c r="B512" s="2" t="s">
        <v>133</v>
      </c>
      <c r="C512" s="2" t="s">
        <v>1623</v>
      </c>
      <c r="D512" s="2"/>
    </row>
    <row r="513" spans="1:4">
      <c r="A513" s="3">
        <v>39</v>
      </c>
      <c r="B513" s="3" t="s">
        <v>133</v>
      </c>
      <c r="C513" s="3" t="s">
        <v>1624</v>
      </c>
      <c r="D513" s="3"/>
    </row>
    <row r="514" spans="1:4">
      <c r="A514" s="2">
        <v>39</v>
      </c>
      <c r="B514" s="2" t="s">
        <v>133</v>
      </c>
      <c r="C514" s="2" t="s">
        <v>1625</v>
      </c>
      <c r="D514" s="2"/>
    </row>
    <row r="515" spans="1:4">
      <c r="A515" s="3">
        <v>39</v>
      </c>
      <c r="B515" s="3" t="s">
        <v>133</v>
      </c>
      <c r="C515" s="3" t="s">
        <v>1626</v>
      </c>
      <c r="D515" s="3"/>
    </row>
    <row r="516" spans="1:4">
      <c r="A516" s="2">
        <v>39</v>
      </c>
      <c r="B516" s="2" t="s">
        <v>133</v>
      </c>
      <c r="C516" s="2" t="s">
        <v>1627</v>
      </c>
      <c r="D516" s="2"/>
    </row>
    <row r="517" spans="1:4">
      <c r="A517" s="3">
        <v>39</v>
      </c>
      <c r="B517" s="3" t="s">
        <v>133</v>
      </c>
      <c r="C517" s="3" t="s">
        <v>1628</v>
      </c>
      <c r="D517" s="3"/>
    </row>
    <row r="518" spans="1:4">
      <c r="A518" s="2">
        <v>39</v>
      </c>
      <c r="B518" s="2" t="s">
        <v>133</v>
      </c>
      <c r="C518" s="2" t="s">
        <v>1629</v>
      </c>
      <c r="D518" s="2"/>
    </row>
    <row r="519" spans="1:4">
      <c r="A519" s="3">
        <v>39</v>
      </c>
      <c r="B519" s="3" t="s">
        <v>133</v>
      </c>
      <c r="C519" s="3" t="s">
        <v>1630</v>
      </c>
      <c r="D519" s="3"/>
    </row>
    <row r="520" spans="1:4">
      <c r="A520" s="2">
        <v>39</v>
      </c>
      <c r="B520" s="2" t="s">
        <v>133</v>
      </c>
      <c r="C520" s="2" t="s">
        <v>1631</v>
      </c>
      <c r="D520" s="2"/>
    </row>
    <row r="521" spans="1:4">
      <c r="A521" s="3">
        <v>39</v>
      </c>
      <c r="B521" s="3" t="s">
        <v>133</v>
      </c>
      <c r="C521" s="3" t="s">
        <v>1632</v>
      </c>
      <c r="D521" s="3"/>
    </row>
    <row r="522" spans="1:4">
      <c r="A522" s="2">
        <v>39</v>
      </c>
      <c r="B522" s="2" t="s">
        <v>133</v>
      </c>
      <c r="C522" s="2" t="s">
        <v>1633</v>
      </c>
      <c r="D522" s="2"/>
    </row>
    <row r="523" spans="1:4">
      <c r="A523" s="3">
        <v>39</v>
      </c>
      <c r="B523" s="3" t="s">
        <v>133</v>
      </c>
      <c r="C523" s="3" t="s">
        <v>1634</v>
      </c>
      <c r="D523" s="3"/>
    </row>
    <row r="524" spans="1:4">
      <c r="A524" s="2">
        <v>39</v>
      </c>
      <c r="B524" s="2" t="s">
        <v>133</v>
      </c>
      <c r="C524" s="2" t="s">
        <v>1635</v>
      </c>
      <c r="D524" s="2"/>
    </row>
    <row r="525" spans="1:4">
      <c r="A525" s="3">
        <v>39</v>
      </c>
      <c r="B525" s="3" t="s">
        <v>133</v>
      </c>
      <c r="C525" s="3" t="s">
        <v>1636</v>
      </c>
      <c r="D525" s="3"/>
    </row>
    <row r="526" spans="1:4">
      <c r="A526" s="2">
        <v>39</v>
      </c>
      <c r="B526" s="2" t="s">
        <v>133</v>
      </c>
      <c r="C526" s="2" t="s">
        <v>1637</v>
      </c>
      <c r="D526" s="2"/>
    </row>
    <row r="527" spans="1:4">
      <c r="A527" s="3">
        <v>39</v>
      </c>
      <c r="B527" s="3" t="s">
        <v>133</v>
      </c>
      <c r="C527" s="3" t="s">
        <v>1638</v>
      </c>
      <c r="D527" s="3"/>
    </row>
    <row r="528" spans="1:4">
      <c r="A528" s="2">
        <v>39</v>
      </c>
      <c r="B528" s="2" t="s">
        <v>133</v>
      </c>
      <c r="C528" s="2" t="s">
        <v>1639</v>
      </c>
      <c r="D528" s="2"/>
    </row>
    <row r="529" spans="1:4">
      <c r="A529" s="3">
        <v>39</v>
      </c>
      <c r="B529" s="3" t="s">
        <v>133</v>
      </c>
      <c r="C529" s="3" t="s">
        <v>1640</v>
      </c>
      <c r="D529" s="3"/>
    </row>
    <row r="530" spans="1:4">
      <c r="A530" s="2">
        <v>39</v>
      </c>
      <c r="B530" s="2" t="s">
        <v>133</v>
      </c>
      <c r="C530" s="2" t="s">
        <v>1641</v>
      </c>
      <c r="D530" s="2"/>
    </row>
    <row r="531" spans="1:4">
      <c r="A531" s="3">
        <v>39</v>
      </c>
      <c r="B531" s="3" t="s">
        <v>133</v>
      </c>
      <c r="C531" s="3" t="s">
        <v>1642</v>
      </c>
      <c r="D531" s="3"/>
    </row>
    <row r="532" spans="1:4">
      <c r="A532" s="2">
        <v>39</v>
      </c>
      <c r="B532" s="2" t="s">
        <v>133</v>
      </c>
      <c r="C532" s="2" t="s">
        <v>1643</v>
      </c>
      <c r="D532" s="2"/>
    </row>
    <row r="533" spans="1:4">
      <c r="A533" s="3">
        <v>39</v>
      </c>
      <c r="B533" s="3" t="s">
        <v>133</v>
      </c>
      <c r="C533" s="3" t="s">
        <v>1644</v>
      </c>
      <c r="D533" s="3"/>
    </row>
    <row r="534" spans="1:4">
      <c r="A534" s="2">
        <v>39</v>
      </c>
      <c r="B534" s="2" t="s">
        <v>133</v>
      </c>
      <c r="C534" s="2" t="s">
        <v>1610</v>
      </c>
      <c r="D534" s="2"/>
    </row>
    <row r="535" spans="1:4">
      <c r="A535" s="3">
        <v>40</v>
      </c>
      <c r="B535" s="3" t="s">
        <v>188</v>
      </c>
      <c r="C535" s="3" t="s">
        <v>1645</v>
      </c>
      <c r="D535" s="3"/>
    </row>
    <row r="536" spans="1:4">
      <c r="A536" s="2">
        <v>40</v>
      </c>
      <c r="B536" s="2" t="s">
        <v>188</v>
      </c>
      <c r="C536" s="2" t="s">
        <v>1646</v>
      </c>
      <c r="D536" s="2"/>
    </row>
    <row r="537" spans="1:4">
      <c r="A537" s="3">
        <v>40</v>
      </c>
      <c r="B537" s="3" t="s">
        <v>188</v>
      </c>
      <c r="C537" s="3" t="s">
        <v>1647</v>
      </c>
      <c r="D537" s="3"/>
    </row>
    <row r="538" spans="1:4">
      <c r="A538" s="2">
        <v>40</v>
      </c>
      <c r="B538" s="2" t="s">
        <v>188</v>
      </c>
      <c r="C538" s="2" t="s">
        <v>1648</v>
      </c>
      <c r="D538" s="2"/>
    </row>
    <row r="539" spans="1:4">
      <c r="A539" s="3">
        <v>40</v>
      </c>
      <c r="B539" s="3" t="s">
        <v>188</v>
      </c>
      <c r="C539" s="3" t="s">
        <v>1649</v>
      </c>
      <c r="D539" s="3"/>
    </row>
    <row r="540" spans="1:4">
      <c r="A540" s="2">
        <v>40</v>
      </c>
      <c r="B540" s="2" t="s">
        <v>188</v>
      </c>
      <c r="C540" s="2" t="s">
        <v>1650</v>
      </c>
      <c r="D540" s="2"/>
    </row>
    <row r="541" spans="1:4">
      <c r="A541" s="3">
        <v>40</v>
      </c>
      <c r="B541" s="3" t="s">
        <v>188</v>
      </c>
      <c r="C541" s="3" t="s">
        <v>1651</v>
      </c>
      <c r="D541" s="3"/>
    </row>
    <row r="542" spans="1:4">
      <c r="A542" s="2">
        <v>40</v>
      </c>
      <c r="B542" s="2" t="s">
        <v>188</v>
      </c>
      <c r="C542" s="2" t="s">
        <v>1652</v>
      </c>
      <c r="D542" s="2"/>
    </row>
    <row r="543" spans="1:4">
      <c r="A543" s="3">
        <v>40</v>
      </c>
      <c r="B543" s="3" t="s">
        <v>188</v>
      </c>
      <c r="C543" s="3" t="s">
        <v>1653</v>
      </c>
      <c r="D543" s="3"/>
    </row>
    <row r="544" spans="1:4">
      <c r="A544" s="2">
        <v>40</v>
      </c>
      <c r="B544" s="2" t="s">
        <v>188</v>
      </c>
      <c r="C544" s="2" t="s">
        <v>1654</v>
      </c>
      <c r="D544" s="2"/>
    </row>
    <row r="545" spans="1:4">
      <c r="A545" s="3">
        <v>40</v>
      </c>
      <c r="B545" s="3" t="s">
        <v>188</v>
      </c>
      <c r="C545" s="3" t="s">
        <v>1655</v>
      </c>
      <c r="D545" s="3"/>
    </row>
    <row r="546" spans="1:4">
      <c r="A546" s="2">
        <v>40</v>
      </c>
      <c r="B546" s="2" t="s">
        <v>188</v>
      </c>
      <c r="C546" s="2" t="s">
        <v>1656</v>
      </c>
      <c r="D546" s="2"/>
    </row>
    <row r="547" spans="1:4">
      <c r="A547" s="3">
        <v>40</v>
      </c>
      <c r="B547" s="3" t="s">
        <v>188</v>
      </c>
      <c r="C547" s="3" t="s">
        <v>1657</v>
      </c>
      <c r="D547" s="3"/>
    </row>
    <row r="548" spans="1:4">
      <c r="A548" s="2">
        <v>40</v>
      </c>
      <c r="B548" s="2" t="s">
        <v>188</v>
      </c>
      <c r="C548" s="2" t="s">
        <v>1658</v>
      </c>
      <c r="D548" s="2"/>
    </row>
    <row r="549" spans="1:4">
      <c r="A549" s="3">
        <v>40</v>
      </c>
      <c r="B549" s="3" t="s">
        <v>188</v>
      </c>
      <c r="C549" s="3" t="s">
        <v>1659</v>
      </c>
      <c r="D549" s="3"/>
    </row>
    <row r="550" spans="1:4">
      <c r="A550" s="2">
        <v>40</v>
      </c>
      <c r="B550" s="2" t="s">
        <v>188</v>
      </c>
      <c r="C550" s="2" t="s">
        <v>1660</v>
      </c>
      <c r="D550" s="2"/>
    </row>
    <row r="551" spans="1:4">
      <c r="A551" s="3">
        <v>40</v>
      </c>
      <c r="B551" s="3" t="s">
        <v>188</v>
      </c>
      <c r="C551" s="3" t="s">
        <v>1661</v>
      </c>
      <c r="D551" s="3"/>
    </row>
    <row r="552" spans="1:4">
      <c r="A552" s="2">
        <v>40</v>
      </c>
      <c r="B552" s="2" t="s">
        <v>188</v>
      </c>
      <c r="C552" s="2" t="s">
        <v>1662</v>
      </c>
      <c r="D552" s="2"/>
    </row>
    <row r="553" spans="1:4">
      <c r="A553" s="3">
        <v>40</v>
      </c>
      <c r="B553" s="3" t="s">
        <v>188</v>
      </c>
      <c r="C553" s="3" t="s">
        <v>1663</v>
      </c>
      <c r="D553" s="3"/>
    </row>
    <row r="554" spans="1:4">
      <c r="A554" s="2">
        <v>40</v>
      </c>
      <c r="B554" s="2" t="s">
        <v>188</v>
      </c>
      <c r="C554" s="2" t="s">
        <v>1664</v>
      </c>
      <c r="D554" s="2"/>
    </row>
    <row r="555" spans="1:4">
      <c r="A555" s="3">
        <v>40</v>
      </c>
      <c r="B555" s="3" t="s">
        <v>188</v>
      </c>
      <c r="C555" s="3" t="s">
        <v>1665</v>
      </c>
      <c r="D555" s="3"/>
    </row>
    <row r="556" spans="1:4">
      <c r="A556" s="2">
        <v>40</v>
      </c>
      <c r="B556" s="2" t="s">
        <v>188</v>
      </c>
      <c r="C556" s="2" t="s">
        <v>1666</v>
      </c>
      <c r="D556" s="2"/>
    </row>
    <row r="557" spans="1:4">
      <c r="A557" s="3">
        <v>40</v>
      </c>
      <c r="B557" s="3" t="s">
        <v>188</v>
      </c>
      <c r="C557" s="3" t="s">
        <v>1667</v>
      </c>
      <c r="D557" s="3"/>
    </row>
    <row r="558" spans="1:4">
      <c r="A558" s="2">
        <v>40</v>
      </c>
      <c r="B558" s="2" t="s">
        <v>188</v>
      </c>
      <c r="C558" s="2" t="s">
        <v>1668</v>
      </c>
      <c r="D558" s="2"/>
    </row>
    <row r="559" spans="1:4">
      <c r="A559" s="3">
        <v>40</v>
      </c>
      <c r="B559" s="3" t="s">
        <v>188</v>
      </c>
      <c r="C559" s="3" t="s">
        <v>1669</v>
      </c>
      <c r="D559" s="3"/>
    </row>
    <row r="560" spans="1:4">
      <c r="A560" s="2">
        <v>40</v>
      </c>
      <c r="B560" s="2" t="s">
        <v>188</v>
      </c>
      <c r="C560" s="2" t="s">
        <v>1670</v>
      </c>
      <c r="D560" s="2"/>
    </row>
    <row r="561" spans="1:4">
      <c r="A561" s="3">
        <v>40</v>
      </c>
      <c r="B561" s="3" t="s">
        <v>188</v>
      </c>
      <c r="C561" s="3" t="s">
        <v>1671</v>
      </c>
      <c r="D561" s="3"/>
    </row>
    <row r="562" spans="1:4">
      <c r="A562" s="2">
        <v>40</v>
      </c>
      <c r="B562" s="2" t="s">
        <v>188</v>
      </c>
      <c r="C562" s="2" t="s">
        <v>1672</v>
      </c>
      <c r="D562" s="2"/>
    </row>
    <row r="563" spans="1:4">
      <c r="A563" s="3">
        <v>40</v>
      </c>
      <c r="B563" s="3" t="s">
        <v>188</v>
      </c>
      <c r="C563" s="3" t="s">
        <v>1673</v>
      </c>
      <c r="D563" s="3"/>
    </row>
    <row r="564" spans="1:4">
      <c r="A564" s="2">
        <v>40</v>
      </c>
      <c r="B564" s="2" t="s">
        <v>188</v>
      </c>
      <c r="C564" s="2" t="s">
        <v>1674</v>
      </c>
      <c r="D564" s="2"/>
    </row>
    <row r="565" spans="1:4">
      <c r="A565" s="3">
        <v>40</v>
      </c>
      <c r="B565" s="3" t="s">
        <v>188</v>
      </c>
      <c r="C565" s="3" t="s">
        <v>1675</v>
      </c>
      <c r="D565" s="3"/>
    </row>
    <row r="566" spans="1:4">
      <c r="A566" s="2">
        <v>40</v>
      </c>
      <c r="B566" s="2" t="s">
        <v>188</v>
      </c>
      <c r="C566" s="2" t="s">
        <v>1676</v>
      </c>
      <c r="D566" s="2"/>
    </row>
    <row r="567" spans="1:4">
      <c r="A567" s="3">
        <v>40</v>
      </c>
      <c r="B567" s="3" t="s">
        <v>188</v>
      </c>
      <c r="C567" s="3" t="s">
        <v>1677</v>
      </c>
      <c r="D567" s="3"/>
    </row>
    <row r="568" spans="1:4">
      <c r="A568" s="2">
        <v>40</v>
      </c>
      <c r="B568" s="2" t="s">
        <v>188</v>
      </c>
      <c r="C568" s="2" t="s">
        <v>1678</v>
      </c>
      <c r="D568" s="2"/>
    </row>
    <row r="569" spans="1:4">
      <c r="A569" s="3">
        <v>40</v>
      </c>
      <c r="B569" s="3" t="s">
        <v>188</v>
      </c>
      <c r="C569" s="3" t="s">
        <v>1679</v>
      </c>
      <c r="D569" s="3"/>
    </row>
    <row r="570" spans="1:4">
      <c r="A570" s="2">
        <v>40</v>
      </c>
      <c r="B570" s="2" t="s">
        <v>188</v>
      </c>
      <c r="C570" s="2" t="s">
        <v>1680</v>
      </c>
      <c r="D570" s="2"/>
    </row>
    <row r="571" spans="1:4">
      <c r="A571" s="3">
        <v>40</v>
      </c>
      <c r="B571" s="3" t="s">
        <v>188</v>
      </c>
      <c r="C571" s="3" t="s">
        <v>1681</v>
      </c>
      <c r="D571" s="3"/>
    </row>
    <row r="572" spans="1:4">
      <c r="A572" s="2">
        <v>41</v>
      </c>
      <c r="B572" s="2" t="s">
        <v>56</v>
      </c>
      <c r="C572" s="2" t="s">
        <v>1682</v>
      </c>
      <c r="D572" s="2"/>
    </row>
    <row r="573" spans="1:4">
      <c r="A573" s="3">
        <v>42</v>
      </c>
      <c r="B573" s="3" t="s">
        <v>62</v>
      </c>
      <c r="C573" s="3" t="s">
        <v>1683</v>
      </c>
      <c r="D573" s="3"/>
    </row>
    <row r="574" spans="1:4">
      <c r="A574" s="2">
        <v>42</v>
      </c>
      <c r="B574" s="2" t="s">
        <v>62</v>
      </c>
      <c r="C574" s="2" t="s">
        <v>1684</v>
      </c>
      <c r="D574" s="2"/>
    </row>
    <row r="575" spans="1:4">
      <c r="A575" s="3">
        <v>42</v>
      </c>
      <c r="B575" s="3" t="s">
        <v>62</v>
      </c>
      <c r="C575" s="3" t="s">
        <v>1685</v>
      </c>
      <c r="D575" s="3"/>
    </row>
    <row r="576" spans="1:4">
      <c r="A576" s="2">
        <v>42</v>
      </c>
      <c r="B576" s="2" t="s">
        <v>62</v>
      </c>
      <c r="C576" s="2" t="s">
        <v>1686</v>
      </c>
      <c r="D576" s="2"/>
    </row>
    <row r="577" spans="1:4">
      <c r="A577" s="3">
        <v>42</v>
      </c>
      <c r="B577" s="3" t="s">
        <v>62</v>
      </c>
      <c r="C577" s="3" t="s">
        <v>1687</v>
      </c>
      <c r="D577" s="3"/>
    </row>
    <row r="578" spans="1:4">
      <c r="A578" s="2">
        <v>43</v>
      </c>
      <c r="B578" s="2" t="s">
        <v>205</v>
      </c>
      <c r="C578" s="2" t="s">
        <v>1688</v>
      </c>
      <c r="D578" s="2"/>
    </row>
    <row r="579" spans="1:4">
      <c r="A579" s="3">
        <v>43</v>
      </c>
      <c r="B579" s="3" t="s">
        <v>205</v>
      </c>
      <c r="C579" s="3" t="s">
        <v>1689</v>
      </c>
      <c r="D579" s="3"/>
    </row>
    <row r="580" spans="1:4">
      <c r="A580" s="2">
        <v>43</v>
      </c>
      <c r="B580" s="2" t="s">
        <v>205</v>
      </c>
      <c r="C580" s="2" t="s">
        <v>1690</v>
      </c>
      <c r="D580" s="2"/>
    </row>
    <row r="581" spans="1:4">
      <c r="A581" s="3">
        <v>43</v>
      </c>
      <c r="B581" s="3" t="s">
        <v>205</v>
      </c>
      <c r="C581" s="3" t="s">
        <v>1691</v>
      </c>
      <c r="D581" s="3"/>
    </row>
    <row r="582" spans="1:4">
      <c r="A582" s="2">
        <v>43</v>
      </c>
      <c r="B582" s="2" t="s">
        <v>205</v>
      </c>
      <c r="C582" s="2" t="s">
        <v>1692</v>
      </c>
      <c r="D582" s="2"/>
    </row>
    <row r="583" spans="1:4">
      <c r="A583" s="3">
        <v>43</v>
      </c>
      <c r="B583" s="3" t="s">
        <v>205</v>
      </c>
      <c r="C583" s="3" t="s">
        <v>1693</v>
      </c>
      <c r="D583" s="3"/>
    </row>
    <row r="584" spans="1:4">
      <c r="A584" s="2">
        <v>43</v>
      </c>
      <c r="B584" s="2" t="s">
        <v>205</v>
      </c>
      <c r="C584" s="2" t="s">
        <v>1694</v>
      </c>
      <c r="D584" s="2"/>
    </row>
    <row r="585" spans="1:4">
      <c r="A585" s="3">
        <v>44</v>
      </c>
      <c r="B585" s="3" t="s">
        <v>137</v>
      </c>
      <c r="C585" s="3" t="s">
        <v>1695</v>
      </c>
      <c r="D585" s="3"/>
    </row>
    <row r="586" spans="1:4">
      <c r="A586" s="2">
        <v>44</v>
      </c>
      <c r="B586" s="2" t="s">
        <v>137</v>
      </c>
      <c r="C586" s="2" t="s">
        <v>1696</v>
      </c>
      <c r="D586" s="2"/>
    </row>
    <row r="587" spans="1:4">
      <c r="A587" s="3">
        <v>44</v>
      </c>
      <c r="B587" s="3" t="s">
        <v>137</v>
      </c>
      <c r="C587" s="3" t="s">
        <v>1697</v>
      </c>
      <c r="D587" s="3"/>
    </row>
    <row r="588" spans="1:4">
      <c r="A588" s="2">
        <v>44</v>
      </c>
      <c r="B588" s="2" t="s">
        <v>137</v>
      </c>
      <c r="C588" s="2" t="s">
        <v>1698</v>
      </c>
      <c r="D588" s="2"/>
    </row>
    <row r="589" spans="1:4">
      <c r="A589" s="3">
        <v>44</v>
      </c>
      <c r="B589" s="3" t="s">
        <v>137</v>
      </c>
      <c r="C589" s="3" t="s">
        <v>1699</v>
      </c>
      <c r="D589" s="3"/>
    </row>
    <row r="590" spans="1:4">
      <c r="A590" s="2">
        <v>44</v>
      </c>
      <c r="B590" s="2" t="s">
        <v>137</v>
      </c>
      <c r="C590" s="2" t="s">
        <v>1700</v>
      </c>
      <c r="D590" s="2"/>
    </row>
    <row r="591" spans="1:4">
      <c r="A591" s="3">
        <v>44</v>
      </c>
      <c r="B591" s="3" t="s">
        <v>137</v>
      </c>
      <c r="C591" s="3" t="s">
        <v>1701</v>
      </c>
      <c r="D591" s="3"/>
    </row>
    <row r="592" spans="1:4">
      <c r="A592" s="2">
        <v>44</v>
      </c>
      <c r="B592" s="2" t="s">
        <v>137</v>
      </c>
      <c r="C592" s="2" t="s">
        <v>1702</v>
      </c>
      <c r="D592" s="2"/>
    </row>
    <row r="593" spans="1:4">
      <c r="A593" s="3">
        <v>44</v>
      </c>
      <c r="B593" s="3" t="s">
        <v>137</v>
      </c>
      <c r="C593" s="3" t="s">
        <v>1703</v>
      </c>
      <c r="D593" s="3"/>
    </row>
    <row r="594" spans="1:4">
      <c r="A594" s="2">
        <v>44</v>
      </c>
      <c r="B594" s="2" t="s">
        <v>137</v>
      </c>
      <c r="C594" s="2" t="s">
        <v>1704</v>
      </c>
      <c r="D594" s="2"/>
    </row>
    <row r="595" spans="1:4">
      <c r="A595" s="3">
        <v>44</v>
      </c>
      <c r="B595" s="3" t="s">
        <v>137</v>
      </c>
      <c r="C595" s="3" t="s">
        <v>1705</v>
      </c>
      <c r="D595" s="3"/>
    </row>
    <row r="596" spans="1:4">
      <c r="A596" s="2">
        <v>44</v>
      </c>
      <c r="B596" s="2" t="s">
        <v>137</v>
      </c>
      <c r="C596" s="2" t="s">
        <v>1706</v>
      </c>
      <c r="D596" s="2"/>
    </row>
    <row r="597" spans="1:4">
      <c r="A597" s="3">
        <v>44</v>
      </c>
      <c r="B597" s="3" t="s">
        <v>137</v>
      </c>
      <c r="C597" s="3" t="s">
        <v>1707</v>
      </c>
      <c r="D597" s="3"/>
    </row>
    <row r="598" spans="1:4">
      <c r="A598" s="2">
        <v>44</v>
      </c>
      <c r="B598" s="2" t="s">
        <v>137</v>
      </c>
      <c r="C598" s="2" t="s">
        <v>1708</v>
      </c>
      <c r="D598" s="2"/>
    </row>
    <row r="599" spans="1:4">
      <c r="A599" s="3">
        <v>44</v>
      </c>
      <c r="B599" s="3" t="s">
        <v>137</v>
      </c>
      <c r="C599" s="3" t="s">
        <v>1709</v>
      </c>
      <c r="D599" s="3"/>
    </row>
    <row r="600" spans="1:4">
      <c r="A600" s="2">
        <v>44</v>
      </c>
      <c r="B600" s="2" t="s">
        <v>137</v>
      </c>
      <c r="C600" s="2" t="s">
        <v>1710</v>
      </c>
      <c r="D600" s="2"/>
    </row>
    <row r="601" spans="1:4">
      <c r="A601" s="3">
        <v>44</v>
      </c>
      <c r="B601" s="3" t="s">
        <v>137</v>
      </c>
      <c r="C601" s="3" t="s">
        <v>1711</v>
      </c>
      <c r="D601" s="3"/>
    </row>
    <row r="602" spans="1:4">
      <c r="A602" s="2">
        <v>44</v>
      </c>
      <c r="B602" s="2" t="s">
        <v>137</v>
      </c>
      <c r="C602" s="2" t="s">
        <v>1712</v>
      </c>
      <c r="D602" s="2"/>
    </row>
    <row r="603" spans="1:4">
      <c r="A603" s="3">
        <v>45</v>
      </c>
      <c r="B603" s="3" t="s">
        <v>197</v>
      </c>
      <c r="C603" s="3" t="s">
        <v>1713</v>
      </c>
      <c r="D603" s="3"/>
    </row>
    <row r="604" spans="1:4">
      <c r="A604" s="2">
        <v>45</v>
      </c>
      <c r="B604" s="2" t="s">
        <v>197</v>
      </c>
      <c r="C604" s="2" t="s">
        <v>1714</v>
      </c>
      <c r="D604" s="2"/>
    </row>
    <row r="605" spans="1:4">
      <c r="A605" s="3">
        <v>45</v>
      </c>
      <c r="B605" s="3" t="s">
        <v>197</v>
      </c>
      <c r="C605" s="3" t="s">
        <v>1715</v>
      </c>
      <c r="D605" s="3"/>
    </row>
    <row r="606" spans="1:4">
      <c r="A606" s="2">
        <v>45</v>
      </c>
      <c r="B606" s="2" t="s">
        <v>197</v>
      </c>
      <c r="C606" s="2" t="s">
        <v>1716</v>
      </c>
      <c r="D606" s="2"/>
    </row>
    <row r="607" spans="1:4">
      <c r="A607" s="3">
        <v>45</v>
      </c>
      <c r="B607" s="3" t="s">
        <v>197</v>
      </c>
      <c r="C607" s="3" t="s">
        <v>1717</v>
      </c>
      <c r="D607" s="3"/>
    </row>
    <row r="608" spans="1:4">
      <c r="A608" s="2">
        <v>45</v>
      </c>
      <c r="B608" s="2" t="s">
        <v>197</v>
      </c>
      <c r="C608" s="2" t="s">
        <v>1718</v>
      </c>
      <c r="D608" s="2"/>
    </row>
    <row r="609" spans="1:4">
      <c r="A609" s="3">
        <v>45</v>
      </c>
      <c r="B609" s="3" t="s">
        <v>197</v>
      </c>
      <c r="C609" s="3" t="s">
        <v>1719</v>
      </c>
      <c r="D609" s="3"/>
    </row>
    <row r="610" spans="1:4">
      <c r="A610" s="2">
        <v>45</v>
      </c>
      <c r="B610" s="2" t="s">
        <v>197</v>
      </c>
      <c r="C610" s="2" t="s">
        <v>1720</v>
      </c>
      <c r="D610" s="2"/>
    </row>
    <row r="611" spans="1:4">
      <c r="A611" s="3">
        <v>45</v>
      </c>
      <c r="B611" s="3" t="s">
        <v>197</v>
      </c>
      <c r="C611" s="3" t="s">
        <v>1721</v>
      </c>
      <c r="D611" s="3"/>
    </row>
    <row r="612" spans="1:4">
      <c r="A612" s="2">
        <v>45</v>
      </c>
      <c r="B612" s="2" t="s">
        <v>197</v>
      </c>
      <c r="C612" s="2" t="s">
        <v>1722</v>
      </c>
      <c r="D612" s="2"/>
    </row>
    <row r="613" spans="1:4">
      <c r="A613" s="3">
        <v>45</v>
      </c>
      <c r="B613" s="3" t="s">
        <v>197</v>
      </c>
      <c r="C613" s="3" t="s">
        <v>1723</v>
      </c>
      <c r="D613" s="3"/>
    </row>
    <row r="614" spans="1:4">
      <c r="A614" s="2">
        <v>45</v>
      </c>
      <c r="B614" s="2" t="s">
        <v>197</v>
      </c>
      <c r="C614" s="2" t="s">
        <v>1724</v>
      </c>
      <c r="D614" s="2"/>
    </row>
    <row r="615" spans="1:4">
      <c r="A615" s="3">
        <v>45</v>
      </c>
      <c r="B615" s="3" t="s">
        <v>197</v>
      </c>
      <c r="C615" s="3" t="s">
        <v>1725</v>
      </c>
      <c r="D615" s="3"/>
    </row>
    <row r="616" spans="1:4">
      <c r="A616" s="2">
        <v>45</v>
      </c>
      <c r="B616" s="2" t="s">
        <v>197</v>
      </c>
      <c r="C616" s="2" t="s">
        <v>1726</v>
      </c>
      <c r="D616" s="2"/>
    </row>
    <row r="617" spans="1:4">
      <c r="A617" s="3">
        <v>45</v>
      </c>
      <c r="B617" s="3" t="s">
        <v>197</v>
      </c>
      <c r="C617" s="3" t="s">
        <v>1727</v>
      </c>
      <c r="D617" s="3"/>
    </row>
    <row r="618" spans="1:4">
      <c r="A618" s="2">
        <v>45</v>
      </c>
      <c r="B618" s="2" t="s">
        <v>197</v>
      </c>
      <c r="C618" s="2" t="s">
        <v>1728</v>
      </c>
      <c r="D618" s="2"/>
    </row>
    <row r="619" spans="1:4">
      <c r="A619" s="3">
        <v>45</v>
      </c>
      <c r="B619" s="3" t="s">
        <v>197</v>
      </c>
      <c r="C619" s="3" t="s">
        <v>1729</v>
      </c>
      <c r="D619" s="3"/>
    </row>
    <row r="620" spans="1:4">
      <c r="A620" s="2">
        <v>45</v>
      </c>
      <c r="B620" s="2" t="s">
        <v>197</v>
      </c>
      <c r="C620" s="2" t="s">
        <v>1730</v>
      </c>
      <c r="D620" s="2"/>
    </row>
    <row r="621" spans="1:4">
      <c r="A621" s="3">
        <v>45</v>
      </c>
      <c r="B621" s="3" t="s">
        <v>197</v>
      </c>
      <c r="C621" s="3" t="s">
        <v>1731</v>
      </c>
      <c r="D621" s="3"/>
    </row>
    <row r="622" spans="1:4">
      <c r="A622" s="2">
        <v>47</v>
      </c>
      <c r="B622" s="2" t="s">
        <v>100</v>
      </c>
      <c r="C622" s="2" t="s">
        <v>1732</v>
      </c>
      <c r="D622" s="2"/>
    </row>
    <row r="623" spans="1:4">
      <c r="A623" s="3">
        <v>47</v>
      </c>
      <c r="B623" s="3" t="s">
        <v>100</v>
      </c>
      <c r="C623" s="3" t="s">
        <v>1733</v>
      </c>
      <c r="D623" s="3"/>
    </row>
    <row r="624" spans="1:4">
      <c r="A624" s="2">
        <v>47</v>
      </c>
      <c r="B624" s="2" t="s">
        <v>100</v>
      </c>
      <c r="C624" s="2" t="s">
        <v>1734</v>
      </c>
      <c r="D624" s="2"/>
    </row>
    <row r="625" spans="1:4">
      <c r="A625" s="3">
        <v>48</v>
      </c>
      <c r="B625" s="3" t="s">
        <v>167</v>
      </c>
      <c r="C625" s="3" t="s">
        <v>1735</v>
      </c>
      <c r="D625" s="3"/>
    </row>
    <row r="626" spans="1:4">
      <c r="A626" s="2">
        <v>48</v>
      </c>
      <c r="B626" s="2" t="s">
        <v>167</v>
      </c>
      <c r="C626" s="2" t="s">
        <v>1736</v>
      </c>
      <c r="D626" s="2"/>
    </row>
    <row r="627" spans="1:4">
      <c r="A627" s="3">
        <v>48</v>
      </c>
      <c r="B627" s="3" t="s">
        <v>167</v>
      </c>
      <c r="C627" s="3" t="s">
        <v>1737</v>
      </c>
      <c r="D627" s="3"/>
    </row>
    <row r="628" spans="1:4">
      <c r="A628" s="2">
        <v>48</v>
      </c>
      <c r="B628" s="2" t="s">
        <v>167</v>
      </c>
      <c r="C628" s="2" t="s">
        <v>1738</v>
      </c>
      <c r="D628" s="2"/>
    </row>
    <row r="629" spans="1:4">
      <c r="A629" s="3">
        <v>48</v>
      </c>
      <c r="B629" s="3" t="s">
        <v>167</v>
      </c>
      <c r="C629" s="3" t="s">
        <v>1739</v>
      </c>
      <c r="D629" s="3"/>
    </row>
    <row r="630" spans="1:4">
      <c r="A630" s="2">
        <v>48</v>
      </c>
      <c r="B630" s="2" t="s">
        <v>167</v>
      </c>
      <c r="C630" s="2" t="s">
        <v>1740</v>
      </c>
      <c r="D630" s="2"/>
    </row>
    <row r="631" spans="1:4">
      <c r="A631" s="3">
        <v>48</v>
      </c>
      <c r="B631" s="3" t="s">
        <v>167</v>
      </c>
      <c r="C631" s="3" t="s">
        <v>1741</v>
      </c>
      <c r="D631" s="3"/>
    </row>
    <row r="632" spans="1:4">
      <c r="A632" s="2">
        <v>48</v>
      </c>
      <c r="B632" s="2" t="s">
        <v>167</v>
      </c>
      <c r="C632" s="2" t="s">
        <v>1742</v>
      </c>
      <c r="D632" s="2"/>
    </row>
    <row r="633" spans="1:4">
      <c r="A633" s="3">
        <v>48</v>
      </c>
      <c r="B633" s="3" t="s">
        <v>167</v>
      </c>
      <c r="C633" s="3" t="s">
        <v>1743</v>
      </c>
      <c r="D633" s="3"/>
    </row>
    <row r="634" spans="1:4">
      <c r="A634" s="2">
        <v>48</v>
      </c>
      <c r="B634" s="2" t="s">
        <v>167</v>
      </c>
      <c r="C634" s="2" t="s">
        <v>1744</v>
      </c>
      <c r="D634" s="2"/>
    </row>
    <row r="635" spans="1:4">
      <c r="A635" s="3">
        <v>48</v>
      </c>
      <c r="B635" s="3" t="s">
        <v>167</v>
      </c>
      <c r="C635" s="3" t="s">
        <v>1745</v>
      </c>
      <c r="D635" s="3"/>
    </row>
    <row r="636" spans="1:4">
      <c r="A636" s="2">
        <v>48</v>
      </c>
      <c r="B636" s="2" t="s">
        <v>167</v>
      </c>
      <c r="C636" s="2" t="s">
        <v>1746</v>
      </c>
      <c r="D636" s="2"/>
    </row>
    <row r="637" spans="1:4">
      <c r="A637" s="3">
        <v>48</v>
      </c>
      <c r="B637" s="3" t="s">
        <v>167</v>
      </c>
      <c r="C637" s="3" t="s">
        <v>1747</v>
      </c>
      <c r="D637" s="3"/>
    </row>
    <row r="638" spans="1:4">
      <c r="A638" s="2">
        <v>48</v>
      </c>
      <c r="B638" s="2" t="s">
        <v>167</v>
      </c>
      <c r="C638" s="2" t="s">
        <v>1748</v>
      </c>
      <c r="D638" s="2"/>
    </row>
    <row r="639" spans="1:4">
      <c r="A639" s="3">
        <v>48</v>
      </c>
      <c r="B639" s="3" t="s">
        <v>167</v>
      </c>
      <c r="C639" s="3" t="s">
        <v>1749</v>
      </c>
      <c r="D639" s="3"/>
    </row>
    <row r="640" spans="1:4">
      <c r="A640" s="2">
        <v>48</v>
      </c>
      <c r="B640" s="2" t="s">
        <v>167</v>
      </c>
      <c r="C640" s="2" t="s">
        <v>1750</v>
      </c>
      <c r="D640" s="2"/>
    </row>
    <row r="641" spans="1:4">
      <c r="A641" s="3">
        <v>48</v>
      </c>
      <c r="B641" s="3" t="s">
        <v>167</v>
      </c>
      <c r="C641" s="3" t="s">
        <v>1751</v>
      </c>
      <c r="D641" s="3"/>
    </row>
    <row r="642" spans="1:4">
      <c r="A642" s="2">
        <v>48</v>
      </c>
      <c r="B642" s="2" t="s">
        <v>167</v>
      </c>
      <c r="C642" s="2" t="s">
        <v>1752</v>
      </c>
      <c r="D642" s="2"/>
    </row>
    <row r="643" spans="1:4">
      <c r="A643" s="3">
        <v>48</v>
      </c>
      <c r="B643" s="3" t="s">
        <v>167</v>
      </c>
      <c r="C643" s="3" t="s">
        <v>1753</v>
      </c>
      <c r="D643" s="3"/>
    </row>
    <row r="644" spans="1:4">
      <c r="A644" s="2">
        <v>49</v>
      </c>
      <c r="B644" s="2" t="s">
        <v>158</v>
      </c>
      <c r="C644" s="2" t="s">
        <v>1754</v>
      </c>
      <c r="D644" s="2"/>
    </row>
    <row r="645" spans="1:4">
      <c r="A645" s="3">
        <v>49</v>
      </c>
      <c r="B645" s="3" t="s">
        <v>158</v>
      </c>
      <c r="C645" s="3" t="s">
        <v>1755</v>
      </c>
      <c r="D645" s="3"/>
    </row>
    <row r="646" spans="1:4">
      <c r="A646" s="2">
        <v>49</v>
      </c>
      <c r="B646" s="2" t="s">
        <v>158</v>
      </c>
      <c r="C646" s="2" t="s">
        <v>1756</v>
      </c>
      <c r="D646" s="2"/>
    </row>
    <row r="647" spans="1:4">
      <c r="A647" s="3">
        <v>49</v>
      </c>
      <c r="B647" s="3" t="s">
        <v>158</v>
      </c>
      <c r="C647" s="3" t="s">
        <v>1757</v>
      </c>
      <c r="D647" s="3"/>
    </row>
    <row r="648" spans="1:4">
      <c r="A648" s="2">
        <v>49</v>
      </c>
      <c r="B648" s="2" t="s">
        <v>158</v>
      </c>
      <c r="C648" s="2" t="s">
        <v>1758</v>
      </c>
      <c r="D648" s="2"/>
    </row>
    <row r="649" spans="1:4">
      <c r="A649" s="3">
        <v>49</v>
      </c>
      <c r="B649" s="3" t="s">
        <v>158</v>
      </c>
      <c r="C649" s="3" t="s">
        <v>1759</v>
      </c>
      <c r="D649" s="3"/>
    </row>
    <row r="650" spans="1:4">
      <c r="A650" s="2">
        <v>49</v>
      </c>
      <c r="B650" s="2" t="s">
        <v>158</v>
      </c>
      <c r="C650" s="2" t="s">
        <v>1760</v>
      </c>
      <c r="D650" s="2"/>
    </row>
    <row r="651" spans="1:4">
      <c r="A651" s="3">
        <v>49</v>
      </c>
      <c r="B651" s="3" t="s">
        <v>158</v>
      </c>
      <c r="C651" s="3" t="s">
        <v>1761</v>
      </c>
      <c r="D651" s="3"/>
    </row>
    <row r="652" spans="1:4">
      <c r="A652" s="2">
        <v>49</v>
      </c>
      <c r="B652" s="2" t="s">
        <v>158</v>
      </c>
      <c r="C652" s="2" t="s">
        <v>1762</v>
      </c>
      <c r="D652" s="2"/>
    </row>
    <row r="653" spans="1:4">
      <c r="A653" s="3">
        <v>49</v>
      </c>
      <c r="B653" s="3" t="s">
        <v>158</v>
      </c>
      <c r="C653" s="3" t="s">
        <v>1763</v>
      </c>
      <c r="D653" s="3"/>
    </row>
    <row r="654" spans="1:4">
      <c r="A654" s="2">
        <v>49</v>
      </c>
      <c r="B654" s="2" t="s">
        <v>158</v>
      </c>
      <c r="C654" s="2" t="s">
        <v>1764</v>
      </c>
      <c r="D654" s="2"/>
    </row>
    <row r="655" spans="1:4">
      <c r="A655" s="3">
        <v>49</v>
      </c>
      <c r="B655" s="3" t="s">
        <v>158</v>
      </c>
      <c r="C655" s="3" t="s">
        <v>1765</v>
      </c>
      <c r="D655" s="3"/>
    </row>
    <row r="656" spans="1:4">
      <c r="A656" s="2">
        <v>49</v>
      </c>
      <c r="B656" s="2" t="s">
        <v>158</v>
      </c>
      <c r="C656" s="2" t="s">
        <v>1766</v>
      </c>
      <c r="D656" s="2"/>
    </row>
    <row r="657" spans="1:4">
      <c r="A657" s="3">
        <v>49</v>
      </c>
      <c r="B657" s="3" t="s">
        <v>158</v>
      </c>
      <c r="C657" s="3" t="s">
        <v>1767</v>
      </c>
      <c r="D657" s="3"/>
    </row>
    <row r="658" spans="1:4">
      <c r="A658" s="2">
        <v>49</v>
      </c>
      <c r="B658" s="2" t="s">
        <v>158</v>
      </c>
      <c r="C658" s="2" t="s">
        <v>1768</v>
      </c>
      <c r="D658" s="2"/>
    </row>
    <row r="659" spans="1:4">
      <c r="A659" s="3">
        <v>49</v>
      </c>
      <c r="B659" s="3" t="s">
        <v>158</v>
      </c>
      <c r="C659" s="3" t="s">
        <v>1769</v>
      </c>
      <c r="D659" s="3"/>
    </row>
    <row r="660" spans="1:4">
      <c r="A660" s="2">
        <v>49</v>
      </c>
      <c r="B660" s="2" t="s">
        <v>158</v>
      </c>
      <c r="C660" s="2" t="s">
        <v>1770</v>
      </c>
      <c r="D660" s="2"/>
    </row>
    <row r="661" spans="1:4">
      <c r="A661" s="3">
        <v>49</v>
      </c>
      <c r="B661" s="3" t="s">
        <v>158</v>
      </c>
      <c r="C661" s="3" t="s">
        <v>1771</v>
      </c>
      <c r="D661" s="3"/>
    </row>
    <row r="662" spans="1:4">
      <c r="A662" s="2">
        <v>49</v>
      </c>
      <c r="B662" s="2" t="s">
        <v>158</v>
      </c>
      <c r="C662" s="2" t="s">
        <v>1772</v>
      </c>
      <c r="D662" s="2"/>
    </row>
    <row r="663" spans="1:4">
      <c r="A663" s="3">
        <v>49</v>
      </c>
      <c r="B663" s="3" t="s">
        <v>158</v>
      </c>
      <c r="C663" s="3" t="s">
        <v>1773</v>
      </c>
      <c r="D663" s="3"/>
    </row>
    <row r="664" spans="1:4">
      <c r="A664" s="2">
        <v>49</v>
      </c>
      <c r="B664" s="2" t="s">
        <v>158</v>
      </c>
      <c r="C664" s="2" t="s">
        <v>1774</v>
      </c>
      <c r="D664" s="2"/>
    </row>
    <row r="665" spans="1:4">
      <c r="A665" s="3">
        <v>49</v>
      </c>
      <c r="B665" s="3" t="s">
        <v>158</v>
      </c>
      <c r="C665" s="3" t="s">
        <v>1775</v>
      </c>
      <c r="D665" s="3"/>
    </row>
    <row r="666" spans="1:4">
      <c r="A666" s="2">
        <v>49</v>
      </c>
      <c r="B666" s="2" t="s">
        <v>158</v>
      </c>
      <c r="C666" s="2" t="s">
        <v>1776</v>
      </c>
      <c r="D666" s="2"/>
    </row>
    <row r="667" spans="1:4">
      <c r="A667" s="3">
        <v>49</v>
      </c>
      <c r="B667" s="3" t="s">
        <v>158</v>
      </c>
      <c r="C667" s="3" t="s">
        <v>1777</v>
      </c>
      <c r="D667" s="3"/>
    </row>
    <row r="668" spans="1:4">
      <c r="A668" s="2">
        <v>49</v>
      </c>
      <c r="B668" s="2" t="s">
        <v>158</v>
      </c>
      <c r="C668" s="2" t="s">
        <v>1778</v>
      </c>
      <c r="D668" s="2"/>
    </row>
    <row r="669" spans="1:4">
      <c r="A669" s="3">
        <v>49</v>
      </c>
      <c r="B669" s="3" t="s">
        <v>158</v>
      </c>
      <c r="C669" s="3" t="s">
        <v>1779</v>
      </c>
      <c r="D669" s="3"/>
    </row>
    <row r="670" spans="1:4">
      <c r="A670" s="2">
        <v>49</v>
      </c>
      <c r="B670" s="2" t="s">
        <v>158</v>
      </c>
      <c r="C670" s="2" t="s">
        <v>1780</v>
      </c>
      <c r="D670" s="2"/>
    </row>
    <row r="671" spans="1:4">
      <c r="A671" s="3">
        <v>49</v>
      </c>
      <c r="B671" s="3" t="s">
        <v>158</v>
      </c>
      <c r="C671" s="3" t="s">
        <v>1781</v>
      </c>
      <c r="D671" s="3"/>
    </row>
    <row r="672" spans="1:4">
      <c r="A672" s="2">
        <v>49</v>
      </c>
      <c r="B672" s="2" t="s">
        <v>158</v>
      </c>
      <c r="C672" s="2" t="s">
        <v>1782</v>
      </c>
      <c r="D672" s="2"/>
    </row>
    <row r="673" spans="1:4">
      <c r="A673" s="3">
        <v>49</v>
      </c>
      <c r="B673" s="3" t="s">
        <v>158</v>
      </c>
      <c r="C673" s="3" t="s">
        <v>1783</v>
      </c>
      <c r="D673" s="3"/>
    </row>
    <row r="674" spans="1:4">
      <c r="A674" s="2">
        <v>49</v>
      </c>
      <c r="B674" s="2" t="s">
        <v>158</v>
      </c>
      <c r="C674" s="2" t="s">
        <v>1784</v>
      </c>
      <c r="D674" s="2"/>
    </row>
    <row r="675" spans="1:4">
      <c r="A675" s="3">
        <v>49</v>
      </c>
      <c r="B675" s="3" t="s">
        <v>158</v>
      </c>
      <c r="C675" s="3" t="s">
        <v>1785</v>
      </c>
      <c r="D675" s="3"/>
    </row>
    <row r="676" spans="1:4">
      <c r="A676" s="2">
        <v>49</v>
      </c>
      <c r="B676" s="2" t="s">
        <v>158</v>
      </c>
      <c r="C676" s="2" t="s">
        <v>1786</v>
      </c>
      <c r="D676" s="2"/>
    </row>
    <row r="677" spans="1:4">
      <c r="A677" s="3">
        <v>49</v>
      </c>
      <c r="B677" s="3" t="s">
        <v>158</v>
      </c>
      <c r="C677" s="3" t="s">
        <v>1787</v>
      </c>
      <c r="D677" s="3"/>
    </row>
    <row r="678" spans="1:4">
      <c r="A678" s="2">
        <v>49</v>
      </c>
      <c r="B678" s="2" t="s">
        <v>158</v>
      </c>
      <c r="C678" s="2" t="s">
        <v>1788</v>
      </c>
      <c r="D678" s="2"/>
    </row>
    <row r="679" spans="1:4">
      <c r="A679" s="3">
        <v>49</v>
      </c>
      <c r="B679" s="3" t="s">
        <v>158</v>
      </c>
      <c r="C679" s="3" t="s">
        <v>1789</v>
      </c>
      <c r="D679" s="3"/>
    </row>
    <row r="680" spans="1:4">
      <c r="A680" s="2">
        <v>49</v>
      </c>
      <c r="B680" s="2" t="s">
        <v>158</v>
      </c>
      <c r="C680" s="2" t="s">
        <v>1790</v>
      </c>
      <c r="D680" s="2"/>
    </row>
    <row r="681" spans="1:4">
      <c r="A681" s="3">
        <v>49</v>
      </c>
      <c r="B681" s="3" t="s">
        <v>158</v>
      </c>
      <c r="C681" s="3" t="s">
        <v>1791</v>
      </c>
      <c r="D681" s="3"/>
    </row>
    <row r="682" spans="1:4">
      <c r="A682" s="2">
        <v>49</v>
      </c>
      <c r="B682" s="2" t="s">
        <v>158</v>
      </c>
      <c r="C682" s="2" t="s">
        <v>1792</v>
      </c>
      <c r="D682" s="2"/>
    </row>
    <row r="683" spans="1:4">
      <c r="A683" s="3">
        <v>49</v>
      </c>
      <c r="B683" s="3" t="s">
        <v>158</v>
      </c>
      <c r="C683" s="3" t="s">
        <v>1793</v>
      </c>
      <c r="D683" s="3"/>
    </row>
    <row r="684" spans="1:4">
      <c r="A684" s="2">
        <v>49</v>
      </c>
      <c r="B684" s="2" t="s">
        <v>158</v>
      </c>
      <c r="C684" s="2" t="s">
        <v>1794</v>
      </c>
      <c r="D684" s="2"/>
    </row>
    <row r="685" spans="1:4">
      <c r="A685" s="3">
        <v>49</v>
      </c>
      <c r="B685" s="3" t="s">
        <v>158</v>
      </c>
      <c r="C685" s="3" t="s">
        <v>1795</v>
      </c>
      <c r="D685" s="3"/>
    </row>
    <row r="686" spans="1:4">
      <c r="A686" s="2">
        <v>49</v>
      </c>
      <c r="B686" s="2" t="s">
        <v>158</v>
      </c>
      <c r="C686" s="2" t="s">
        <v>1796</v>
      </c>
      <c r="D686" s="2"/>
    </row>
    <row r="687" spans="1:4">
      <c r="A687" s="3">
        <v>49</v>
      </c>
      <c r="B687" s="3" t="s">
        <v>158</v>
      </c>
      <c r="C687" s="3" t="s">
        <v>1797</v>
      </c>
      <c r="D687" s="3"/>
    </row>
    <row r="688" spans="1:4">
      <c r="A688" s="2">
        <v>49</v>
      </c>
      <c r="B688" s="2" t="s">
        <v>158</v>
      </c>
      <c r="C688" s="2" t="s">
        <v>1798</v>
      </c>
      <c r="D688" s="2"/>
    </row>
    <row r="689" spans="1:4">
      <c r="A689" s="3">
        <v>49</v>
      </c>
      <c r="B689" s="3" t="s">
        <v>158</v>
      </c>
      <c r="C689" s="3" t="s">
        <v>1799</v>
      </c>
      <c r="D689" s="3"/>
    </row>
    <row r="690" spans="1:4">
      <c r="A690" s="2">
        <v>49</v>
      </c>
      <c r="B690" s="2" t="s">
        <v>158</v>
      </c>
      <c r="C690" s="2" t="s">
        <v>1800</v>
      </c>
      <c r="D690" s="2"/>
    </row>
    <row r="691" spans="1:4">
      <c r="A691" s="3">
        <v>49</v>
      </c>
      <c r="B691" s="3" t="s">
        <v>158</v>
      </c>
      <c r="C691" s="3" t="s">
        <v>1801</v>
      </c>
      <c r="D691" s="3"/>
    </row>
    <row r="692" spans="1:4">
      <c r="A692" s="2">
        <v>49</v>
      </c>
      <c r="B692" s="2" t="s">
        <v>158</v>
      </c>
      <c r="C692" s="2" t="s">
        <v>1802</v>
      </c>
      <c r="D692" s="2"/>
    </row>
    <row r="693" spans="1:4">
      <c r="A693" s="3">
        <v>49</v>
      </c>
      <c r="B693" s="3" t="s">
        <v>158</v>
      </c>
      <c r="C693" s="3" t="s">
        <v>1803</v>
      </c>
      <c r="D693" s="3"/>
    </row>
    <row r="694" spans="1:4">
      <c r="A694" s="2">
        <v>50</v>
      </c>
      <c r="B694" s="2" t="s">
        <v>212</v>
      </c>
      <c r="C694" s="2" t="s">
        <v>1804</v>
      </c>
      <c r="D694" s="2"/>
    </row>
    <row r="695" spans="1:4">
      <c r="A695" s="3">
        <v>50</v>
      </c>
      <c r="B695" s="3" t="s">
        <v>212</v>
      </c>
      <c r="C695" s="3" t="s">
        <v>1805</v>
      </c>
      <c r="D695" s="3"/>
    </row>
    <row r="696" spans="1:4">
      <c r="A696" s="2">
        <v>50</v>
      </c>
      <c r="B696" s="2" t="s">
        <v>212</v>
      </c>
      <c r="C696" s="2" t="s">
        <v>1806</v>
      </c>
      <c r="D696" s="2"/>
    </row>
    <row r="697" spans="1:4">
      <c r="A697" s="3">
        <v>50</v>
      </c>
      <c r="B697" s="3" t="s">
        <v>212</v>
      </c>
      <c r="C697" s="3" t="s">
        <v>1807</v>
      </c>
      <c r="D697" s="3"/>
    </row>
    <row r="698" spans="1:4">
      <c r="A698" s="2">
        <v>50</v>
      </c>
      <c r="B698" s="2" t="s">
        <v>212</v>
      </c>
      <c r="C698" s="2" t="s">
        <v>1808</v>
      </c>
      <c r="D698" s="2"/>
    </row>
    <row r="699" spans="1:4">
      <c r="A699" s="3">
        <v>50</v>
      </c>
      <c r="B699" s="3" t="s">
        <v>212</v>
      </c>
      <c r="C699" s="3" t="s">
        <v>1809</v>
      </c>
      <c r="D699" s="3"/>
    </row>
    <row r="700" spans="1:4">
      <c r="A700" s="2">
        <v>50</v>
      </c>
      <c r="B700" s="2" t="s">
        <v>212</v>
      </c>
      <c r="C700" s="2" t="s">
        <v>1810</v>
      </c>
      <c r="D700" s="2"/>
    </row>
    <row r="701" spans="1:4">
      <c r="A701" s="3">
        <v>50</v>
      </c>
      <c r="B701" s="3" t="s">
        <v>212</v>
      </c>
      <c r="C701" s="3" t="s">
        <v>1811</v>
      </c>
      <c r="D701" s="3"/>
    </row>
    <row r="702" spans="1:4">
      <c r="A702" s="2">
        <v>50</v>
      </c>
      <c r="B702" s="2" t="s">
        <v>212</v>
      </c>
      <c r="C702" s="2" t="s">
        <v>1812</v>
      </c>
      <c r="D702" s="2"/>
    </row>
    <row r="703" spans="1:4">
      <c r="A703" s="3">
        <v>50</v>
      </c>
      <c r="B703" s="3" t="s">
        <v>212</v>
      </c>
      <c r="C703" s="3" t="s">
        <v>1813</v>
      </c>
      <c r="D703" s="3"/>
    </row>
    <row r="704" spans="1:4">
      <c r="A704" s="2">
        <v>50</v>
      </c>
      <c r="B704" s="2" t="s">
        <v>212</v>
      </c>
      <c r="C704" s="2" t="s">
        <v>1814</v>
      </c>
      <c r="D704" s="2"/>
    </row>
    <row r="705" spans="1:4">
      <c r="A705" s="3">
        <v>50</v>
      </c>
      <c r="B705" s="3" t="s">
        <v>212</v>
      </c>
      <c r="C705" s="3">
        <f> JvvBdr = (27)</f>
        <v>0</v>
      </c>
      <c r="D705" s="3"/>
    </row>
    <row r="706" spans="1:4">
      <c r="A706" s="2">
        <v>50</v>
      </c>
      <c r="B706" s="2" t="s">
        <v>212</v>
      </c>
      <c r="C706" s="2" t="s">
        <v>1815</v>
      </c>
      <c r="D706" s="2"/>
    </row>
    <row r="707" spans="1:4">
      <c r="A707" s="3">
        <v>50</v>
      </c>
      <c r="B707" s="3" t="s">
        <v>212</v>
      </c>
      <c r="C707" s="3" t="s">
        <v>1816</v>
      </c>
      <c r="D707" s="3"/>
    </row>
    <row r="708" spans="1:4">
      <c r="A708" s="2">
        <v>50</v>
      </c>
      <c r="B708" s="2" t="s">
        <v>212</v>
      </c>
      <c r="C708" s="2" t="s">
        <v>1817</v>
      </c>
      <c r="D708" s="2"/>
    </row>
    <row r="709" spans="1:4">
      <c r="A709" s="3">
        <v>50</v>
      </c>
      <c r="B709" s="3" t="s">
        <v>212</v>
      </c>
      <c r="C709" s="3" t="s">
        <v>1818</v>
      </c>
      <c r="D709" s="3"/>
    </row>
    <row r="710" spans="1:4">
      <c r="A710" s="2">
        <v>50</v>
      </c>
      <c r="B710" s="2" t="s">
        <v>212</v>
      </c>
      <c r="C710" s="2" t="s">
        <v>1819</v>
      </c>
      <c r="D710" s="2"/>
    </row>
    <row r="711" spans="1:4">
      <c r="A711" s="3">
        <v>50</v>
      </c>
      <c r="B711" s="3" t="s">
        <v>212</v>
      </c>
      <c r="C711" s="3" t="s">
        <v>1820</v>
      </c>
      <c r="D711" s="3"/>
    </row>
    <row r="712" spans="1:4">
      <c r="A712" s="2">
        <v>50</v>
      </c>
      <c r="B712" s="2" t="s">
        <v>212</v>
      </c>
      <c r="C712" s="2" t="s">
        <v>1821</v>
      </c>
      <c r="D712" s="2"/>
    </row>
    <row r="713" spans="1:4">
      <c r="A713" s="3">
        <v>50</v>
      </c>
      <c r="B713" s="3" t="s">
        <v>212</v>
      </c>
      <c r="C713" s="3" t="s">
        <v>1822</v>
      </c>
      <c r="D713" s="3"/>
    </row>
    <row r="714" spans="1:4">
      <c r="A714" s="2">
        <v>50</v>
      </c>
      <c r="B714" s="2" t="s">
        <v>212</v>
      </c>
      <c r="C714" s="2" t="s">
        <v>1823</v>
      </c>
      <c r="D714" s="2"/>
    </row>
    <row r="715" spans="1:4">
      <c r="A715" s="3">
        <v>50</v>
      </c>
      <c r="B715" s="3" t="s">
        <v>212</v>
      </c>
      <c r="C715" s="3" t="s">
        <v>1824</v>
      </c>
      <c r="D715" s="3"/>
    </row>
    <row r="716" spans="1:4">
      <c r="A716" s="2">
        <v>50</v>
      </c>
      <c r="B716" s="2" t="s">
        <v>212</v>
      </c>
      <c r="C716" s="2" t="s">
        <v>1825</v>
      </c>
      <c r="D716" s="2"/>
    </row>
    <row r="717" spans="1:4">
      <c r="A717" s="3">
        <v>50</v>
      </c>
      <c r="B717" s="3" t="s">
        <v>212</v>
      </c>
      <c r="C717" s="3" t="s">
        <v>1826</v>
      </c>
      <c r="D717" s="3"/>
    </row>
    <row r="718" spans="1:4">
      <c r="A718" s="2">
        <v>50</v>
      </c>
      <c r="B718" s="2" t="s">
        <v>212</v>
      </c>
      <c r="C718" s="2" t="s">
        <v>1827</v>
      </c>
      <c r="D718" s="2"/>
    </row>
    <row r="719" spans="1:4">
      <c r="A719" s="3">
        <v>50</v>
      </c>
      <c r="B719" s="3" t="s">
        <v>212</v>
      </c>
      <c r="C719" s="3" t="s">
        <v>1828</v>
      </c>
      <c r="D719" s="3"/>
    </row>
    <row r="720" spans="1:4">
      <c r="A720" s="2">
        <v>50</v>
      </c>
      <c r="B720" s="2" t="s">
        <v>212</v>
      </c>
      <c r="C720" s="2" t="s">
        <v>1829</v>
      </c>
      <c r="D720" s="2"/>
    </row>
    <row r="721" spans="1:4">
      <c r="A721" s="3">
        <v>50</v>
      </c>
      <c r="B721" s="3" t="s">
        <v>212</v>
      </c>
      <c r="C721" s="3" t="s">
        <v>1830</v>
      </c>
      <c r="D721" s="3"/>
    </row>
    <row r="722" spans="1:4">
      <c r="A722" s="2">
        <v>50</v>
      </c>
      <c r="B722" s="2" t="s">
        <v>212</v>
      </c>
      <c r="C722" s="2" t="s">
        <v>1831</v>
      </c>
      <c r="D722" s="2"/>
    </row>
    <row r="723" spans="1:4">
      <c r="A723" s="3">
        <v>51</v>
      </c>
      <c r="B723" s="3" t="s">
        <v>144</v>
      </c>
      <c r="C723" s="3" t="s">
        <v>1832</v>
      </c>
      <c r="D723" s="3"/>
    </row>
    <row r="724" spans="1:4">
      <c r="A724" s="2">
        <v>51</v>
      </c>
      <c r="B724" s="2" t="s">
        <v>144</v>
      </c>
      <c r="C724" s="2" t="s">
        <v>1833</v>
      </c>
      <c r="D724" s="2"/>
    </row>
    <row r="725" spans="1:4">
      <c r="A725" s="3">
        <v>51</v>
      </c>
      <c r="B725" s="3" t="s">
        <v>144</v>
      </c>
      <c r="C725" s="3" t="s">
        <v>1834</v>
      </c>
      <c r="D725" s="3"/>
    </row>
    <row r="726" spans="1:4">
      <c r="A726" s="2">
        <v>51</v>
      </c>
      <c r="B726" s="2" t="s">
        <v>144</v>
      </c>
      <c r="C726" s="2" t="s">
        <v>1835</v>
      </c>
      <c r="D726" s="2"/>
    </row>
    <row r="727" spans="1:4">
      <c r="A727" s="3">
        <v>51</v>
      </c>
      <c r="B727" s="3" t="s">
        <v>144</v>
      </c>
      <c r="C727" s="3" t="s">
        <v>1836</v>
      </c>
      <c r="D727" s="3"/>
    </row>
    <row r="728" spans="1:4">
      <c r="A728" s="2">
        <v>51</v>
      </c>
      <c r="B728" s="2" t="s">
        <v>144</v>
      </c>
      <c r="C728" s="2" t="s">
        <v>1837</v>
      </c>
      <c r="D728" s="2"/>
    </row>
    <row r="729" spans="1:4">
      <c r="A729" s="3">
        <v>51</v>
      </c>
      <c r="B729" s="3" t="s">
        <v>144</v>
      </c>
      <c r="C729" s="3" t="s">
        <v>1838</v>
      </c>
      <c r="D729" s="3"/>
    </row>
    <row r="730" spans="1:4">
      <c r="A730" s="2">
        <v>51</v>
      </c>
      <c r="B730" s="2" t="s">
        <v>144</v>
      </c>
      <c r="C730" s="2" t="s">
        <v>1839</v>
      </c>
      <c r="D730" s="2"/>
    </row>
    <row r="731" spans="1:4">
      <c r="A731" s="3">
        <v>51</v>
      </c>
      <c r="B731" s="3" t="s">
        <v>144</v>
      </c>
      <c r="C731" s="3" t="s">
        <v>1840</v>
      </c>
      <c r="D731" s="3"/>
    </row>
    <row r="732" spans="1:4">
      <c r="A732" s="2">
        <v>51</v>
      </c>
      <c r="B732" s="2" t="s">
        <v>144</v>
      </c>
      <c r="C732" s="2" t="s">
        <v>1841</v>
      </c>
      <c r="D732" s="2"/>
    </row>
    <row r="733" spans="1:4">
      <c r="A733" s="3">
        <v>51</v>
      </c>
      <c r="B733" s="3" t="s">
        <v>144</v>
      </c>
      <c r="C733" s="3" t="s">
        <v>1842</v>
      </c>
      <c r="D733" s="3"/>
    </row>
    <row r="734" spans="1:4">
      <c r="A734" s="2">
        <v>51</v>
      </c>
      <c r="B734" s="2" t="s">
        <v>144</v>
      </c>
      <c r="C734" s="2" t="s">
        <v>1843</v>
      </c>
      <c r="D734" s="2"/>
    </row>
    <row r="735" spans="1:4">
      <c r="A735" s="3">
        <v>51</v>
      </c>
      <c r="B735" s="3" t="s">
        <v>144</v>
      </c>
      <c r="C735" s="3" t="s">
        <v>1844</v>
      </c>
      <c r="D735" s="3"/>
    </row>
    <row r="736" spans="1:4">
      <c r="A736" s="2">
        <v>52</v>
      </c>
      <c r="B736" s="2" t="s">
        <v>149</v>
      </c>
      <c r="C736" s="2" t="s">
        <v>1845</v>
      </c>
      <c r="D736" s="2"/>
    </row>
    <row r="737" spans="1:4">
      <c r="A737" s="3">
        <v>52</v>
      </c>
      <c r="B737" s="3" t="s">
        <v>149</v>
      </c>
      <c r="C737" s="3" t="s">
        <v>1846</v>
      </c>
      <c r="D737" s="3"/>
    </row>
    <row r="738" spans="1:4">
      <c r="A738" s="2">
        <v>52</v>
      </c>
      <c r="B738" s="2" t="s">
        <v>149</v>
      </c>
      <c r="C738" s="2" t="s">
        <v>1847</v>
      </c>
      <c r="D738" s="2"/>
    </row>
    <row r="739" spans="1:4">
      <c r="A739" s="3">
        <v>52</v>
      </c>
      <c r="B739" s="3" t="s">
        <v>149</v>
      </c>
      <c r="C739" s="3" t="s">
        <v>1848</v>
      </c>
      <c r="D739" s="3"/>
    </row>
    <row r="740" spans="1:4">
      <c r="A740" s="2">
        <v>52</v>
      </c>
      <c r="B740" s="2" t="s">
        <v>149</v>
      </c>
      <c r="C740" s="2" t="s">
        <v>1849</v>
      </c>
      <c r="D740" s="2"/>
    </row>
    <row r="741" spans="1:4">
      <c r="A741" s="3">
        <v>52</v>
      </c>
      <c r="B741" s="3" t="s">
        <v>149</v>
      </c>
      <c r="C741" s="3" t="s">
        <v>1850</v>
      </c>
      <c r="D741" s="3"/>
    </row>
    <row r="742" spans="1:4">
      <c r="A742" s="2">
        <v>52</v>
      </c>
      <c r="B742" s="2" t="s">
        <v>149</v>
      </c>
      <c r="C742" s="2" t="s">
        <v>1851</v>
      </c>
      <c r="D742" s="2"/>
    </row>
    <row r="743" spans="1:4">
      <c r="A743" s="3">
        <v>52</v>
      </c>
      <c r="B743" s="3" t="s">
        <v>149</v>
      </c>
      <c r="C743" s="3" t="s">
        <v>1852</v>
      </c>
      <c r="D743" s="3"/>
    </row>
    <row r="744" spans="1:4">
      <c r="A744" s="2">
        <v>52</v>
      </c>
      <c r="B744" s="2" t="s">
        <v>149</v>
      </c>
      <c r="C744" s="2" t="s">
        <v>1652</v>
      </c>
      <c r="D744" s="2"/>
    </row>
    <row r="745" spans="1:4">
      <c r="A745" s="3">
        <v>52</v>
      </c>
      <c r="B745" s="3" t="s">
        <v>149</v>
      </c>
      <c r="C745" s="3" t="s">
        <v>1853</v>
      </c>
      <c r="D745" s="3"/>
    </row>
    <row r="746" spans="1:4">
      <c r="A746" s="2">
        <v>52</v>
      </c>
      <c r="B746" s="2" t="s">
        <v>149</v>
      </c>
      <c r="C746" s="2" t="s">
        <v>1854</v>
      </c>
      <c r="D746" s="2"/>
    </row>
    <row r="747" spans="1:4">
      <c r="A747" s="3">
        <v>52</v>
      </c>
      <c r="B747" s="3" t="s">
        <v>149</v>
      </c>
      <c r="C747" s="3" t="s">
        <v>1855</v>
      </c>
      <c r="D747" s="3"/>
    </row>
    <row r="748" spans="1:4">
      <c r="A748" s="2">
        <v>52</v>
      </c>
      <c r="B748" s="2" t="s">
        <v>149</v>
      </c>
      <c r="C748" s="2" t="s">
        <v>1856</v>
      </c>
      <c r="D748" s="2"/>
    </row>
    <row r="749" spans="1:4">
      <c r="A749" s="3">
        <v>52</v>
      </c>
      <c r="B749" s="3" t="s">
        <v>149</v>
      </c>
      <c r="C749" s="3" t="s">
        <v>1857</v>
      </c>
      <c r="D749" s="3"/>
    </row>
    <row r="750" spans="1:4">
      <c r="A750" s="2">
        <v>52</v>
      </c>
      <c r="B750" s="2" t="s">
        <v>149</v>
      </c>
      <c r="C750" s="2" t="s">
        <v>1858</v>
      </c>
      <c r="D750" s="2"/>
    </row>
    <row r="751" spans="1:4">
      <c r="A751" s="3">
        <v>52</v>
      </c>
      <c r="B751" s="3" t="s">
        <v>149</v>
      </c>
      <c r="C751" s="3" t="s">
        <v>1859</v>
      </c>
      <c r="D751" s="3"/>
    </row>
    <row r="752" spans="1:4">
      <c r="A752" s="2">
        <v>52</v>
      </c>
      <c r="B752" s="2" t="s">
        <v>149</v>
      </c>
      <c r="C752" s="2" t="s">
        <v>1860</v>
      </c>
      <c r="D752" s="2"/>
    </row>
    <row r="753" spans="1:4">
      <c r="A753" s="3">
        <v>52</v>
      </c>
      <c r="B753" s="3" t="s">
        <v>149</v>
      </c>
      <c r="C753" s="3" t="s">
        <v>1861</v>
      </c>
      <c r="D753" s="3"/>
    </row>
    <row r="754" spans="1:4">
      <c r="A754" s="2">
        <v>52</v>
      </c>
      <c r="B754" s="2" t="s">
        <v>149</v>
      </c>
      <c r="C754" s="2" t="s">
        <v>1862</v>
      </c>
      <c r="D754" s="2"/>
    </row>
    <row r="755" spans="1:4">
      <c r="A755" s="3">
        <v>52</v>
      </c>
      <c r="B755" s="3" t="s">
        <v>149</v>
      </c>
      <c r="C755" s="3" t="s">
        <v>1863</v>
      </c>
      <c r="D755" s="3"/>
    </row>
    <row r="756" spans="1:4">
      <c r="A756" s="2">
        <v>52</v>
      </c>
      <c r="B756" s="2" t="s">
        <v>149</v>
      </c>
      <c r="C756" s="2" t="s">
        <v>1856</v>
      </c>
      <c r="D756" s="2"/>
    </row>
    <row r="757" spans="1:4">
      <c r="A757" s="3">
        <v>52</v>
      </c>
      <c r="B757" s="3" t="s">
        <v>149</v>
      </c>
      <c r="C757" s="3" t="s">
        <v>1857</v>
      </c>
      <c r="D757" s="3"/>
    </row>
    <row r="758" spans="1:4">
      <c r="A758" s="2">
        <v>52</v>
      </c>
      <c r="B758" s="2" t="s">
        <v>149</v>
      </c>
      <c r="C758" s="2" t="s">
        <v>1858</v>
      </c>
      <c r="D758" s="2"/>
    </row>
    <row r="759" spans="1:4">
      <c r="A759" s="3">
        <v>52</v>
      </c>
      <c r="B759" s="3" t="s">
        <v>149</v>
      </c>
      <c r="C759" s="3" t="s">
        <v>1859</v>
      </c>
      <c r="D759" s="3"/>
    </row>
    <row r="760" spans="1:4">
      <c r="A760" s="2">
        <v>52</v>
      </c>
      <c r="B760" s="2" t="s">
        <v>149</v>
      </c>
      <c r="C760" s="2" t="s">
        <v>1864</v>
      </c>
      <c r="D760" s="2"/>
    </row>
    <row r="761" spans="1:4">
      <c r="A761" s="3">
        <v>52</v>
      </c>
      <c r="B761" s="3" t="s">
        <v>149</v>
      </c>
      <c r="C761" s="3" t="s">
        <v>1865</v>
      </c>
      <c r="D761" s="3"/>
    </row>
    <row r="762" spans="1:4">
      <c r="A762" s="2">
        <v>52</v>
      </c>
      <c r="B762" s="2" t="s">
        <v>149</v>
      </c>
      <c r="C762" s="2" t="s">
        <v>1865</v>
      </c>
      <c r="D762" s="2"/>
    </row>
    <row r="763" spans="1:4">
      <c r="A763" s="3">
        <v>52</v>
      </c>
      <c r="B763" s="3" t="s">
        <v>149</v>
      </c>
      <c r="C763" s="3" t="s">
        <v>1866</v>
      </c>
      <c r="D763" s="3"/>
    </row>
    <row r="764" spans="1:4">
      <c r="A764" s="2">
        <v>52</v>
      </c>
      <c r="B764" s="2" t="s">
        <v>149</v>
      </c>
      <c r="C764" s="2" t="s">
        <v>1867</v>
      </c>
      <c r="D764" s="2"/>
    </row>
    <row r="765" spans="1:4">
      <c r="A765" s="3">
        <v>52</v>
      </c>
      <c r="B765" s="3" t="s">
        <v>149</v>
      </c>
      <c r="C765" s="3" t="s">
        <v>1868</v>
      </c>
      <c r="D765" s="3"/>
    </row>
    <row r="766" spans="1:4">
      <c r="A766" s="2">
        <v>52</v>
      </c>
      <c r="B766" s="2" t="s">
        <v>149</v>
      </c>
      <c r="C766" s="2" t="s">
        <v>1869</v>
      </c>
      <c r="D766" s="2"/>
    </row>
    <row r="767" spans="1:4">
      <c r="A767" s="3">
        <v>52</v>
      </c>
      <c r="B767" s="3" t="s">
        <v>149</v>
      </c>
      <c r="C767" s="3" t="s">
        <v>1870</v>
      </c>
      <c r="D767" s="3"/>
    </row>
    <row r="768" spans="1:4">
      <c r="A768" s="2">
        <v>52</v>
      </c>
      <c r="B768" s="2" t="s">
        <v>149</v>
      </c>
      <c r="C768" s="2" t="s">
        <v>1871</v>
      </c>
      <c r="D768" s="2"/>
    </row>
    <row r="769" spans="1:4">
      <c r="A769" s="3">
        <v>52</v>
      </c>
      <c r="B769" s="3" t="s">
        <v>149</v>
      </c>
      <c r="C769" s="3" t="s">
        <v>1872</v>
      </c>
      <c r="D769" s="3"/>
    </row>
    <row r="770" spans="1:4">
      <c r="A770" s="2">
        <v>52</v>
      </c>
      <c r="B770" s="2" t="s">
        <v>149</v>
      </c>
      <c r="C770" s="2" t="s">
        <v>1873</v>
      </c>
      <c r="D770" s="2"/>
    </row>
    <row r="771" spans="1:4">
      <c r="A771" s="3">
        <v>52</v>
      </c>
      <c r="B771" s="3" t="s">
        <v>149</v>
      </c>
      <c r="C771" s="3" t="s">
        <v>1874</v>
      </c>
      <c r="D771" s="3"/>
    </row>
    <row r="772" spans="1:4">
      <c r="A772" s="2">
        <v>52</v>
      </c>
      <c r="B772" s="2" t="s">
        <v>149</v>
      </c>
      <c r="C772" s="2" t="s">
        <v>1875</v>
      </c>
      <c r="D772" s="2"/>
    </row>
    <row r="773" spans="1:4">
      <c r="A773" s="3">
        <v>52</v>
      </c>
      <c r="B773" s="3" t="s">
        <v>149</v>
      </c>
      <c r="C773" s="3" t="s">
        <v>1876</v>
      </c>
      <c r="D773" s="3"/>
    </row>
    <row r="774" spans="1:4">
      <c r="A774" s="2">
        <v>52</v>
      </c>
      <c r="B774" s="2" t="s">
        <v>149</v>
      </c>
      <c r="C774" s="2" t="s">
        <v>1877</v>
      </c>
      <c r="D774" s="2"/>
    </row>
    <row r="775" spans="1:4">
      <c r="A775" s="3">
        <v>52</v>
      </c>
      <c r="B775" s="3" t="s">
        <v>149</v>
      </c>
      <c r="C775" s="3" t="s">
        <v>1878</v>
      </c>
      <c r="D775" s="3"/>
    </row>
    <row r="776" spans="1:4">
      <c r="A776" s="2">
        <v>52</v>
      </c>
      <c r="B776" s="2" t="s">
        <v>149</v>
      </c>
      <c r="C776" s="2" t="s">
        <v>1879</v>
      </c>
      <c r="D776" s="2"/>
    </row>
    <row r="777" spans="1:4">
      <c r="A777" s="3">
        <v>52</v>
      </c>
      <c r="B777" s="3" t="s">
        <v>149</v>
      </c>
      <c r="C777" s="3" t="s">
        <v>1880</v>
      </c>
      <c r="D777" s="3"/>
    </row>
    <row r="778" spans="1:4">
      <c r="A778" s="2">
        <v>52</v>
      </c>
      <c r="B778" s="2" t="s">
        <v>149</v>
      </c>
      <c r="C778" s="2" t="s">
        <v>1881</v>
      </c>
      <c r="D778" s="2"/>
    </row>
    <row r="779" spans="1:4">
      <c r="A779" s="3">
        <v>53</v>
      </c>
      <c r="B779" s="3" t="s">
        <v>215</v>
      </c>
      <c r="C779" s="3" t="s">
        <v>1882</v>
      </c>
      <c r="D779" s="3"/>
    </row>
    <row r="780" spans="1:4">
      <c r="A780" s="2">
        <v>53</v>
      </c>
      <c r="B780" s="2" t="s">
        <v>215</v>
      </c>
      <c r="C780" s="2" t="s">
        <v>1883</v>
      </c>
      <c r="D780" s="2"/>
    </row>
    <row r="781" spans="1:4">
      <c r="A781" s="3">
        <v>53</v>
      </c>
      <c r="B781" s="3" t="s">
        <v>215</v>
      </c>
      <c r="C781" s="3" t="s">
        <v>1884</v>
      </c>
      <c r="D781" s="3"/>
    </row>
    <row r="782" spans="1:4">
      <c r="A782" s="2">
        <v>53</v>
      </c>
      <c r="B782" s="2" t="s">
        <v>215</v>
      </c>
      <c r="C782" s="2" t="s">
        <v>1885</v>
      </c>
      <c r="D782" s="2"/>
    </row>
    <row r="783" spans="1:4">
      <c r="A783" s="3">
        <v>53</v>
      </c>
      <c r="B783" s="3" t="s">
        <v>215</v>
      </c>
      <c r="C783" s="3" t="s">
        <v>1886</v>
      </c>
      <c r="D783" s="3"/>
    </row>
    <row r="784" spans="1:4">
      <c r="A784" s="2">
        <v>53</v>
      </c>
      <c r="B784" s="2" t="s">
        <v>215</v>
      </c>
      <c r="C784" s="2" t="s">
        <v>1887</v>
      </c>
      <c r="D784" s="2"/>
    </row>
    <row r="785" spans="1:4">
      <c r="A785" s="3">
        <v>53</v>
      </c>
      <c r="B785" s="3" t="s">
        <v>215</v>
      </c>
      <c r="C785" s="3" t="s">
        <v>1888</v>
      </c>
      <c r="D785" s="3"/>
    </row>
    <row r="786" spans="1:4">
      <c r="A786" s="2">
        <v>53</v>
      </c>
      <c r="B786" s="2" t="s">
        <v>215</v>
      </c>
      <c r="C786" s="2" t="s">
        <v>1889</v>
      </c>
      <c r="D786" s="2"/>
    </row>
    <row r="787" spans="1:4">
      <c r="A787" s="3">
        <v>53</v>
      </c>
      <c r="B787" s="3" t="s">
        <v>215</v>
      </c>
      <c r="C787" s="3" t="s">
        <v>1890</v>
      </c>
      <c r="D787" s="3"/>
    </row>
    <row r="788" spans="1:4">
      <c r="A788" s="2">
        <v>53</v>
      </c>
      <c r="B788" s="2" t="s">
        <v>215</v>
      </c>
      <c r="C788" s="2" t="s">
        <v>1891</v>
      </c>
      <c r="D788" s="2"/>
    </row>
    <row r="789" spans="1:4">
      <c r="A789" s="3">
        <v>53</v>
      </c>
      <c r="B789" s="3" t="s">
        <v>215</v>
      </c>
      <c r="C789" s="3" t="s">
        <v>1892</v>
      </c>
      <c r="D789" s="3"/>
    </row>
    <row r="790" spans="1:4">
      <c r="A790" s="2">
        <v>53</v>
      </c>
      <c r="B790" s="2" t="s">
        <v>215</v>
      </c>
      <c r="C790" s="2" t="s">
        <v>1893</v>
      </c>
      <c r="D790" s="2"/>
    </row>
    <row r="791" spans="1:4">
      <c r="A791" s="3">
        <v>54</v>
      </c>
      <c r="B791" s="3" t="s">
        <v>202</v>
      </c>
      <c r="C791" s="3" t="s">
        <v>1894</v>
      </c>
      <c r="D791" s="3"/>
    </row>
    <row r="792" spans="1:4">
      <c r="A792" s="2">
        <v>54</v>
      </c>
      <c r="B792" s="2" t="s">
        <v>202</v>
      </c>
      <c r="C792" s="2" t="s">
        <v>1895</v>
      </c>
      <c r="D792" s="2"/>
    </row>
    <row r="793" spans="1:4">
      <c r="A793" s="3">
        <v>55</v>
      </c>
      <c r="B793" s="3" t="s">
        <v>218</v>
      </c>
      <c r="C793" s="3" t="s">
        <v>1896</v>
      </c>
      <c r="D793" s="3"/>
    </row>
    <row r="794" spans="1:4">
      <c r="A794" s="2">
        <v>56</v>
      </c>
      <c r="B794" s="2" t="s">
        <v>12</v>
      </c>
      <c r="C794" s="2" t="s">
        <v>1897</v>
      </c>
      <c r="D794" s="2"/>
    </row>
    <row r="795" spans="1:4">
      <c r="A795" s="3">
        <v>56</v>
      </c>
      <c r="B795" s="3" t="s">
        <v>12</v>
      </c>
      <c r="C795" s="3" t="s">
        <v>1898</v>
      </c>
      <c r="D795" s="3"/>
    </row>
    <row r="796" spans="1:4">
      <c r="A796" s="2">
        <v>56</v>
      </c>
      <c r="B796" s="2" t="s">
        <v>12</v>
      </c>
      <c r="C796" s="2" t="s">
        <v>1899</v>
      </c>
      <c r="D796" s="2"/>
    </row>
    <row r="797" spans="1:4">
      <c r="A797" s="3">
        <v>56</v>
      </c>
      <c r="B797" s="3" t="s">
        <v>12</v>
      </c>
      <c r="C797" s="3" t="s">
        <v>1900</v>
      </c>
      <c r="D797" s="3"/>
    </row>
    <row r="798" spans="1:4">
      <c r="A798" s="2">
        <v>56</v>
      </c>
      <c r="B798" s="2" t="s">
        <v>12</v>
      </c>
      <c r="C798" s="2" t="s">
        <v>1901</v>
      </c>
      <c r="D798" s="2"/>
    </row>
    <row r="799" spans="1:4">
      <c r="A799" s="3">
        <v>57</v>
      </c>
      <c r="B799" s="3" t="s">
        <v>39</v>
      </c>
      <c r="C799" s="3" t="s">
        <v>1902</v>
      </c>
      <c r="D799" s="3"/>
    </row>
    <row r="800" spans="1:4">
      <c r="A800" s="2">
        <v>57</v>
      </c>
      <c r="B800" s="2" t="s">
        <v>39</v>
      </c>
      <c r="C800" s="2" t="s">
        <v>1903</v>
      </c>
      <c r="D800" s="2"/>
    </row>
    <row r="801" spans="1:4">
      <c r="A801" s="3">
        <v>57</v>
      </c>
      <c r="B801" s="3" t="s">
        <v>39</v>
      </c>
      <c r="C801" s="3" t="s">
        <v>1904</v>
      </c>
      <c r="D801" s="3"/>
    </row>
    <row r="802" spans="1:4">
      <c r="A802" s="2">
        <v>57</v>
      </c>
      <c r="B802" s="2" t="s">
        <v>39</v>
      </c>
      <c r="C802" s="2" t="s">
        <v>1905</v>
      </c>
      <c r="D802" s="2"/>
    </row>
    <row r="803" spans="1:4">
      <c r="A803" s="3">
        <v>57</v>
      </c>
      <c r="B803" s="3" t="s">
        <v>39</v>
      </c>
      <c r="C803" s="3" t="s">
        <v>1906</v>
      </c>
      <c r="D803" s="3"/>
    </row>
    <row r="804" spans="1:4">
      <c r="A804" s="2">
        <v>59</v>
      </c>
      <c r="B804" s="2" t="s">
        <v>28</v>
      </c>
      <c r="C804" s="2" t="s">
        <v>1907</v>
      </c>
      <c r="D804" s="2"/>
    </row>
    <row r="805" spans="1:4">
      <c r="A805" s="3">
        <v>59</v>
      </c>
      <c r="B805" s="3" t="s">
        <v>28</v>
      </c>
      <c r="C805" s="3" t="s">
        <v>1908</v>
      </c>
      <c r="D805" s="3"/>
    </row>
    <row r="806" spans="1:4">
      <c r="A806" s="2">
        <v>59</v>
      </c>
      <c r="B806" s="2" t="s">
        <v>28</v>
      </c>
      <c r="C806" s="2" t="s">
        <v>1909</v>
      </c>
      <c r="D806" s="2"/>
    </row>
    <row r="807" spans="1:4">
      <c r="A807" s="3">
        <v>59</v>
      </c>
      <c r="B807" s="3" t="s">
        <v>28</v>
      </c>
      <c r="C807" s="3" t="s">
        <v>1910</v>
      </c>
      <c r="D807" s="3"/>
    </row>
    <row r="808" spans="1:4">
      <c r="A808" s="2">
        <v>59</v>
      </c>
      <c r="B808" s="2" t="s">
        <v>28</v>
      </c>
      <c r="C808" s="2" t="s">
        <v>1911</v>
      </c>
      <c r="D808" s="2"/>
    </row>
    <row r="809" spans="1:4">
      <c r="A809" s="3">
        <v>59</v>
      </c>
      <c r="B809" s="3" t="s">
        <v>28</v>
      </c>
      <c r="C809" s="3" t="s">
        <v>1912</v>
      </c>
      <c r="D809" s="3"/>
    </row>
    <row r="810" spans="1:4">
      <c r="A810" s="2">
        <v>59</v>
      </c>
      <c r="B810" s="2" t="s">
        <v>28</v>
      </c>
      <c r="C810" s="2" t="s">
        <v>1913</v>
      </c>
      <c r="D810" s="2"/>
    </row>
    <row r="811" spans="1:4">
      <c r="A811" s="3">
        <v>59</v>
      </c>
      <c r="B811" s="3" t="s">
        <v>28</v>
      </c>
      <c r="C811" s="3" t="s">
        <v>1914</v>
      </c>
      <c r="D811" s="3"/>
    </row>
    <row r="812" spans="1:4">
      <c r="A812" s="2">
        <v>59</v>
      </c>
      <c r="B812" s="2" t="s">
        <v>28</v>
      </c>
      <c r="C812" s="2" t="s">
        <v>1915</v>
      </c>
      <c r="D812" s="2"/>
    </row>
    <row r="813" spans="1:4">
      <c r="A813" s="3">
        <v>59</v>
      </c>
      <c r="B813" s="3" t="s">
        <v>28</v>
      </c>
      <c r="C813" s="3" t="s">
        <v>1916</v>
      </c>
      <c r="D813" s="3"/>
    </row>
    <row r="814" spans="1:4">
      <c r="A814" s="2">
        <v>59</v>
      </c>
      <c r="B814" s="2" t="s">
        <v>28</v>
      </c>
      <c r="C814" s="2" t="s">
        <v>1917</v>
      </c>
      <c r="D814" s="2"/>
    </row>
    <row r="815" spans="1:4">
      <c r="A815" s="3">
        <v>59</v>
      </c>
      <c r="B815" s="3" t="s">
        <v>28</v>
      </c>
      <c r="C815" s="3" t="s">
        <v>1918</v>
      </c>
      <c r="D815" s="3"/>
    </row>
    <row r="816" spans="1:4">
      <c r="A816" s="2">
        <v>59</v>
      </c>
      <c r="B816" s="2" t="s">
        <v>28</v>
      </c>
      <c r="C816" s="2" t="s">
        <v>1919</v>
      </c>
      <c r="D816" s="2"/>
    </row>
    <row r="817" spans="1:4">
      <c r="A817" s="3">
        <v>59</v>
      </c>
      <c r="B817" s="3" t="s">
        <v>28</v>
      </c>
      <c r="C817" s="3" t="s">
        <v>1920</v>
      </c>
      <c r="D817" s="3"/>
    </row>
    <row r="818" spans="1:4">
      <c r="A818" s="2">
        <v>59</v>
      </c>
      <c r="B818" s="2" t="s">
        <v>28</v>
      </c>
      <c r="C818" s="2" t="s">
        <v>1921</v>
      </c>
      <c r="D818" s="2"/>
    </row>
    <row r="819" spans="1:4">
      <c r="A819" s="3">
        <v>59</v>
      </c>
      <c r="B819" s="3" t="s">
        <v>28</v>
      </c>
      <c r="C819" s="3" t="s">
        <v>1922</v>
      </c>
      <c r="D819" s="3"/>
    </row>
    <row r="820" spans="1:4">
      <c r="A820" s="2">
        <v>59</v>
      </c>
      <c r="B820" s="2" t="s">
        <v>28</v>
      </c>
      <c r="C820" s="2" t="s">
        <v>1923</v>
      </c>
      <c r="D820" s="2"/>
    </row>
    <row r="821" spans="1:4">
      <c r="A821" s="3">
        <v>59</v>
      </c>
      <c r="B821" s="3" t="s">
        <v>28</v>
      </c>
      <c r="C821" s="3" t="s">
        <v>1924</v>
      </c>
      <c r="D821" s="3"/>
    </row>
    <row r="822" spans="1:4">
      <c r="A822" s="2">
        <v>59</v>
      </c>
      <c r="B822" s="2" t="s">
        <v>28</v>
      </c>
      <c r="C822" s="2" t="s">
        <v>1925</v>
      </c>
      <c r="D822" s="2"/>
    </row>
    <row r="823" spans="1:4">
      <c r="A823" s="3">
        <v>59</v>
      </c>
      <c r="B823" s="3" t="s">
        <v>28</v>
      </c>
      <c r="C823" s="3" t="s">
        <v>1926</v>
      </c>
      <c r="D823" s="3"/>
    </row>
    <row r="824" spans="1:4">
      <c r="A824" s="2">
        <v>59</v>
      </c>
      <c r="B824" s="2" t="s">
        <v>28</v>
      </c>
      <c r="C824" s="2" t="s">
        <v>1927</v>
      </c>
      <c r="D824" s="2"/>
    </row>
    <row r="825" spans="1:4">
      <c r="A825" s="3">
        <v>59</v>
      </c>
      <c r="B825" s="3" t="s">
        <v>28</v>
      </c>
      <c r="C825" s="3" t="s">
        <v>1928</v>
      </c>
      <c r="D825" s="3"/>
    </row>
    <row r="826" spans="1:4">
      <c r="A826" s="2">
        <v>59</v>
      </c>
      <c r="B826" s="2" t="s">
        <v>28</v>
      </c>
      <c r="C826" s="2" t="s">
        <v>1929</v>
      </c>
      <c r="D826" s="2"/>
    </row>
    <row r="827" spans="1:4">
      <c r="A827" s="3">
        <v>59</v>
      </c>
      <c r="B827" s="3" t="s">
        <v>28</v>
      </c>
      <c r="C827" s="3" t="s">
        <v>1930</v>
      </c>
      <c r="D827" s="3"/>
    </row>
    <row r="828" spans="1:4">
      <c r="A828" s="2">
        <v>59</v>
      </c>
      <c r="B828" s="2" t="s">
        <v>28</v>
      </c>
      <c r="C828" s="2" t="s">
        <v>1931</v>
      </c>
      <c r="D828" s="2"/>
    </row>
    <row r="829" spans="1:4">
      <c r="A829" s="3">
        <v>59</v>
      </c>
      <c r="B829" s="3" t="s">
        <v>28</v>
      </c>
      <c r="C829" s="3" t="s">
        <v>1932</v>
      </c>
      <c r="D829" s="3"/>
    </row>
    <row r="830" spans="1:4">
      <c r="A830" s="2">
        <v>59</v>
      </c>
      <c r="B830" s="2" t="s">
        <v>28</v>
      </c>
      <c r="C830" s="2" t="s">
        <v>1933</v>
      </c>
      <c r="D830" s="2"/>
    </row>
    <row r="831" spans="1:4">
      <c r="A831" s="3">
        <v>59</v>
      </c>
      <c r="B831" s="3" t="s">
        <v>28</v>
      </c>
      <c r="C831" s="3" t="s">
        <v>1934</v>
      </c>
      <c r="D831" s="3"/>
    </row>
    <row r="832" spans="1:4">
      <c r="A832" s="2">
        <v>59</v>
      </c>
      <c r="B832" s="2" t="s">
        <v>28</v>
      </c>
      <c r="C832" s="2" t="s">
        <v>1935</v>
      </c>
      <c r="D832" s="2"/>
    </row>
    <row r="833" spans="1:4">
      <c r="A833" s="3">
        <v>59</v>
      </c>
      <c r="B833" s="3" t="s">
        <v>28</v>
      </c>
      <c r="C833" s="3" t="s">
        <v>1936</v>
      </c>
      <c r="D833" s="3"/>
    </row>
    <row r="834" spans="1:4">
      <c r="A834" s="2">
        <v>59</v>
      </c>
      <c r="B834" s="2" t="s">
        <v>28</v>
      </c>
      <c r="C834" s="2" t="s">
        <v>1937</v>
      </c>
      <c r="D834" s="2"/>
    </row>
    <row r="835" spans="1:4">
      <c r="A835" s="3">
        <v>59</v>
      </c>
      <c r="B835" s="3" t="s">
        <v>28</v>
      </c>
      <c r="C835" s="3" t="s">
        <v>1938</v>
      </c>
      <c r="D835" s="3"/>
    </row>
    <row r="836" spans="1:4">
      <c r="A836" s="2">
        <v>59</v>
      </c>
      <c r="B836" s="2" t="s">
        <v>28</v>
      </c>
      <c r="C836" s="2" t="s">
        <v>1939</v>
      </c>
      <c r="D836" s="2"/>
    </row>
    <row r="837" spans="1:4">
      <c r="A837" s="3">
        <v>59</v>
      </c>
      <c r="B837" s="3" t="s">
        <v>28</v>
      </c>
      <c r="C837" s="3" t="s">
        <v>1940</v>
      </c>
      <c r="D837" s="3"/>
    </row>
    <row r="838" spans="1:4">
      <c r="A838" s="2">
        <v>59</v>
      </c>
      <c r="B838" s="2" t="s">
        <v>28</v>
      </c>
      <c r="C838" s="2" t="s">
        <v>1941</v>
      </c>
      <c r="D838" s="2"/>
    </row>
    <row r="839" spans="1:4">
      <c r="A839" s="3">
        <v>59</v>
      </c>
      <c r="B839" s="3" t="s">
        <v>28</v>
      </c>
      <c r="C839" s="3" t="s">
        <v>1942</v>
      </c>
      <c r="D839" s="3"/>
    </row>
    <row r="840" spans="1:4">
      <c r="A840" s="2">
        <v>59</v>
      </c>
      <c r="B840" s="2" t="s">
        <v>28</v>
      </c>
      <c r="C840" s="2" t="s">
        <v>1943</v>
      </c>
      <c r="D840" s="2"/>
    </row>
    <row r="841" spans="1:4">
      <c r="A841" s="3">
        <v>59</v>
      </c>
      <c r="B841" s="3" t="s">
        <v>28</v>
      </c>
      <c r="C841" s="3" t="s">
        <v>1944</v>
      </c>
      <c r="D841" s="3"/>
    </row>
    <row r="842" spans="1:4">
      <c r="A842" s="2">
        <v>59</v>
      </c>
      <c r="B842" s="2" t="s">
        <v>28</v>
      </c>
      <c r="C842" s="2" t="s">
        <v>1945</v>
      </c>
      <c r="D842" s="2"/>
    </row>
    <row r="843" spans="1:4">
      <c r="A843" s="3">
        <v>60</v>
      </c>
      <c r="B843" s="3" t="s">
        <v>285</v>
      </c>
      <c r="C843" s="3" t="s">
        <v>1946</v>
      </c>
      <c r="D843" s="3"/>
    </row>
    <row r="844" spans="1:4">
      <c r="A844" s="2">
        <v>61</v>
      </c>
      <c r="B844" s="2" t="s">
        <v>273</v>
      </c>
      <c r="C844" s="2" t="s">
        <v>1947</v>
      </c>
      <c r="D844" s="2"/>
    </row>
    <row r="845" spans="1:4">
      <c r="A845" s="3">
        <v>61</v>
      </c>
      <c r="B845" s="3" t="s">
        <v>273</v>
      </c>
      <c r="C845" s="3" t="s">
        <v>1948</v>
      </c>
      <c r="D845" s="3"/>
    </row>
    <row r="846" spans="1:4">
      <c r="A846" s="2">
        <v>61</v>
      </c>
      <c r="B846" s="2" t="s">
        <v>273</v>
      </c>
      <c r="C846" s="2" t="s">
        <v>1949</v>
      </c>
      <c r="D846" s="2"/>
    </row>
    <row r="847" spans="1:4">
      <c r="A847" s="3">
        <v>61</v>
      </c>
      <c r="B847" s="3" t="s">
        <v>273</v>
      </c>
      <c r="C847" s="3" t="s">
        <v>1950</v>
      </c>
      <c r="D847" s="3"/>
    </row>
    <row r="848" spans="1:4">
      <c r="A848" s="2">
        <v>61</v>
      </c>
      <c r="B848" s="2" t="s">
        <v>273</v>
      </c>
      <c r="C848" s="2" t="s">
        <v>1951</v>
      </c>
      <c r="D848" s="2"/>
    </row>
    <row r="849" spans="1:4">
      <c r="A849" s="3">
        <v>61</v>
      </c>
      <c r="B849" s="3" t="s">
        <v>273</v>
      </c>
      <c r="C849" s="3" t="s">
        <v>1952</v>
      </c>
      <c r="D849" s="3"/>
    </row>
    <row r="850" spans="1:4">
      <c r="A850" s="2">
        <v>61</v>
      </c>
      <c r="B850" s="2" t="s">
        <v>273</v>
      </c>
      <c r="C850" s="2" t="s">
        <v>1953</v>
      </c>
      <c r="D850" s="2"/>
    </row>
    <row r="851" spans="1:4">
      <c r="A851" s="3">
        <v>61</v>
      </c>
      <c r="B851" s="3" t="s">
        <v>273</v>
      </c>
      <c r="C851" s="3" t="s">
        <v>1954</v>
      </c>
      <c r="D851" s="3"/>
    </row>
    <row r="852" spans="1:4">
      <c r="A852" s="2">
        <v>61</v>
      </c>
      <c r="B852" s="2" t="s">
        <v>273</v>
      </c>
      <c r="C852" s="2" t="s">
        <v>1955</v>
      </c>
      <c r="D852" s="2"/>
    </row>
    <row r="853" spans="1:4">
      <c r="A853" s="3">
        <v>61</v>
      </c>
      <c r="B853" s="3" t="s">
        <v>273</v>
      </c>
      <c r="C853" s="3" t="s">
        <v>1956</v>
      </c>
      <c r="D853" s="3"/>
    </row>
    <row r="854" spans="1:4">
      <c r="A854" s="2">
        <v>61</v>
      </c>
      <c r="B854" s="2" t="s">
        <v>273</v>
      </c>
      <c r="C854" s="2" t="s">
        <v>1957</v>
      </c>
      <c r="D854" s="2"/>
    </row>
    <row r="855" spans="1:4">
      <c r="A855" s="3">
        <v>61</v>
      </c>
      <c r="B855" s="3" t="s">
        <v>273</v>
      </c>
      <c r="C855" s="3" t="s">
        <v>1958</v>
      </c>
      <c r="D855" s="3"/>
    </row>
    <row r="856" spans="1:4">
      <c r="A856" s="2">
        <v>61</v>
      </c>
      <c r="B856" s="2" t="s">
        <v>273</v>
      </c>
      <c r="C856" s="2" t="s">
        <v>1959</v>
      </c>
      <c r="D856" s="2"/>
    </row>
    <row r="857" spans="1:4">
      <c r="A857" s="3">
        <v>61</v>
      </c>
      <c r="B857" s="3" t="s">
        <v>273</v>
      </c>
      <c r="C857" s="3" t="s">
        <v>1960</v>
      </c>
      <c r="D857" s="3"/>
    </row>
    <row r="858" spans="1:4">
      <c r="A858" s="2">
        <v>61</v>
      </c>
      <c r="B858" s="2" t="s">
        <v>273</v>
      </c>
      <c r="C858" s="2" t="s">
        <v>1961</v>
      </c>
      <c r="D858" s="2"/>
    </row>
    <row r="859" spans="1:4">
      <c r="A859" s="3">
        <v>61</v>
      </c>
      <c r="B859" s="3" t="s">
        <v>273</v>
      </c>
      <c r="C859" s="3" t="s">
        <v>1962</v>
      </c>
      <c r="D859" s="3"/>
    </row>
    <row r="860" spans="1:4">
      <c r="A860" s="2">
        <v>61</v>
      </c>
      <c r="B860" s="2" t="s">
        <v>273</v>
      </c>
      <c r="C860" s="2" t="s">
        <v>1963</v>
      </c>
      <c r="D860" s="2"/>
    </row>
    <row r="861" spans="1:4">
      <c r="A861" s="3">
        <v>61</v>
      </c>
      <c r="B861" s="3" t="s">
        <v>273</v>
      </c>
      <c r="C861" s="3" t="s">
        <v>1964</v>
      </c>
      <c r="D861" s="3"/>
    </row>
    <row r="862" spans="1:4">
      <c r="A862" s="2">
        <v>61</v>
      </c>
      <c r="B862" s="2" t="s">
        <v>273</v>
      </c>
      <c r="C862" s="2" t="s">
        <v>1965</v>
      </c>
      <c r="D862" s="2"/>
    </row>
    <row r="863" spans="1:4">
      <c r="A863" s="3">
        <v>61</v>
      </c>
      <c r="B863" s="3" t="s">
        <v>273</v>
      </c>
      <c r="C863" s="3" t="s">
        <v>1966</v>
      </c>
      <c r="D863" s="3"/>
    </row>
    <row r="864" spans="1:4">
      <c r="A864" s="2">
        <v>61</v>
      </c>
      <c r="B864" s="2" t="s">
        <v>273</v>
      </c>
      <c r="C864" s="2" t="s">
        <v>1967</v>
      </c>
      <c r="D864" s="2"/>
    </row>
    <row r="865" spans="1:4">
      <c r="A865" s="3">
        <v>61</v>
      </c>
      <c r="B865" s="3" t="s">
        <v>273</v>
      </c>
      <c r="C865" s="3" t="s">
        <v>1968</v>
      </c>
      <c r="D865" s="3"/>
    </row>
    <row r="866" spans="1:4">
      <c r="A866" s="2">
        <v>61</v>
      </c>
      <c r="B866" s="2" t="s">
        <v>273</v>
      </c>
      <c r="C866" s="2" t="s">
        <v>1969</v>
      </c>
      <c r="D866" s="2"/>
    </row>
    <row r="867" spans="1:4">
      <c r="A867" s="3">
        <v>61</v>
      </c>
      <c r="B867" s="3" t="s">
        <v>273</v>
      </c>
      <c r="C867" s="3" t="s">
        <v>1970</v>
      </c>
      <c r="D867" s="3"/>
    </row>
    <row r="868" spans="1:4">
      <c r="A868" s="2">
        <v>61</v>
      </c>
      <c r="B868" s="2" t="s">
        <v>273</v>
      </c>
      <c r="C868" s="2" t="s">
        <v>1971</v>
      </c>
      <c r="D868" s="2"/>
    </row>
    <row r="869" spans="1:4">
      <c r="A869" s="3">
        <v>61</v>
      </c>
      <c r="B869" s="3" t="s">
        <v>273</v>
      </c>
      <c r="C869" s="3" t="s">
        <v>1972</v>
      </c>
      <c r="D869" s="3"/>
    </row>
    <row r="870" spans="1:4">
      <c r="A870" s="2">
        <v>61</v>
      </c>
      <c r="B870" s="2" t="s">
        <v>273</v>
      </c>
      <c r="C870" s="2" t="s">
        <v>1973</v>
      </c>
      <c r="D870" s="2"/>
    </row>
    <row r="871" spans="1:4">
      <c r="A871" s="3">
        <v>61</v>
      </c>
      <c r="B871" s="3" t="s">
        <v>273</v>
      </c>
      <c r="C871" s="3" t="s">
        <v>1974</v>
      </c>
      <c r="D871" s="3"/>
    </row>
    <row r="872" spans="1:4">
      <c r="A872" s="2">
        <v>61</v>
      </c>
      <c r="B872" s="2" t="s">
        <v>273</v>
      </c>
      <c r="C872" s="2" t="s">
        <v>1975</v>
      </c>
      <c r="D872" s="2"/>
    </row>
    <row r="873" spans="1:4">
      <c r="A873" s="3">
        <v>61</v>
      </c>
      <c r="B873" s="3" t="s">
        <v>273</v>
      </c>
      <c r="C873" s="3" t="s">
        <v>1976</v>
      </c>
      <c r="D873" s="3"/>
    </row>
    <row r="874" spans="1:4">
      <c r="A874" s="2">
        <v>61</v>
      </c>
      <c r="B874" s="2" t="s">
        <v>273</v>
      </c>
      <c r="C874" s="2" t="s">
        <v>1977</v>
      </c>
      <c r="D874" s="2"/>
    </row>
    <row r="875" spans="1:4">
      <c r="A875" s="3">
        <v>61</v>
      </c>
      <c r="B875" s="3" t="s">
        <v>273</v>
      </c>
      <c r="C875" s="3" t="s">
        <v>1978</v>
      </c>
      <c r="D875" s="3"/>
    </row>
    <row r="876" spans="1:4">
      <c r="A876" s="2">
        <v>61</v>
      </c>
      <c r="B876" s="2" t="s">
        <v>273</v>
      </c>
      <c r="C876" s="2" t="s">
        <v>1979</v>
      </c>
      <c r="D876" s="2"/>
    </row>
    <row r="877" spans="1:4">
      <c r="A877" s="3">
        <v>61</v>
      </c>
      <c r="B877" s="3" t="s">
        <v>273</v>
      </c>
      <c r="C877" s="3" t="s">
        <v>1980</v>
      </c>
      <c r="D877" s="3"/>
    </row>
    <row r="878" spans="1:4">
      <c r="A878" s="2">
        <v>61</v>
      </c>
      <c r="B878" s="2" t="s">
        <v>273</v>
      </c>
      <c r="C878" s="2" t="s">
        <v>1981</v>
      </c>
      <c r="D878" s="2"/>
    </row>
    <row r="879" spans="1:4">
      <c r="A879" s="3">
        <v>61</v>
      </c>
      <c r="B879" s="3" t="s">
        <v>273</v>
      </c>
      <c r="C879" s="3" t="s">
        <v>1982</v>
      </c>
      <c r="D879" s="3"/>
    </row>
    <row r="880" spans="1:4">
      <c r="A880" s="2">
        <v>61</v>
      </c>
      <c r="B880" s="2" t="s">
        <v>273</v>
      </c>
      <c r="C880" s="2" t="s">
        <v>1983</v>
      </c>
      <c r="D880" s="2"/>
    </row>
    <row r="881" spans="1:4">
      <c r="A881" s="3">
        <v>61</v>
      </c>
      <c r="B881" s="3" t="s">
        <v>273</v>
      </c>
      <c r="C881" s="3" t="s">
        <v>1984</v>
      </c>
      <c r="D881" s="3"/>
    </row>
    <row r="882" spans="1:4">
      <c r="A882" s="2">
        <v>61</v>
      </c>
      <c r="B882" s="2" t="s">
        <v>273</v>
      </c>
      <c r="C882" s="2" t="s">
        <v>1985</v>
      </c>
      <c r="D882" s="2"/>
    </row>
    <row r="883" spans="1:4">
      <c r="A883" s="3">
        <v>61</v>
      </c>
      <c r="B883" s="3" t="s">
        <v>273</v>
      </c>
      <c r="C883" s="3" t="s">
        <v>1986</v>
      </c>
      <c r="D883" s="3"/>
    </row>
    <row r="884" spans="1:4">
      <c r="A884" s="2">
        <v>61</v>
      </c>
      <c r="B884" s="2" t="s">
        <v>273</v>
      </c>
      <c r="C884" s="2" t="s">
        <v>1987</v>
      </c>
      <c r="D884" s="2"/>
    </row>
    <row r="885" spans="1:4">
      <c r="A885" s="3">
        <v>61</v>
      </c>
      <c r="B885" s="3" t="s">
        <v>273</v>
      </c>
      <c r="C885" s="3" t="s">
        <v>1988</v>
      </c>
      <c r="D885" s="3"/>
    </row>
    <row r="886" spans="1:4">
      <c r="A886" s="2">
        <v>61</v>
      </c>
      <c r="B886" s="2" t="s">
        <v>273</v>
      </c>
      <c r="C886" s="2" t="s">
        <v>1989</v>
      </c>
      <c r="D886" s="2"/>
    </row>
    <row r="887" spans="1:4">
      <c r="A887" s="3">
        <v>61</v>
      </c>
      <c r="B887" s="3" t="s">
        <v>273</v>
      </c>
      <c r="C887" s="3" t="s">
        <v>1990</v>
      </c>
      <c r="D887" s="3"/>
    </row>
    <row r="888" spans="1:4">
      <c r="A888" s="2">
        <v>61</v>
      </c>
      <c r="B888" s="2" t="s">
        <v>273</v>
      </c>
      <c r="C888" s="2" t="s">
        <v>1991</v>
      </c>
      <c r="D888" s="2"/>
    </row>
    <row r="889" spans="1:4">
      <c r="A889" s="3">
        <v>61</v>
      </c>
      <c r="B889" s="3" t="s">
        <v>273</v>
      </c>
      <c r="C889" s="3" t="s">
        <v>1992</v>
      </c>
      <c r="D889" s="3"/>
    </row>
    <row r="890" spans="1:4">
      <c r="A890" s="2">
        <v>61</v>
      </c>
      <c r="B890" s="2" t="s">
        <v>273</v>
      </c>
      <c r="C890" s="2" t="s">
        <v>1993</v>
      </c>
      <c r="D890" s="2"/>
    </row>
    <row r="891" spans="1:4">
      <c r="A891" s="3">
        <v>61</v>
      </c>
      <c r="B891" s="3" t="s">
        <v>273</v>
      </c>
      <c r="C891" s="3" t="s">
        <v>1994</v>
      </c>
      <c r="D891" s="3"/>
    </row>
    <row r="892" spans="1:4">
      <c r="A892" s="2">
        <v>61</v>
      </c>
      <c r="B892" s="2" t="s">
        <v>273</v>
      </c>
      <c r="C892" s="2" t="s">
        <v>1995</v>
      </c>
      <c r="D892" s="2"/>
    </row>
    <row r="893" spans="1:4">
      <c r="A893" s="3">
        <v>61</v>
      </c>
      <c r="B893" s="3" t="s">
        <v>273</v>
      </c>
      <c r="C893" s="3" t="s">
        <v>1996</v>
      </c>
      <c r="D893" s="3"/>
    </row>
    <row r="894" spans="1:4">
      <c r="A894" s="2">
        <v>62</v>
      </c>
      <c r="B894" s="2" t="s">
        <v>280</v>
      </c>
      <c r="C894" s="2" t="s">
        <v>1997</v>
      </c>
      <c r="D894" s="2"/>
    </row>
    <row r="895" spans="1:4">
      <c r="A895" s="3">
        <v>62</v>
      </c>
      <c r="B895" s="3" t="s">
        <v>280</v>
      </c>
      <c r="C895" s="3" t="s">
        <v>1998</v>
      </c>
      <c r="D895" s="3"/>
    </row>
    <row r="896" spans="1:4">
      <c r="A896" s="2">
        <v>62</v>
      </c>
      <c r="B896" s="2" t="s">
        <v>280</v>
      </c>
      <c r="C896" s="2" t="s">
        <v>1999</v>
      </c>
      <c r="D896" s="2"/>
    </row>
    <row r="897" spans="1:4">
      <c r="A897" s="3">
        <v>62</v>
      </c>
      <c r="B897" s="3" t="s">
        <v>280</v>
      </c>
      <c r="C897" s="3" t="s">
        <v>2000</v>
      </c>
      <c r="D897" s="3"/>
    </row>
    <row r="898" spans="1:4">
      <c r="A898" s="2">
        <v>62</v>
      </c>
      <c r="B898" s="2" t="s">
        <v>280</v>
      </c>
      <c r="C898" s="2" t="s">
        <v>2001</v>
      </c>
      <c r="D898" s="2"/>
    </row>
    <row r="899" spans="1:4">
      <c r="A899" s="3">
        <v>62</v>
      </c>
      <c r="B899" s="3" t="s">
        <v>280</v>
      </c>
      <c r="C899" s="3" t="s">
        <v>2002</v>
      </c>
      <c r="D899" s="3"/>
    </row>
    <row r="900" spans="1:4">
      <c r="A900" s="2">
        <v>62</v>
      </c>
      <c r="B900" s="2" t="s">
        <v>280</v>
      </c>
      <c r="C900" s="2" t="s">
        <v>2003</v>
      </c>
      <c r="D900" s="2"/>
    </row>
    <row r="901" spans="1:4">
      <c r="A901" s="3">
        <v>62</v>
      </c>
      <c r="B901" s="3" t="s">
        <v>280</v>
      </c>
      <c r="C901" s="3" t="s">
        <v>2004</v>
      </c>
      <c r="D901" s="3"/>
    </row>
    <row r="902" spans="1:4">
      <c r="A902" s="2">
        <v>62</v>
      </c>
      <c r="B902" s="2" t="s">
        <v>280</v>
      </c>
      <c r="C902" s="2" t="s">
        <v>2005</v>
      </c>
      <c r="D902" s="2"/>
    </row>
    <row r="903" spans="1:4">
      <c r="A903" s="3">
        <v>63</v>
      </c>
      <c r="B903" s="3" t="s">
        <v>265</v>
      </c>
      <c r="C903" s="3" t="s">
        <v>2006</v>
      </c>
      <c r="D903" s="3"/>
    </row>
    <row r="904" spans="1:4">
      <c r="A904" s="2">
        <v>63</v>
      </c>
      <c r="B904" s="2" t="s">
        <v>265</v>
      </c>
      <c r="C904" s="2">
        <f> (ωcτ)J×B, (2)</f>
        <v>0</v>
      </c>
      <c r="D904" s="2"/>
    </row>
    <row r="905" spans="1:4">
      <c r="A905" s="3">
        <v>63</v>
      </c>
      <c r="B905" s="3" t="s">
        <v>265</v>
      </c>
      <c r="C905" s="3">
        <f>−∇ · (E×B)−Cbbρ</f>
        <v>0</v>
      </c>
      <c r="D905" s="3"/>
    </row>
    <row r="906" spans="1:4">
      <c r="A906" s="2">
        <v>63</v>
      </c>
      <c r="B906" s="2" t="s">
        <v>265</v>
      </c>
      <c r="C906" s="2" t="s">
        <v>2007</v>
      </c>
      <c r="D906" s="2"/>
    </row>
    <row r="907" spans="1:4">
      <c r="A907" s="3">
        <v>63</v>
      </c>
      <c r="B907" s="3" t="s">
        <v>265</v>
      </c>
      <c r="C907" s="3" t="s">
        <v>2008</v>
      </c>
      <c r="D907" s="3"/>
    </row>
    <row r="908" spans="1:4">
      <c r="A908" s="2">
        <v>63</v>
      </c>
      <c r="B908" s="2" t="s">
        <v>265</v>
      </c>
      <c r="C908" s="2" t="s">
        <v>2009</v>
      </c>
      <c r="D908" s="2"/>
    </row>
    <row r="909" spans="1:4">
      <c r="A909" s="3">
        <v>63</v>
      </c>
      <c r="B909" s="3" t="s">
        <v>265</v>
      </c>
      <c r="C909" s="3" t="s">
        <v>2010</v>
      </c>
      <c r="D909" s="3"/>
    </row>
    <row r="910" spans="1:4">
      <c r="A910" s="2">
        <v>63</v>
      </c>
      <c r="B910" s="2" t="s">
        <v>265</v>
      </c>
      <c r="C910" s="2" t="s">
        <v>2011</v>
      </c>
      <c r="D910" s="2"/>
    </row>
    <row r="911" spans="1:4">
      <c r="A911" s="3">
        <v>63</v>
      </c>
      <c r="B911" s="3" t="s">
        <v>265</v>
      </c>
      <c r="C911" s="3" t="s">
        <v>2012</v>
      </c>
      <c r="D911" s="3"/>
    </row>
    <row r="912" spans="1:4">
      <c r="A912" s="2">
        <v>63</v>
      </c>
      <c r="B912" s="2" t="s">
        <v>265</v>
      </c>
      <c r="C912" s="2" t="s">
        <v>2013</v>
      </c>
      <c r="D912" s="2"/>
    </row>
    <row r="913" spans="1:4">
      <c r="A913" s="3">
        <v>63</v>
      </c>
      <c r="B913" s="3" t="s">
        <v>265</v>
      </c>
      <c r="C913" s="3" t="s">
        <v>2014</v>
      </c>
      <c r="D913" s="3"/>
    </row>
    <row r="914" spans="1:4">
      <c r="A914" s="2">
        <v>63</v>
      </c>
      <c r="B914" s="2" t="s">
        <v>265</v>
      </c>
      <c r="C914" s="2" t="s">
        <v>2015</v>
      </c>
      <c r="D914" s="2"/>
    </row>
    <row r="915" spans="1:4">
      <c r="A915" s="3">
        <v>63</v>
      </c>
      <c r="B915" s="3" t="s">
        <v>265</v>
      </c>
      <c r="C915" s="3" t="s">
        <v>2016</v>
      </c>
      <c r="D915" s="3"/>
    </row>
    <row r="916" spans="1:4">
      <c r="A916" s="2">
        <v>63</v>
      </c>
      <c r="B916" s="2" t="s">
        <v>265</v>
      </c>
      <c r="C916" s="2" t="s">
        <v>2017</v>
      </c>
      <c r="D916" s="2"/>
    </row>
    <row r="917" spans="1:4">
      <c r="A917" s="3">
        <v>63</v>
      </c>
      <c r="B917" s="3" t="s">
        <v>265</v>
      </c>
      <c r="C917" s="3" t="s">
        <v>2018</v>
      </c>
      <c r="D917" s="3"/>
    </row>
    <row r="918" spans="1:4">
      <c r="A918" s="2">
        <v>63</v>
      </c>
      <c r="B918" s="2" t="s">
        <v>265</v>
      </c>
      <c r="C918" s="2" t="s">
        <v>2019</v>
      </c>
      <c r="D918" s="2"/>
    </row>
    <row r="919" spans="1:4">
      <c r="A919" s="3">
        <v>63</v>
      </c>
      <c r="B919" s="3" t="s">
        <v>265</v>
      </c>
      <c r="C919" s="3" t="s">
        <v>2020</v>
      </c>
      <c r="D919" s="3"/>
    </row>
    <row r="920" spans="1:4">
      <c r="A920" s="2">
        <v>63</v>
      </c>
      <c r="B920" s="2" t="s">
        <v>265</v>
      </c>
      <c r="C920" s="2" t="s">
        <v>2021</v>
      </c>
      <c r="D920" s="2"/>
    </row>
    <row r="921" spans="1:4">
      <c r="A921" s="3">
        <v>63</v>
      </c>
      <c r="B921" s="3" t="s">
        <v>265</v>
      </c>
      <c r="C921" s="3" t="s">
        <v>2022</v>
      </c>
      <c r="D921" s="3"/>
    </row>
    <row r="922" spans="1:4">
      <c r="A922" s="2">
        <v>63</v>
      </c>
      <c r="B922" s="2" t="s">
        <v>265</v>
      </c>
      <c r="C922" s="2" t="s">
        <v>2023</v>
      </c>
      <c r="D922" s="2"/>
    </row>
    <row r="923" spans="1:4">
      <c r="A923" s="3">
        <v>63</v>
      </c>
      <c r="B923" s="3" t="s">
        <v>265</v>
      </c>
      <c r="C923" s="3" t="s">
        <v>2024</v>
      </c>
      <c r="D923" s="3"/>
    </row>
    <row r="924" spans="1:4">
      <c r="A924" s="2">
        <v>63</v>
      </c>
      <c r="B924" s="2" t="s">
        <v>265</v>
      </c>
      <c r="C924" s="2" t="s">
        <v>2025</v>
      </c>
      <c r="D924" s="2"/>
    </row>
    <row r="925" spans="1:4">
      <c r="A925" s="3">
        <v>63</v>
      </c>
      <c r="B925" s="3" t="s">
        <v>265</v>
      </c>
      <c r="C925" s="3" t="s">
        <v>2026</v>
      </c>
      <c r="D925" s="3"/>
    </row>
    <row r="926" spans="1:4">
      <c r="A926" s="2">
        <v>63</v>
      </c>
      <c r="B926" s="2" t="s">
        <v>265</v>
      </c>
      <c r="C926" s="2" t="s">
        <v>2027</v>
      </c>
      <c r="D926" s="2"/>
    </row>
    <row r="927" spans="1:4">
      <c r="A927" s="3">
        <v>63</v>
      </c>
      <c r="B927" s="3" t="s">
        <v>265</v>
      </c>
      <c r="C927" s="3" t="s">
        <v>2028</v>
      </c>
      <c r="D927" s="3"/>
    </row>
    <row r="928" spans="1:4">
      <c r="A928" s="2">
        <v>63</v>
      </c>
      <c r="B928" s="2" t="s">
        <v>265</v>
      </c>
      <c r="C928" s="2" t="s">
        <v>2029</v>
      </c>
      <c r="D928" s="2"/>
    </row>
    <row r="929" spans="1:4">
      <c r="A929" s="3">
        <v>63</v>
      </c>
      <c r="B929" s="3" t="s">
        <v>265</v>
      </c>
      <c r="C929" s="3" t="s">
        <v>2030</v>
      </c>
      <c r="D929" s="3"/>
    </row>
    <row r="930" spans="1:4">
      <c r="A930" s="2">
        <v>63</v>
      </c>
      <c r="B930" s="2" t="s">
        <v>265</v>
      </c>
      <c r="C930" s="2" t="s">
        <v>2031</v>
      </c>
      <c r="D930" s="2"/>
    </row>
    <row r="931" spans="1:4">
      <c r="A931" s="3">
        <v>63</v>
      </c>
      <c r="B931" s="3" t="s">
        <v>265</v>
      </c>
      <c r="C931" s="3" t="s">
        <v>2032</v>
      </c>
      <c r="D931" s="3"/>
    </row>
    <row r="932" spans="1:4">
      <c r="A932" s="2">
        <v>63</v>
      </c>
      <c r="B932" s="2" t="s">
        <v>265</v>
      </c>
      <c r="C932" s="2" t="s">
        <v>2033</v>
      </c>
      <c r="D932" s="2"/>
    </row>
    <row r="933" spans="1:4">
      <c r="A933" s="3">
        <v>63</v>
      </c>
      <c r="B933" s="3" t="s">
        <v>265</v>
      </c>
      <c r="C933" s="3" t="s">
        <v>2034</v>
      </c>
      <c r="D933" s="3"/>
    </row>
    <row r="934" spans="1:4">
      <c r="A934" s="2">
        <v>63</v>
      </c>
      <c r="B934" s="2" t="s">
        <v>265</v>
      </c>
      <c r="C934" s="2" t="s">
        <v>2035</v>
      </c>
      <c r="D934" s="2"/>
    </row>
    <row r="935" spans="1:4">
      <c r="A935" s="3">
        <v>63</v>
      </c>
      <c r="B935" s="3" t="s">
        <v>265</v>
      </c>
      <c r="C935" s="3" t="s">
        <v>2036</v>
      </c>
      <c r="D935" s="3"/>
    </row>
    <row r="936" spans="1:4">
      <c r="A936" s="2">
        <v>63</v>
      </c>
      <c r="B936" s="2" t="s">
        <v>265</v>
      </c>
      <c r="C936" s="2" t="s">
        <v>2037</v>
      </c>
      <c r="D936" s="2"/>
    </row>
    <row r="937" spans="1:4">
      <c r="A937" s="3">
        <v>63</v>
      </c>
      <c r="B937" s="3" t="s">
        <v>265</v>
      </c>
      <c r="C937" s="3" t="s">
        <v>2038</v>
      </c>
      <c r="D937" s="3"/>
    </row>
    <row r="938" spans="1:4">
      <c r="A938" s="2">
        <v>64</v>
      </c>
      <c r="B938" s="2" t="s">
        <v>283</v>
      </c>
      <c r="C938" s="2" t="s">
        <v>2039</v>
      </c>
      <c r="D938" s="2"/>
    </row>
    <row r="939" spans="1:4">
      <c r="A939" s="3">
        <v>64</v>
      </c>
      <c r="B939" s="3" t="s">
        <v>283</v>
      </c>
      <c r="C939" s="3" t="s">
        <v>2040</v>
      </c>
      <c r="D939" s="3"/>
    </row>
    <row r="940" spans="1:4">
      <c r="A940" s="2">
        <v>64</v>
      </c>
      <c r="B940" s="2" t="s">
        <v>283</v>
      </c>
      <c r="C940" s="2" t="s">
        <v>2041</v>
      </c>
      <c r="D940" s="2"/>
    </row>
    <row r="941" spans="1:4">
      <c r="A941" s="3">
        <v>64</v>
      </c>
      <c r="B941" s="3" t="s">
        <v>283</v>
      </c>
      <c r="C941" s="3" t="s">
        <v>2042</v>
      </c>
      <c r="D941" s="3"/>
    </row>
    <row r="942" spans="1:4">
      <c r="A942" s="2">
        <v>64</v>
      </c>
      <c r="B942" s="2" t="s">
        <v>283</v>
      </c>
      <c r="C942" s="2" t="s">
        <v>2043</v>
      </c>
      <c r="D942" s="2"/>
    </row>
    <row r="943" spans="1:4">
      <c r="A943" s="3">
        <v>64</v>
      </c>
      <c r="B943" s="3" t="s">
        <v>283</v>
      </c>
      <c r="C943" s="3" t="s">
        <v>2044</v>
      </c>
      <c r="D943" s="3"/>
    </row>
    <row r="944" spans="1:4">
      <c r="A944" s="2">
        <v>64</v>
      </c>
      <c r="B944" s="2" t="s">
        <v>283</v>
      </c>
      <c r="C944" s="2" t="s">
        <v>2045</v>
      </c>
      <c r="D944" s="2"/>
    </row>
    <row r="945" spans="1:4">
      <c r="A945" s="3">
        <v>64</v>
      </c>
      <c r="B945" s="3" t="s">
        <v>283</v>
      </c>
      <c r="C945" s="3" t="s">
        <v>2046</v>
      </c>
      <c r="D945" s="3"/>
    </row>
    <row r="946" spans="1:4">
      <c r="A946" s="2">
        <v>64</v>
      </c>
      <c r="B946" s="2" t="s">
        <v>283</v>
      </c>
      <c r="C946" s="2" t="s">
        <v>2047</v>
      </c>
      <c r="D946" s="2"/>
    </row>
    <row r="947" spans="1:4">
      <c r="A947" s="3">
        <v>64</v>
      </c>
      <c r="B947" s="3" t="s">
        <v>283</v>
      </c>
      <c r="C947" s="3" t="s">
        <v>2048</v>
      </c>
      <c r="D947" s="3"/>
    </row>
    <row r="948" spans="1:4">
      <c r="A948" s="2">
        <v>64</v>
      </c>
      <c r="B948" s="2" t="s">
        <v>283</v>
      </c>
      <c r="C948" s="2" t="s">
        <v>2049</v>
      </c>
      <c r="D948" s="2"/>
    </row>
    <row r="949" spans="1:4">
      <c r="A949" s="3">
        <v>64</v>
      </c>
      <c r="B949" s="3" t="s">
        <v>283</v>
      </c>
      <c r="C949" s="3" t="s">
        <v>2050</v>
      </c>
      <c r="D949" s="3"/>
    </row>
    <row r="950" spans="1:4">
      <c r="A950" s="2">
        <v>64</v>
      </c>
      <c r="B950" s="2" t="s">
        <v>283</v>
      </c>
      <c r="C950" s="2" t="s">
        <v>2051</v>
      </c>
      <c r="D950" s="2"/>
    </row>
    <row r="951" spans="1:4">
      <c r="A951" s="3">
        <v>64</v>
      </c>
      <c r="B951" s="3" t="s">
        <v>283</v>
      </c>
      <c r="C951" s="3" t="s">
        <v>2052</v>
      </c>
      <c r="D951" s="3"/>
    </row>
    <row r="952" spans="1:4">
      <c r="A952" s="2">
        <v>64</v>
      </c>
      <c r="B952" s="2" t="s">
        <v>283</v>
      </c>
      <c r="C952" s="2" t="s">
        <v>2053</v>
      </c>
      <c r="D952" s="2"/>
    </row>
    <row r="953" spans="1:4">
      <c r="A953" s="3">
        <v>64</v>
      </c>
      <c r="B953" s="3" t="s">
        <v>283</v>
      </c>
      <c r="C953" s="3" t="s">
        <v>2054</v>
      </c>
      <c r="D953" s="3"/>
    </row>
    <row r="954" spans="1:4">
      <c r="A954" s="2">
        <v>64</v>
      </c>
      <c r="B954" s="2" t="s">
        <v>283</v>
      </c>
      <c r="C954" s="2" t="s">
        <v>2055</v>
      </c>
      <c r="D954" s="2"/>
    </row>
    <row r="955" spans="1:4">
      <c r="A955" s="3">
        <v>64</v>
      </c>
      <c r="B955" s="3" t="s">
        <v>283</v>
      </c>
      <c r="C955" s="3" t="s">
        <v>2056</v>
      </c>
      <c r="D955" s="3"/>
    </row>
    <row r="956" spans="1:4">
      <c r="A956" s="2">
        <v>64</v>
      </c>
      <c r="B956" s="2" t="s">
        <v>283</v>
      </c>
      <c r="C956" s="2" t="s">
        <v>2057</v>
      </c>
      <c r="D956" s="2"/>
    </row>
    <row r="957" spans="1:4">
      <c r="A957" s="3">
        <v>64</v>
      </c>
      <c r="B957" s="3" t="s">
        <v>283</v>
      </c>
      <c r="C957" s="3" t="s">
        <v>2058</v>
      </c>
      <c r="D957" s="3"/>
    </row>
    <row r="958" spans="1:4">
      <c r="A958" s="2">
        <v>64</v>
      </c>
      <c r="B958" s="2" t="s">
        <v>283</v>
      </c>
      <c r="C958" s="2" t="s">
        <v>2059</v>
      </c>
      <c r="D958" s="2"/>
    </row>
    <row r="959" spans="1:4">
      <c r="A959" s="3">
        <v>64</v>
      </c>
      <c r="B959" s="3" t="s">
        <v>283</v>
      </c>
      <c r="C959" s="3" t="s">
        <v>2060</v>
      </c>
      <c r="D959" s="3"/>
    </row>
    <row r="960" spans="1:4">
      <c r="A960" s="2">
        <v>64</v>
      </c>
      <c r="B960" s="2" t="s">
        <v>283</v>
      </c>
      <c r="C960" s="2" t="s">
        <v>2061</v>
      </c>
      <c r="D960" s="2"/>
    </row>
    <row r="961" spans="1:4">
      <c r="A961" s="3">
        <v>64</v>
      </c>
      <c r="B961" s="3" t="s">
        <v>283</v>
      </c>
      <c r="C961" s="3" t="s">
        <v>2062</v>
      </c>
      <c r="D961" s="3"/>
    </row>
    <row r="962" spans="1:4">
      <c r="A962" s="2">
        <v>64</v>
      </c>
      <c r="B962" s="2" t="s">
        <v>283</v>
      </c>
      <c r="C962" s="2" t="s">
        <v>2063</v>
      </c>
      <c r="D962" s="2"/>
    </row>
    <row r="963" spans="1:4">
      <c r="A963" s="3">
        <v>64</v>
      </c>
      <c r="B963" s="3" t="s">
        <v>283</v>
      </c>
      <c r="C963" s="3" t="s">
        <v>2064</v>
      </c>
      <c r="D963" s="3"/>
    </row>
    <row r="964" spans="1:4">
      <c r="A964" s="2">
        <v>64</v>
      </c>
      <c r="B964" s="2" t="s">
        <v>283</v>
      </c>
      <c r="C964" s="2" t="s">
        <v>2065</v>
      </c>
      <c r="D964" s="2"/>
    </row>
    <row r="965" spans="1:4">
      <c r="A965" s="3">
        <v>64</v>
      </c>
      <c r="B965" s="3" t="s">
        <v>283</v>
      </c>
      <c r="C965" s="3" t="s">
        <v>2066</v>
      </c>
      <c r="D965" s="3"/>
    </row>
    <row r="966" spans="1:4">
      <c r="A966" s="2">
        <v>64</v>
      </c>
      <c r="B966" s="2" t="s">
        <v>283</v>
      </c>
      <c r="C966" s="2" t="s">
        <v>2067</v>
      </c>
      <c r="D966" s="2"/>
    </row>
    <row r="967" spans="1:4">
      <c r="A967" s="3">
        <v>64</v>
      </c>
      <c r="B967" s="3" t="s">
        <v>283</v>
      </c>
      <c r="C967" s="3" t="s">
        <v>2067</v>
      </c>
      <c r="D967" s="3"/>
    </row>
    <row r="968" spans="1:4">
      <c r="A968" s="2">
        <v>64</v>
      </c>
      <c r="B968" s="2" t="s">
        <v>283</v>
      </c>
      <c r="C968" s="2" t="s">
        <v>2067</v>
      </c>
      <c r="D968" s="2"/>
    </row>
    <row r="969" spans="1:4">
      <c r="A969" s="3">
        <v>64</v>
      </c>
      <c r="B969" s="3" t="s">
        <v>283</v>
      </c>
      <c r="C969" s="3" t="s">
        <v>2068</v>
      </c>
      <c r="D969" s="3"/>
    </row>
    <row r="970" spans="1:4">
      <c r="A970" s="2">
        <v>64</v>
      </c>
      <c r="B970" s="2" t="s">
        <v>283</v>
      </c>
      <c r="C970" s="2" t="s">
        <v>2069</v>
      </c>
      <c r="D970" s="2"/>
    </row>
    <row r="971" spans="1:4">
      <c r="A971" s="3">
        <v>64</v>
      </c>
      <c r="B971" s="3" t="s">
        <v>283</v>
      </c>
      <c r="C971" s="3" t="s">
        <v>2070</v>
      </c>
      <c r="D971" s="3"/>
    </row>
    <row r="972" spans="1:4">
      <c r="A972" s="2">
        <v>64</v>
      </c>
      <c r="B972" s="2" t="s">
        <v>283</v>
      </c>
      <c r="C972" s="2" t="s">
        <v>2071</v>
      </c>
      <c r="D972" s="2"/>
    </row>
    <row r="973" spans="1:4">
      <c r="A973" s="3">
        <v>64</v>
      </c>
      <c r="B973" s="3" t="s">
        <v>283</v>
      </c>
      <c r="C973" s="3" t="s">
        <v>2072</v>
      </c>
      <c r="D973" s="3"/>
    </row>
    <row r="974" spans="1:4">
      <c r="A974" s="2">
        <v>64</v>
      </c>
      <c r="B974" s="2" t="s">
        <v>283</v>
      </c>
      <c r="C974" s="2" t="s">
        <v>2073</v>
      </c>
      <c r="D974" s="2"/>
    </row>
    <row r="975" spans="1:4">
      <c r="A975" s="3">
        <v>64</v>
      </c>
      <c r="B975" s="3" t="s">
        <v>283</v>
      </c>
      <c r="C975" s="3" t="s">
        <v>2074</v>
      </c>
      <c r="D975" s="3"/>
    </row>
    <row r="976" spans="1:4">
      <c r="A976" s="2">
        <v>64</v>
      </c>
      <c r="B976" s="2" t="s">
        <v>283</v>
      </c>
      <c r="C976" s="2" t="s">
        <v>2075</v>
      </c>
      <c r="D976" s="2"/>
    </row>
    <row r="977" spans="1:4">
      <c r="A977" s="3">
        <v>64</v>
      </c>
      <c r="B977" s="3" t="s">
        <v>283</v>
      </c>
      <c r="C977" s="3" t="s">
        <v>2076</v>
      </c>
      <c r="D977" s="3"/>
    </row>
    <row r="978" spans="1:4">
      <c r="A978" s="2">
        <v>64</v>
      </c>
      <c r="B978" s="2" t="s">
        <v>283</v>
      </c>
      <c r="C978" s="2" t="s">
        <v>2077</v>
      </c>
      <c r="D978" s="2"/>
    </row>
    <row r="979" spans="1:4">
      <c r="A979" s="3">
        <v>64</v>
      </c>
      <c r="B979" s="3" t="s">
        <v>283</v>
      </c>
      <c r="C979" s="3" t="s">
        <v>2078</v>
      </c>
      <c r="D979" s="3"/>
    </row>
    <row r="980" spans="1:4">
      <c r="A980" s="2">
        <v>64</v>
      </c>
      <c r="B980" s="2" t="s">
        <v>283</v>
      </c>
      <c r="C980" s="2" t="s">
        <v>2079</v>
      </c>
      <c r="D980" s="2"/>
    </row>
    <row r="981" spans="1:4">
      <c r="A981" s="3">
        <v>64</v>
      </c>
      <c r="B981" s="3" t="s">
        <v>283</v>
      </c>
      <c r="C981" s="3" t="s">
        <v>2080</v>
      </c>
      <c r="D981" s="3"/>
    </row>
    <row r="982" spans="1:4">
      <c r="A982" s="2">
        <v>64</v>
      </c>
      <c r="B982" s="2" t="s">
        <v>283</v>
      </c>
      <c r="C982" s="2" t="s">
        <v>2081</v>
      </c>
      <c r="D982" s="2"/>
    </row>
    <row r="983" spans="1:4">
      <c r="A983" s="3">
        <v>64</v>
      </c>
      <c r="B983" s="3" t="s">
        <v>283</v>
      </c>
      <c r="C983" s="3" t="s">
        <v>2082</v>
      </c>
      <c r="D983" s="3"/>
    </row>
    <row r="984" spans="1:4">
      <c r="A984" s="2">
        <v>64</v>
      </c>
      <c r="B984" s="2" t="s">
        <v>283</v>
      </c>
      <c r="C984" s="2" t="s">
        <v>2083</v>
      </c>
      <c r="D984" s="2"/>
    </row>
    <row r="985" spans="1:4">
      <c r="A985" s="3">
        <v>64</v>
      </c>
      <c r="B985" s="3" t="s">
        <v>283</v>
      </c>
      <c r="C985" s="3" t="s">
        <v>2084</v>
      </c>
      <c r="D985" s="3"/>
    </row>
    <row r="986" spans="1:4">
      <c r="A986" s="2">
        <v>64</v>
      </c>
      <c r="B986" s="2" t="s">
        <v>283</v>
      </c>
      <c r="C986" s="2" t="s">
        <v>2085</v>
      </c>
      <c r="D986" s="2"/>
    </row>
    <row r="987" spans="1:4">
      <c r="A987" s="3">
        <v>64</v>
      </c>
      <c r="B987" s="3" t="s">
        <v>283</v>
      </c>
      <c r="C987" s="3" t="s">
        <v>2086</v>
      </c>
      <c r="D987" s="3"/>
    </row>
    <row r="988" spans="1:4">
      <c r="A988" s="2">
        <v>65</v>
      </c>
      <c r="B988" s="2" t="s">
        <v>243</v>
      </c>
      <c r="C988" s="2" t="s">
        <v>2087</v>
      </c>
      <c r="D988" s="2"/>
    </row>
    <row r="989" spans="1:4">
      <c r="A989" s="3">
        <v>65</v>
      </c>
      <c r="B989" s="3" t="s">
        <v>243</v>
      </c>
      <c r="C989" s="3" t="s">
        <v>2088</v>
      </c>
      <c r="D989" s="3"/>
    </row>
    <row r="990" spans="1:4">
      <c r="A990" s="2">
        <v>65</v>
      </c>
      <c r="B990" s="2" t="s">
        <v>243</v>
      </c>
      <c r="C990" s="2" t="s">
        <v>2089</v>
      </c>
      <c r="D990" s="2"/>
    </row>
    <row r="991" spans="1:4">
      <c r="A991" s="3">
        <v>65</v>
      </c>
      <c r="B991" s="3" t="s">
        <v>243</v>
      </c>
      <c r="C991" s="3" t="s">
        <v>2090</v>
      </c>
      <c r="D991" s="3"/>
    </row>
    <row r="992" spans="1:4">
      <c r="A992" s="2">
        <v>65</v>
      </c>
      <c r="B992" s="2" t="s">
        <v>243</v>
      </c>
      <c r="C992" s="2" t="s">
        <v>2091</v>
      </c>
      <c r="D992" s="2"/>
    </row>
    <row r="993" spans="1:4">
      <c r="A993" s="3">
        <v>65</v>
      </c>
      <c r="B993" s="3" t="s">
        <v>243</v>
      </c>
      <c r="C993" s="3" t="s">
        <v>2092</v>
      </c>
      <c r="D993" s="3"/>
    </row>
    <row r="994" spans="1:4">
      <c r="A994" s="2">
        <v>65</v>
      </c>
      <c r="B994" s="2" t="s">
        <v>243</v>
      </c>
      <c r="C994" s="2" t="s">
        <v>2093</v>
      </c>
      <c r="D994" s="2"/>
    </row>
    <row r="995" spans="1:4">
      <c r="A995" s="3">
        <v>65</v>
      </c>
      <c r="B995" s="3" t="s">
        <v>243</v>
      </c>
      <c r="C995" s="3" t="s">
        <v>2094</v>
      </c>
      <c r="D995" s="3"/>
    </row>
    <row r="996" spans="1:4">
      <c r="A996" s="2">
        <v>65</v>
      </c>
      <c r="B996" s="2" t="s">
        <v>243</v>
      </c>
      <c r="C996" s="2" t="s">
        <v>2095</v>
      </c>
      <c r="D996" s="2"/>
    </row>
    <row r="997" spans="1:4">
      <c r="A997" s="3">
        <v>65</v>
      </c>
      <c r="B997" s="3" t="s">
        <v>243</v>
      </c>
      <c r="C997" s="3" t="s">
        <v>2096</v>
      </c>
      <c r="D997" s="3"/>
    </row>
    <row r="998" spans="1:4">
      <c r="A998" s="2">
        <v>65</v>
      </c>
      <c r="B998" s="2" t="s">
        <v>243</v>
      </c>
      <c r="C998" s="2" t="s">
        <v>2097</v>
      </c>
      <c r="D998" s="2"/>
    </row>
    <row r="999" spans="1:4">
      <c r="A999" s="3">
        <v>65</v>
      </c>
      <c r="B999" s="3" t="s">
        <v>243</v>
      </c>
      <c r="C999" s="3" t="s">
        <v>2098</v>
      </c>
      <c r="D999" s="3"/>
    </row>
    <row r="1000" spans="1:4">
      <c r="A1000" s="2">
        <v>65</v>
      </c>
      <c r="B1000" s="2" t="s">
        <v>243</v>
      </c>
      <c r="C1000" s="2" t="s">
        <v>2099</v>
      </c>
      <c r="D1000" s="2"/>
    </row>
    <row r="1001" spans="1:4">
      <c r="A1001" s="3">
        <v>65</v>
      </c>
      <c r="B1001" s="3" t="s">
        <v>243</v>
      </c>
      <c r="C1001" s="3" t="s">
        <v>2100</v>
      </c>
      <c r="D1001" s="3"/>
    </row>
    <row r="1002" spans="1:4">
      <c r="A1002" s="2">
        <v>65</v>
      </c>
      <c r="B1002" s="2" t="s">
        <v>243</v>
      </c>
      <c r="C1002" s="2" t="s">
        <v>2101</v>
      </c>
      <c r="D1002" s="2"/>
    </row>
    <row r="1003" spans="1:4">
      <c r="A1003" s="3">
        <v>65</v>
      </c>
      <c r="B1003" s="3" t="s">
        <v>243</v>
      </c>
      <c r="C1003" s="3" t="s">
        <v>2102</v>
      </c>
      <c r="D1003" s="3"/>
    </row>
    <row r="1004" spans="1:4">
      <c r="A1004" s="2">
        <v>65</v>
      </c>
      <c r="B1004" s="2" t="s">
        <v>243</v>
      </c>
      <c r="C1004" s="2" t="s">
        <v>2103</v>
      </c>
      <c r="D1004" s="2"/>
    </row>
    <row r="1005" spans="1:4">
      <c r="A1005" s="3">
        <v>65</v>
      </c>
      <c r="B1005" s="3" t="s">
        <v>243</v>
      </c>
      <c r="C1005" s="3" t="s">
        <v>2101</v>
      </c>
      <c r="D1005" s="3"/>
    </row>
    <row r="1006" spans="1:4">
      <c r="A1006" s="2">
        <v>65</v>
      </c>
      <c r="B1006" s="2" t="s">
        <v>243</v>
      </c>
      <c r="C1006" s="2" t="s">
        <v>2104</v>
      </c>
      <c r="D1006" s="2"/>
    </row>
    <row r="1007" spans="1:4">
      <c r="A1007" s="3">
        <v>65</v>
      </c>
      <c r="B1007" s="3" t="s">
        <v>243</v>
      </c>
      <c r="C1007" s="3" t="s">
        <v>2105</v>
      </c>
      <c r="D1007" s="3"/>
    </row>
    <row r="1008" spans="1:4">
      <c r="A1008" s="2">
        <v>65</v>
      </c>
      <c r="B1008" s="2" t="s">
        <v>243</v>
      </c>
      <c r="C1008" s="2" t="s">
        <v>2106</v>
      </c>
      <c r="D1008" s="2"/>
    </row>
    <row r="1009" spans="1:4">
      <c r="A1009" s="3">
        <v>65</v>
      </c>
      <c r="B1009" s="3" t="s">
        <v>243</v>
      </c>
      <c r="C1009" s="3" t="s">
        <v>2107</v>
      </c>
      <c r="D1009" s="3"/>
    </row>
    <row r="1010" spans="1:4">
      <c r="A1010" s="2">
        <v>65</v>
      </c>
      <c r="B1010" s="2" t="s">
        <v>243</v>
      </c>
      <c r="C1010" s="2" t="s">
        <v>2108</v>
      </c>
      <c r="D1010" s="2"/>
    </row>
    <row r="1011" spans="1:4">
      <c r="A1011" s="3">
        <v>65</v>
      </c>
      <c r="B1011" s="3" t="s">
        <v>243</v>
      </c>
      <c r="C1011" s="3" t="s">
        <v>2109</v>
      </c>
      <c r="D1011" s="3"/>
    </row>
    <row r="1012" spans="1:4">
      <c r="A1012" s="2">
        <v>65</v>
      </c>
      <c r="B1012" s="2" t="s">
        <v>243</v>
      </c>
      <c r="C1012" s="2" t="s">
        <v>2110</v>
      </c>
      <c r="D1012" s="2"/>
    </row>
    <row r="1013" spans="1:4">
      <c r="A1013" s="3">
        <v>65</v>
      </c>
      <c r="B1013" s="3" t="s">
        <v>243</v>
      </c>
      <c r="C1013" s="3" t="s">
        <v>2111</v>
      </c>
      <c r="D1013" s="3"/>
    </row>
    <row r="1014" spans="1:4">
      <c r="A1014" s="2">
        <v>65</v>
      </c>
      <c r="B1014" s="2" t="s">
        <v>243</v>
      </c>
      <c r="C1014" s="2" t="s">
        <v>2112</v>
      </c>
      <c r="D1014" s="2"/>
    </row>
    <row r="1015" spans="1:4">
      <c r="A1015" s="3">
        <v>65</v>
      </c>
      <c r="B1015" s="3" t="s">
        <v>243</v>
      </c>
      <c r="C1015" s="3" t="s">
        <v>2113</v>
      </c>
      <c r="D1015" s="3"/>
    </row>
    <row r="1016" spans="1:4">
      <c r="A1016" s="2">
        <v>65</v>
      </c>
      <c r="B1016" s="2" t="s">
        <v>243</v>
      </c>
      <c r="C1016" s="2" t="s">
        <v>2114</v>
      </c>
      <c r="D1016" s="2"/>
    </row>
    <row r="1017" spans="1:4">
      <c r="A1017" s="3">
        <v>65</v>
      </c>
      <c r="B1017" s="3" t="s">
        <v>243</v>
      </c>
      <c r="C1017" s="3" t="s">
        <v>2115</v>
      </c>
      <c r="D1017" s="3"/>
    </row>
    <row r="1018" spans="1:4">
      <c r="A1018" s="2">
        <v>65</v>
      </c>
      <c r="B1018" s="2" t="s">
        <v>243</v>
      </c>
      <c r="C1018" s="2" t="s">
        <v>2116</v>
      </c>
      <c r="D1018" s="2"/>
    </row>
    <row r="1019" spans="1:4">
      <c r="A1019" s="3">
        <v>65</v>
      </c>
      <c r="B1019" s="3" t="s">
        <v>243</v>
      </c>
      <c r="C1019" s="3" t="s">
        <v>2117</v>
      </c>
      <c r="D1019" s="3"/>
    </row>
    <row r="1020" spans="1:4">
      <c r="A1020" s="2">
        <v>65</v>
      </c>
      <c r="B1020" s="2" t="s">
        <v>243</v>
      </c>
      <c r="C1020" s="2" t="s">
        <v>2118</v>
      </c>
      <c r="D1020" s="2"/>
    </row>
    <row r="1021" spans="1:4">
      <c r="A1021" s="3">
        <v>65</v>
      </c>
      <c r="B1021" s="3" t="s">
        <v>243</v>
      </c>
      <c r="C1021" s="3" t="s">
        <v>2119</v>
      </c>
      <c r="D1021" s="3"/>
    </row>
    <row r="1022" spans="1:4">
      <c r="A1022" s="2">
        <v>65</v>
      </c>
      <c r="B1022" s="2" t="s">
        <v>243</v>
      </c>
      <c r="C1022" s="2" t="s">
        <v>2120</v>
      </c>
      <c r="D1022" s="2"/>
    </row>
    <row r="1023" spans="1:4">
      <c r="A1023" s="3">
        <v>65</v>
      </c>
      <c r="B1023" s="3" t="s">
        <v>243</v>
      </c>
      <c r="C1023" s="3" t="s">
        <v>2117</v>
      </c>
      <c r="D1023" s="3"/>
    </row>
    <row r="1024" spans="1:4">
      <c r="A1024" s="2">
        <v>65</v>
      </c>
      <c r="B1024" s="2" t="s">
        <v>243</v>
      </c>
      <c r="C1024" s="2" t="s">
        <v>2121</v>
      </c>
      <c r="D1024" s="2"/>
    </row>
    <row r="1025" spans="1:4">
      <c r="A1025" s="3">
        <v>65</v>
      </c>
      <c r="B1025" s="3" t="s">
        <v>243</v>
      </c>
      <c r="C1025" s="3" t="s">
        <v>2122</v>
      </c>
      <c r="D1025" s="3"/>
    </row>
    <row r="1026" spans="1:4">
      <c r="A1026" s="2">
        <v>65</v>
      </c>
      <c r="B1026" s="2" t="s">
        <v>243</v>
      </c>
      <c r="C1026" s="2" t="s">
        <v>2123</v>
      </c>
      <c r="D1026" s="2"/>
    </row>
    <row r="1027" spans="1:4">
      <c r="A1027" s="3">
        <v>65</v>
      </c>
      <c r="B1027" s="3" t="s">
        <v>243</v>
      </c>
      <c r="C1027" s="3" t="s">
        <v>2124</v>
      </c>
      <c r="D1027" s="3"/>
    </row>
    <row r="1028" spans="1:4">
      <c r="A1028" s="2">
        <v>65</v>
      </c>
      <c r="B1028" s="2" t="s">
        <v>243</v>
      </c>
      <c r="C1028" s="2" t="s">
        <v>2125</v>
      </c>
      <c r="D1028" s="2"/>
    </row>
    <row r="1029" spans="1:4">
      <c r="A1029" s="3">
        <v>65</v>
      </c>
      <c r="B1029" s="3" t="s">
        <v>243</v>
      </c>
      <c r="C1029" s="3" t="s">
        <v>2126</v>
      </c>
      <c r="D1029" s="3"/>
    </row>
    <row r="1030" spans="1:4">
      <c r="A1030" s="2">
        <v>65</v>
      </c>
      <c r="B1030" s="2" t="s">
        <v>243</v>
      </c>
      <c r="C1030" s="2" t="s">
        <v>2127</v>
      </c>
      <c r="D1030" s="2"/>
    </row>
    <row r="1031" spans="1:4">
      <c r="A1031" s="3">
        <v>65</v>
      </c>
      <c r="B1031" s="3" t="s">
        <v>243</v>
      </c>
      <c r="C1031" s="3" t="s">
        <v>2128</v>
      </c>
      <c r="D1031" s="3"/>
    </row>
    <row r="1032" spans="1:4">
      <c r="A1032" s="2">
        <v>65</v>
      </c>
      <c r="B1032" s="2" t="s">
        <v>243</v>
      </c>
      <c r="C1032" s="2" t="s">
        <v>2129</v>
      </c>
      <c r="D1032" s="2"/>
    </row>
    <row r="1033" spans="1:4">
      <c r="A1033" s="3">
        <v>65</v>
      </c>
      <c r="B1033" s="3" t="s">
        <v>243</v>
      </c>
      <c r="C1033" s="3" t="s">
        <v>2130</v>
      </c>
      <c r="D1033" s="3"/>
    </row>
    <row r="1034" spans="1:4">
      <c r="A1034" s="2">
        <v>65</v>
      </c>
      <c r="B1034" s="2" t="s">
        <v>243</v>
      </c>
      <c r="C1034" s="2" t="s">
        <v>2131</v>
      </c>
      <c r="D1034" s="2"/>
    </row>
    <row r="1035" spans="1:4">
      <c r="A1035" s="3">
        <v>65</v>
      </c>
      <c r="B1035" s="3" t="s">
        <v>243</v>
      </c>
      <c r="C1035" s="3" t="s">
        <v>2132</v>
      </c>
      <c r="D1035" s="3"/>
    </row>
    <row r="1036" spans="1:4">
      <c r="A1036" s="2">
        <v>65</v>
      </c>
      <c r="B1036" s="2" t="s">
        <v>243</v>
      </c>
      <c r="C1036" s="2" t="s">
        <v>2133</v>
      </c>
      <c r="D1036" s="2"/>
    </row>
    <row r="1037" spans="1:4">
      <c r="A1037" s="3">
        <v>65</v>
      </c>
      <c r="B1037" s="3" t="s">
        <v>243</v>
      </c>
      <c r="C1037" s="3" t="s">
        <v>2134</v>
      </c>
      <c r="D1037" s="3"/>
    </row>
    <row r="1038" spans="1:4">
      <c r="A1038" s="2">
        <v>66</v>
      </c>
      <c r="B1038" s="2" t="s">
        <v>249</v>
      </c>
      <c r="C1038" s="2" t="s">
        <v>2135</v>
      </c>
      <c r="D1038" s="2"/>
    </row>
    <row r="1039" spans="1:4">
      <c r="A1039" s="3">
        <v>66</v>
      </c>
      <c r="B1039" s="3" t="s">
        <v>249</v>
      </c>
      <c r="C1039" s="3" t="s">
        <v>2136</v>
      </c>
      <c r="D1039" s="3"/>
    </row>
    <row r="1040" spans="1:4">
      <c r="A1040" s="2">
        <v>66</v>
      </c>
      <c r="B1040" s="2" t="s">
        <v>249</v>
      </c>
      <c r="C1040" s="2" t="s">
        <v>2137</v>
      </c>
      <c r="D1040" s="2"/>
    </row>
    <row r="1041" spans="1:4">
      <c r="A1041" s="3">
        <v>66</v>
      </c>
      <c r="B1041" s="3" t="s">
        <v>249</v>
      </c>
      <c r="C1041" s="3" t="s">
        <v>2138</v>
      </c>
      <c r="D1041" s="3"/>
    </row>
    <row r="1042" spans="1:4">
      <c r="A1042" s="2">
        <v>66</v>
      </c>
      <c r="B1042" s="2" t="s">
        <v>249</v>
      </c>
      <c r="C1042" s="2" t="s">
        <v>2139</v>
      </c>
      <c r="D1042" s="2"/>
    </row>
    <row r="1043" spans="1:4">
      <c r="A1043" s="3">
        <v>66</v>
      </c>
      <c r="B1043" s="3" t="s">
        <v>249</v>
      </c>
      <c r="C1043" s="3" t="s">
        <v>2140</v>
      </c>
      <c r="D1043" s="3"/>
    </row>
    <row r="1044" spans="1:4">
      <c r="A1044" s="2">
        <v>66</v>
      </c>
      <c r="B1044" s="2" t="s">
        <v>249</v>
      </c>
      <c r="C1044" s="2" t="s">
        <v>2141</v>
      </c>
      <c r="D1044" s="2"/>
    </row>
    <row r="1045" spans="1:4">
      <c r="A1045" s="3">
        <v>66</v>
      </c>
      <c r="B1045" s="3" t="s">
        <v>249</v>
      </c>
      <c r="C1045" s="3" t="s">
        <v>2142</v>
      </c>
      <c r="D1045" s="3"/>
    </row>
    <row r="1046" spans="1:4">
      <c r="A1046" s="2">
        <v>66</v>
      </c>
      <c r="B1046" s="2" t="s">
        <v>249</v>
      </c>
      <c r="C1046" s="2" t="s">
        <v>2143</v>
      </c>
      <c r="D1046" s="2"/>
    </row>
    <row r="1047" spans="1:4">
      <c r="A1047" s="3">
        <v>66</v>
      </c>
      <c r="B1047" s="3" t="s">
        <v>249</v>
      </c>
      <c r="C1047" s="3" t="s">
        <v>2144</v>
      </c>
      <c r="D1047" s="3"/>
    </row>
    <row r="1048" spans="1:4">
      <c r="A1048" s="2">
        <v>66</v>
      </c>
      <c r="B1048" s="2" t="s">
        <v>249</v>
      </c>
      <c r="C1048" s="2" t="s">
        <v>2145</v>
      </c>
      <c r="D1048" s="2"/>
    </row>
    <row r="1049" spans="1:4">
      <c r="A1049" s="3">
        <v>66</v>
      </c>
      <c r="B1049" s="3" t="s">
        <v>249</v>
      </c>
      <c r="C1049" s="3" t="s">
        <v>2146</v>
      </c>
      <c r="D1049" s="3"/>
    </row>
    <row r="1050" spans="1:4">
      <c r="A1050" s="2">
        <v>66</v>
      </c>
      <c r="B1050" s="2" t="s">
        <v>249</v>
      </c>
      <c r="C1050" s="2" t="s">
        <v>2147</v>
      </c>
      <c r="D1050" s="2"/>
    </row>
    <row r="1051" spans="1:4">
      <c r="A1051" s="3">
        <v>66</v>
      </c>
      <c r="B1051" s="3" t="s">
        <v>249</v>
      </c>
      <c r="C1051" s="3" t="s">
        <v>2148</v>
      </c>
      <c r="D1051" s="3"/>
    </row>
    <row r="1052" spans="1:4">
      <c r="A1052" s="2">
        <v>66</v>
      </c>
      <c r="B1052" s="2" t="s">
        <v>249</v>
      </c>
      <c r="C1052" s="2" t="s">
        <v>2149</v>
      </c>
      <c r="D1052" s="2"/>
    </row>
    <row r="1053" spans="1:4">
      <c r="A1053" s="3">
        <v>66</v>
      </c>
      <c r="B1053" s="3" t="s">
        <v>249</v>
      </c>
      <c r="C1053" s="3" t="s">
        <v>2150</v>
      </c>
      <c r="D1053" s="3"/>
    </row>
    <row r="1054" spans="1:4">
      <c r="A1054" s="2">
        <v>66</v>
      </c>
      <c r="B1054" s="2" t="s">
        <v>249</v>
      </c>
      <c r="C1054" s="2" t="s">
        <v>2151</v>
      </c>
      <c r="D1054" s="2"/>
    </row>
    <row r="1055" spans="1:4">
      <c r="A1055" s="3">
        <v>66</v>
      </c>
      <c r="B1055" s="3" t="s">
        <v>249</v>
      </c>
      <c r="C1055" s="3" t="s">
        <v>2152</v>
      </c>
      <c r="D1055" s="3"/>
    </row>
    <row r="1056" spans="1:4">
      <c r="A1056" s="2">
        <v>66</v>
      </c>
      <c r="B1056" s="2" t="s">
        <v>249</v>
      </c>
      <c r="C1056" s="2" t="s">
        <v>2153</v>
      </c>
      <c r="D1056" s="2"/>
    </row>
    <row r="1057" spans="1:4">
      <c r="A1057" s="3">
        <v>66</v>
      </c>
      <c r="B1057" s="3" t="s">
        <v>249</v>
      </c>
      <c r="C1057" s="3" t="s">
        <v>2154</v>
      </c>
      <c r="D1057" s="3"/>
    </row>
    <row r="1058" spans="1:4">
      <c r="A1058" s="2">
        <v>66</v>
      </c>
      <c r="B1058" s="2" t="s">
        <v>249</v>
      </c>
      <c r="C1058" s="2" t="s">
        <v>2155</v>
      </c>
      <c r="D1058" s="2"/>
    </row>
    <row r="1059" spans="1:4">
      <c r="A1059" s="3">
        <v>66</v>
      </c>
      <c r="B1059" s="3" t="s">
        <v>249</v>
      </c>
      <c r="C1059" s="3" t="s">
        <v>2156</v>
      </c>
      <c r="D1059" s="3"/>
    </row>
    <row r="1060" spans="1:4">
      <c r="A1060" s="2">
        <v>66</v>
      </c>
      <c r="B1060" s="2" t="s">
        <v>249</v>
      </c>
      <c r="C1060" s="2" t="s">
        <v>2157</v>
      </c>
      <c r="D1060" s="2"/>
    </row>
    <row r="1061" spans="1:4">
      <c r="A1061" s="3">
        <v>66</v>
      </c>
      <c r="B1061" s="3" t="s">
        <v>249</v>
      </c>
      <c r="C1061" s="3" t="s">
        <v>2158</v>
      </c>
      <c r="D1061" s="3"/>
    </row>
    <row r="1062" spans="1:4">
      <c r="A1062" s="2">
        <v>66</v>
      </c>
      <c r="B1062" s="2" t="s">
        <v>249</v>
      </c>
      <c r="C1062" s="2" t="s">
        <v>2159</v>
      </c>
      <c r="D1062" s="2"/>
    </row>
    <row r="1063" spans="1:4">
      <c r="A1063" s="3">
        <v>66</v>
      </c>
      <c r="B1063" s="3" t="s">
        <v>249</v>
      </c>
      <c r="C1063" s="3" t="s">
        <v>2160</v>
      </c>
      <c r="D1063" s="3"/>
    </row>
    <row r="1064" spans="1:4">
      <c r="A1064" s="2">
        <v>66</v>
      </c>
      <c r="B1064" s="2" t="s">
        <v>249</v>
      </c>
      <c r="C1064" s="2" t="s">
        <v>2161</v>
      </c>
      <c r="D1064" s="2"/>
    </row>
    <row r="1065" spans="1:4">
      <c r="A1065" s="3">
        <v>66</v>
      </c>
      <c r="B1065" s="3" t="s">
        <v>249</v>
      </c>
      <c r="C1065" s="3" t="s">
        <v>2162</v>
      </c>
      <c r="D1065" s="3"/>
    </row>
    <row r="1066" spans="1:4">
      <c r="A1066" s="2">
        <v>66</v>
      </c>
      <c r="B1066" s="2" t="s">
        <v>249</v>
      </c>
      <c r="C1066" s="2" t="s">
        <v>2163</v>
      </c>
      <c r="D1066" s="2"/>
    </row>
    <row r="1067" spans="1:4">
      <c r="A1067" s="3">
        <v>66</v>
      </c>
      <c r="B1067" s="3" t="s">
        <v>249</v>
      </c>
      <c r="C1067" s="3">
        <f>π(R0/∆T)2</f>
        <v>0</v>
      </c>
      <c r="D1067" s="3"/>
    </row>
    <row r="1068" spans="1:4">
      <c r="A1068" s="2">
        <v>66</v>
      </c>
      <c r="B1068" s="2" t="s">
        <v>249</v>
      </c>
      <c r="C1068" s="2" t="s">
        <v>2164</v>
      </c>
      <c r="D1068" s="2"/>
    </row>
    <row r="1069" spans="1:4">
      <c r="A1069" s="3">
        <v>66</v>
      </c>
      <c r="B1069" s="3" t="s">
        <v>249</v>
      </c>
      <c r="C1069" s="3" t="s">
        <v>2165</v>
      </c>
      <c r="D1069" s="3"/>
    </row>
    <row r="1070" spans="1:4">
      <c r="A1070" s="2">
        <v>66</v>
      </c>
      <c r="B1070" s="2" t="s">
        <v>249</v>
      </c>
      <c r="C1070" s="2" t="s">
        <v>2166</v>
      </c>
      <c r="D1070" s="2"/>
    </row>
    <row r="1071" spans="1:4">
      <c r="A1071" s="3">
        <v>66</v>
      </c>
      <c r="B1071" s="3" t="s">
        <v>249</v>
      </c>
      <c r="C1071" s="3" t="s">
        <v>2167</v>
      </c>
      <c r="D1071" s="3"/>
    </row>
    <row r="1072" spans="1:4">
      <c r="A1072" s="2">
        <v>66</v>
      </c>
      <c r="B1072" s="2" t="s">
        <v>249</v>
      </c>
      <c r="C1072" s="2" t="s">
        <v>2168</v>
      </c>
      <c r="D1072" s="2"/>
    </row>
    <row r="1073" spans="1:4">
      <c r="A1073" s="3">
        <v>66</v>
      </c>
      <c r="B1073" s="3" t="s">
        <v>249</v>
      </c>
      <c r="C1073" s="3" t="s">
        <v>2169</v>
      </c>
      <c r="D1073" s="3"/>
    </row>
    <row r="1074" spans="1:4">
      <c r="A1074" s="2">
        <v>66</v>
      </c>
      <c r="B1074" s="2" t="s">
        <v>249</v>
      </c>
      <c r="C1074" s="2" t="s">
        <v>2170</v>
      </c>
      <c r="D1074" s="2"/>
    </row>
    <row r="1075" spans="1:4">
      <c r="A1075" s="3">
        <v>66</v>
      </c>
      <c r="B1075" s="3" t="s">
        <v>249</v>
      </c>
      <c r="C1075" s="3" t="s">
        <v>2171</v>
      </c>
      <c r="D1075" s="3"/>
    </row>
    <row r="1076" spans="1:4">
      <c r="A1076" s="2">
        <v>66</v>
      </c>
      <c r="B1076" s="2" t="s">
        <v>249</v>
      </c>
      <c r="C1076" s="2" t="s">
        <v>2172</v>
      </c>
      <c r="D1076" s="2"/>
    </row>
    <row r="1077" spans="1:4">
      <c r="A1077" s="3">
        <v>66</v>
      </c>
      <c r="B1077" s="3" t="s">
        <v>249</v>
      </c>
      <c r="C1077" s="3" t="s">
        <v>2173</v>
      </c>
      <c r="D1077" s="3"/>
    </row>
    <row r="1078" spans="1:4">
      <c r="A1078" s="2">
        <v>66</v>
      </c>
      <c r="B1078" s="2" t="s">
        <v>249</v>
      </c>
      <c r="C1078" s="2" t="s">
        <v>2174</v>
      </c>
      <c r="D1078" s="2"/>
    </row>
    <row r="1079" spans="1:4">
      <c r="A1079" s="3">
        <v>66</v>
      </c>
      <c r="B1079" s="3" t="s">
        <v>249</v>
      </c>
      <c r="C1079" s="3" t="s">
        <v>2175</v>
      </c>
      <c r="D1079" s="3"/>
    </row>
    <row r="1080" spans="1:4">
      <c r="A1080" s="2">
        <v>66</v>
      </c>
      <c r="B1080" s="2" t="s">
        <v>249</v>
      </c>
      <c r="C1080" s="2" t="s">
        <v>2176</v>
      </c>
      <c r="D1080" s="2"/>
    </row>
    <row r="1081" spans="1:4">
      <c r="A1081" s="3">
        <v>66</v>
      </c>
      <c r="B1081" s="3" t="s">
        <v>249</v>
      </c>
      <c r="C1081" s="3" t="s">
        <v>2177</v>
      </c>
      <c r="D1081" s="3"/>
    </row>
    <row r="1082" spans="1:4">
      <c r="A1082" s="2">
        <v>66</v>
      </c>
      <c r="B1082" s="2" t="s">
        <v>249</v>
      </c>
      <c r="C1082" s="2" t="s">
        <v>2178</v>
      </c>
      <c r="D1082" s="2"/>
    </row>
    <row r="1083" spans="1:4">
      <c r="A1083" s="3">
        <v>66</v>
      </c>
      <c r="B1083" s="3" t="s">
        <v>249</v>
      </c>
      <c r="C1083" s="3" t="s">
        <v>2179</v>
      </c>
      <c r="D1083" s="3"/>
    </row>
    <row r="1084" spans="1:4">
      <c r="A1084" s="2">
        <v>66</v>
      </c>
      <c r="B1084" s="2" t="s">
        <v>249</v>
      </c>
      <c r="C1084" s="2" t="s">
        <v>2180</v>
      </c>
      <c r="D1084" s="2"/>
    </row>
    <row r="1085" spans="1:4">
      <c r="A1085" s="3">
        <v>66</v>
      </c>
      <c r="B1085" s="3" t="s">
        <v>249</v>
      </c>
      <c r="C1085" s="3" t="s">
        <v>2181</v>
      </c>
      <c r="D1085" s="3"/>
    </row>
    <row r="1086" spans="1:4">
      <c r="A1086" s="2">
        <v>66</v>
      </c>
      <c r="B1086" s="2" t="s">
        <v>249</v>
      </c>
      <c r="C1086" s="2" t="s">
        <v>2182</v>
      </c>
      <c r="D1086" s="2"/>
    </row>
    <row r="1087" spans="1:4">
      <c r="A1087" s="3">
        <v>66</v>
      </c>
      <c r="B1087" s="3" t="s">
        <v>249</v>
      </c>
      <c r="C1087" s="3" t="s">
        <v>2183</v>
      </c>
      <c r="D1087" s="3"/>
    </row>
    <row r="1088" spans="1:4">
      <c r="A1088" s="2">
        <v>67</v>
      </c>
      <c r="B1088" s="2" t="s">
        <v>252</v>
      </c>
      <c r="C1088" s="2" t="s">
        <v>2184</v>
      </c>
      <c r="D1088" s="2"/>
    </row>
    <row r="1089" spans="1:4">
      <c r="A1089" s="3">
        <v>67</v>
      </c>
      <c r="B1089" s="3" t="s">
        <v>252</v>
      </c>
      <c r="C1089" s="3" t="s">
        <v>2185</v>
      </c>
      <c r="D1089" s="3"/>
    </row>
    <row r="1090" spans="1:4">
      <c r="A1090" s="2">
        <v>67</v>
      </c>
      <c r="B1090" s="2" t="s">
        <v>252</v>
      </c>
      <c r="C1090" s="2" t="s">
        <v>2186</v>
      </c>
      <c r="D1090" s="2"/>
    </row>
    <row r="1091" spans="1:4">
      <c r="A1091" s="3">
        <v>67</v>
      </c>
      <c r="B1091" s="3" t="s">
        <v>252</v>
      </c>
      <c r="C1091" s="3" t="s">
        <v>2187</v>
      </c>
      <c r="D1091" s="3"/>
    </row>
    <row r="1092" spans="1:4">
      <c r="A1092" s="2">
        <v>67</v>
      </c>
      <c r="B1092" s="2" t="s">
        <v>252</v>
      </c>
      <c r="C1092" s="2" t="s">
        <v>2188</v>
      </c>
      <c r="D1092" s="2"/>
    </row>
    <row r="1093" spans="1:4">
      <c r="A1093" s="3">
        <v>67</v>
      </c>
      <c r="B1093" s="3" t="s">
        <v>252</v>
      </c>
      <c r="C1093" s="3" t="s">
        <v>2189</v>
      </c>
      <c r="D1093" s="3"/>
    </row>
    <row r="1094" spans="1:4">
      <c r="A1094" s="2">
        <v>67</v>
      </c>
      <c r="B1094" s="2" t="s">
        <v>252</v>
      </c>
      <c r="C1094" s="2" t="s">
        <v>2190</v>
      </c>
      <c r="D1094" s="2"/>
    </row>
    <row r="1095" spans="1:4">
      <c r="A1095" s="3">
        <v>67</v>
      </c>
      <c r="B1095" s="3" t="s">
        <v>252</v>
      </c>
      <c r="C1095" s="3" t="s">
        <v>2191</v>
      </c>
      <c r="D1095" s="3"/>
    </row>
    <row r="1096" spans="1:4">
      <c r="A1096" s="2">
        <v>67</v>
      </c>
      <c r="B1096" s="2" t="s">
        <v>252</v>
      </c>
      <c r="C1096" s="2" t="s">
        <v>2192</v>
      </c>
      <c r="D1096" s="2"/>
    </row>
    <row r="1097" spans="1:4">
      <c r="A1097" s="3">
        <v>67</v>
      </c>
      <c r="B1097" s="3" t="s">
        <v>252</v>
      </c>
      <c r="C1097" s="3" t="s">
        <v>2193</v>
      </c>
      <c r="D1097" s="3"/>
    </row>
    <row r="1098" spans="1:4">
      <c r="A1098" s="2">
        <v>67</v>
      </c>
      <c r="B1098" s="2" t="s">
        <v>252</v>
      </c>
      <c r="C1098" s="2" t="s">
        <v>2194</v>
      </c>
      <c r="D1098" s="2"/>
    </row>
    <row r="1099" spans="1:4">
      <c r="A1099" s="3">
        <v>67</v>
      </c>
      <c r="B1099" s="3" t="s">
        <v>252</v>
      </c>
      <c r="C1099" s="3" t="s">
        <v>2195</v>
      </c>
      <c r="D1099" s="3"/>
    </row>
    <row r="1100" spans="1:4">
      <c r="A1100" s="2">
        <v>67</v>
      </c>
      <c r="B1100" s="2" t="s">
        <v>252</v>
      </c>
      <c r="C1100" s="2" t="s">
        <v>2196</v>
      </c>
      <c r="D1100" s="2"/>
    </row>
    <row r="1101" spans="1:4">
      <c r="A1101" s="3">
        <v>67</v>
      </c>
      <c r="B1101" s="3" t="s">
        <v>252</v>
      </c>
      <c r="C1101" s="3" t="s">
        <v>2197</v>
      </c>
      <c r="D1101" s="3"/>
    </row>
    <row r="1102" spans="1:4">
      <c r="A1102" s="2">
        <v>67</v>
      </c>
      <c r="B1102" s="2" t="s">
        <v>252</v>
      </c>
      <c r="C1102" s="2" t="s">
        <v>2198</v>
      </c>
      <c r="D1102" s="2"/>
    </row>
    <row r="1103" spans="1:4">
      <c r="A1103" s="3">
        <v>67</v>
      </c>
      <c r="B1103" s="3" t="s">
        <v>252</v>
      </c>
      <c r="C1103" s="3" t="s">
        <v>2199</v>
      </c>
      <c r="D1103" s="3"/>
    </row>
    <row r="1104" spans="1:4">
      <c r="A1104" s="2">
        <v>67</v>
      </c>
      <c r="B1104" s="2" t="s">
        <v>252</v>
      </c>
      <c r="C1104" s="2" t="s">
        <v>2200</v>
      </c>
      <c r="D1104" s="2"/>
    </row>
    <row r="1105" spans="1:4">
      <c r="A1105" s="3">
        <v>67</v>
      </c>
      <c r="B1105" s="3" t="s">
        <v>252</v>
      </c>
      <c r="C1105" s="3" t="s">
        <v>2201</v>
      </c>
      <c r="D1105" s="3"/>
    </row>
    <row r="1106" spans="1:4">
      <c r="A1106" s="2">
        <v>67</v>
      </c>
      <c r="B1106" s="2" t="s">
        <v>252</v>
      </c>
      <c r="C1106" s="2" t="s">
        <v>2202</v>
      </c>
      <c r="D1106" s="2"/>
    </row>
    <row r="1107" spans="1:4">
      <c r="A1107" s="3">
        <v>67</v>
      </c>
      <c r="B1107" s="3" t="s">
        <v>252</v>
      </c>
      <c r="C1107" s="3" t="s">
        <v>2203</v>
      </c>
      <c r="D1107" s="3"/>
    </row>
    <row r="1108" spans="1:4">
      <c r="A1108" s="2">
        <v>67</v>
      </c>
      <c r="B1108" s="2" t="s">
        <v>252</v>
      </c>
      <c r="C1108" s="2" t="s">
        <v>2204</v>
      </c>
      <c r="D1108" s="2"/>
    </row>
    <row r="1109" spans="1:4">
      <c r="A1109" s="3">
        <v>67</v>
      </c>
      <c r="B1109" s="3" t="s">
        <v>252</v>
      </c>
      <c r="C1109" s="3" t="s">
        <v>2205</v>
      </c>
      <c r="D1109" s="3"/>
    </row>
    <row r="1110" spans="1:4">
      <c r="A1110" s="2">
        <v>67</v>
      </c>
      <c r="B1110" s="2" t="s">
        <v>252</v>
      </c>
      <c r="C1110" s="2" t="s">
        <v>2206</v>
      </c>
      <c r="D1110" s="2"/>
    </row>
    <row r="1111" spans="1:4">
      <c r="A1111" s="3">
        <v>67</v>
      </c>
      <c r="B1111" s="3" t="s">
        <v>252</v>
      </c>
      <c r="C1111" s="3" t="s">
        <v>2207</v>
      </c>
      <c r="D1111" s="3"/>
    </row>
    <row r="1112" spans="1:4">
      <c r="A1112" s="2">
        <v>67</v>
      </c>
      <c r="B1112" s="2" t="s">
        <v>252</v>
      </c>
      <c r="C1112" s="2" t="s">
        <v>2208</v>
      </c>
      <c r="D1112" s="2"/>
    </row>
    <row r="1113" spans="1:4">
      <c r="A1113" s="3">
        <v>67</v>
      </c>
      <c r="B1113" s="3" t="s">
        <v>252</v>
      </c>
      <c r="C1113" s="3" t="s">
        <v>2209</v>
      </c>
      <c r="D1113" s="3"/>
    </row>
    <row r="1114" spans="1:4">
      <c r="A1114" s="2">
        <v>67</v>
      </c>
      <c r="B1114" s="2" t="s">
        <v>252</v>
      </c>
      <c r="C1114" s="2" t="s">
        <v>2210</v>
      </c>
      <c r="D1114" s="2"/>
    </row>
    <row r="1115" spans="1:4">
      <c r="A1115" s="3">
        <v>67</v>
      </c>
      <c r="B1115" s="3" t="s">
        <v>252</v>
      </c>
      <c r="C1115" s="3">
        <f> 0.1(2π</f>
        <v>0</v>
      </c>
      <c r="D1115" s="3"/>
    </row>
    <row r="1116" spans="1:4">
      <c r="A1116" s="2">
        <v>67</v>
      </c>
      <c r="B1116" s="2" t="s">
        <v>252</v>
      </c>
      <c r="C1116" s="2" t="s">
        <v>2211</v>
      </c>
      <c r="D1116" s="2"/>
    </row>
    <row r="1117" spans="1:4">
      <c r="A1117" s="3">
        <v>67</v>
      </c>
      <c r="B1117" s="3" t="s">
        <v>252</v>
      </c>
      <c r="C1117" s="3" t="s">
        <v>2212</v>
      </c>
      <c r="D1117" s="3"/>
    </row>
    <row r="1118" spans="1:4">
      <c r="A1118" s="2">
        <v>67</v>
      </c>
      <c r="B1118" s="2" t="s">
        <v>252</v>
      </c>
      <c r="C1118" s="2" t="s">
        <v>2213</v>
      </c>
      <c r="D1118" s="2"/>
    </row>
    <row r="1119" spans="1:4">
      <c r="A1119" s="3">
        <v>67</v>
      </c>
      <c r="B1119" s="3" t="s">
        <v>252</v>
      </c>
      <c r="C1119" s="3" t="s">
        <v>2214</v>
      </c>
      <c r="D1119" s="3"/>
    </row>
    <row r="1120" spans="1:4">
      <c r="A1120" s="2">
        <v>67</v>
      </c>
      <c r="B1120" s="2" t="s">
        <v>252</v>
      </c>
      <c r="C1120" s="2" t="s">
        <v>2215</v>
      </c>
      <c r="D1120" s="2"/>
    </row>
    <row r="1121" spans="1:4">
      <c r="A1121" s="3">
        <v>67</v>
      </c>
      <c r="B1121" s="3" t="s">
        <v>252</v>
      </c>
      <c r="C1121" s="3" t="s">
        <v>2216</v>
      </c>
      <c r="D1121" s="3"/>
    </row>
    <row r="1122" spans="1:4">
      <c r="A1122" s="2">
        <v>67</v>
      </c>
      <c r="B1122" s="2" t="s">
        <v>252</v>
      </c>
      <c r="C1122" s="2" t="s">
        <v>2217</v>
      </c>
      <c r="D1122" s="2"/>
    </row>
    <row r="1123" spans="1:4">
      <c r="A1123" s="3">
        <v>67</v>
      </c>
      <c r="B1123" s="3" t="s">
        <v>252</v>
      </c>
      <c r="C1123" s="3" t="s">
        <v>2218</v>
      </c>
      <c r="D1123" s="3"/>
    </row>
    <row r="1124" spans="1:4">
      <c r="A1124" s="2">
        <v>67</v>
      </c>
      <c r="B1124" s="2" t="s">
        <v>252</v>
      </c>
      <c r="C1124" s="2" t="s">
        <v>2219</v>
      </c>
      <c r="D1124" s="2"/>
    </row>
    <row r="1125" spans="1:4">
      <c r="A1125" s="3">
        <v>67</v>
      </c>
      <c r="B1125" s="3" t="s">
        <v>252</v>
      </c>
      <c r="C1125" s="3" t="s">
        <v>2220</v>
      </c>
      <c r="D1125" s="3"/>
    </row>
    <row r="1126" spans="1:4">
      <c r="A1126" s="2">
        <v>67</v>
      </c>
      <c r="B1126" s="2" t="s">
        <v>252</v>
      </c>
      <c r="C1126" s="2">
        <f>4π∗10−7∗(1.6∗10−19)2(104)21023</f>
        <v>0</v>
      </c>
      <c r="D1126" s="2"/>
    </row>
    <row r="1127" spans="1:4">
      <c r="A1127" s="3">
        <v>67</v>
      </c>
      <c r="B1127" s="3" t="s">
        <v>252</v>
      </c>
      <c r="C1127" s="3" t="s">
        <v>2221</v>
      </c>
      <c r="D1127" s="3"/>
    </row>
    <row r="1128" spans="1:4">
      <c r="A1128" s="2">
        <v>67</v>
      </c>
      <c r="B1128" s="2" t="s">
        <v>252</v>
      </c>
      <c r="C1128" s="2" t="s">
        <v>2222</v>
      </c>
      <c r="D1128" s="2"/>
    </row>
    <row r="1129" spans="1:4">
      <c r="A1129" s="3">
        <v>67</v>
      </c>
      <c r="B1129" s="3" t="s">
        <v>252</v>
      </c>
      <c r="C1129" s="3" t="s">
        <v>2223</v>
      </c>
      <c r="D1129" s="3"/>
    </row>
    <row r="1130" spans="1:4">
      <c r="A1130" s="2">
        <v>67</v>
      </c>
      <c r="B1130" s="2" t="s">
        <v>252</v>
      </c>
      <c r="C1130" s="2" t="s">
        <v>2224</v>
      </c>
      <c r="D1130" s="2"/>
    </row>
    <row r="1131" spans="1:4">
      <c r="A1131" s="3">
        <v>67</v>
      </c>
      <c r="B1131" s="3" t="s">
        <v>252</v>
      </c>
      <c r="C1131" s="3" t="s">
        <v>2225</v>
      </c>
      <c r="D1131" s="3"/>
    </row>
    <row r="1132" spans="1:4">
      <c r="A1132" s="2">
        <v>67</v>
      </c>
      <c r="B1132" s="2" t="s">
        <v>252</v>
      </c>
      <c r="C1132" s="2" t="s">
        <v>2226</v>
      </c>
      <c r="D1132" s="2"/>
    </row>
    <row r="1133" spans="1:4">
      <c r="A1133" s="3">
        <v>67</v>
      </c>
      <c r="B1133" s="3" t="s">
        <v>252</v>
      </c>
      <c r="C1133" s="3" t="s">
        <v>2227</v>
      </c>
      <c r="D1133" s="3"/>
    </row>
    <row r="1134" spans="1:4">
      <c r="A1134" s="2">
        <v>67</v>
      </c>
      <c r="B1134" s="2" t="s">
        <v>252</v>
      </c>
      <c r="C1134" s="2" t="s">
        <v>2228</v>
      </c>
      <c r="D1134" s="2"/>
    </row>
    <row r="1135" spans="1:4">
      <c r="A1135" s="3">
        <v>67</v>
      </c>
      <c r="B1135" s="3" t="s">
        <v>252</v>
      </c>
      <c r="C1135" s="3" t="s">
        <v>2229</v>
      </c>
      <c r="D1135" s="3"/>
    </row>
    <row r="1136" spans="1:4">
      <c r="A1136" s="2">
        <v>67</v>
      </c>
      <c r="B1136" s="2" t="s">
        <v>252</v>
      </c>
      <c r="C1136" s="2" t="s">
        <v>2230</v>
      </c>
      <c r="D1136" s="2"/>
    </row>
    <row r="1137" spans="1:4">
      <c r="A1137" s="3">
        <v>67</v>
      </c>
      <c r="B1137" s="3" t="s">
        <v>252</v>
      </c>
      <c r="C1137" s="3" t="s">
        <v>2231</v>
      </c>
      <c r="D1137" s="3"/>
    </row>
    <row r="1138" spans="1:4">
      <c r="A1138" s="2">
        <v>68</v>
      </c>
      <c r="B1138" s="2" t="s">
        <v>254</v>
      </c>
      <c r="C1138" s="2" t="s">
        <v>2232</v>
      </c>
      <c r="D1138" s="2"/>
    </row>
    <row r="1139" spans="1:4">
      <c r="A1139" s="3">
        <v>68</v>
      </c>
      <c r="B1139" s="3" t="s">
        <v>254</v>
      </c>
      <c r="C1139" s="3" t="s">
        <v>2233</v>
      </c>
      <c r="D1139" s="3"/>
    </row>
    <row r="1140" spans="1:4">
      <c r="A1140" s="2">
        <v>68</v>
      </c>
      <c r="B1140" s="2" t="s">
        <v>254</v>
      </c>
      <c r="C1140" s="2" t="s">
        <v>2234</v>
      </c>
      <c r="D1140" s="2"/>
    </row>
    <row r="1141" spans="1:4">
      <c r="A1141" s="3">
        <v>68</v>
      </c>
      <c r="B1141" s="3" t="s">
        <v>254</v>
      </c>
      <c r="C1141" s="3" t="s">
        <v>2235</v>
      </c>
      <c r="D1141" s="3"/>
    </row>
    <row r="1142" spans="1:4">
      <c r="A1142" s="2">
        <v>68</v>
      </c>
      <c r="B1142" s="2" t="s">
        <v>254</v>
      </c>
      <c r="C1142" s="2" t="s">
        <v>2236</v>
      </c>
      <c r="D1142" s="2"/>
    </row>
    <row r="1143" spans="1:4">
      <c r="A1143" s="3">
        <v>68</v>
      </c>
      <c r="B1143" s="3" t="s">
        <v>254</v>
      </c>
      <c r="C1143" s="3" t="s">
        <v>2237</v>
      </c>
      <c r="D1143" s="3"/>
    </row>
    <row r="1144" spans="1:4">
      <c r="A1144" s="2">
        <v>68</v>
      </c>
      <c r="B1144" s="2" t="s">
        <v>254</v>
      </c>
      <c r="C1144" s="2" t="s">
        <v>2238</v>
      </c>
      <c r="D1144" s="2"/>
    </row>
    <row r="1145" spans="1:4">
      <c r="A1145" s="3">
        <v>68</v>
      </c>
      <c r="B1145" s="3" t="s">
        <v>254</v>
      </c>
      <c r="C1145" s="3" t="s">
        <v>2239</v>
      </c>
      <c r="D1145" s="3"/>
    </row>
    <row r="1146" spans="1:4">
      <c r="A1146" s="2">
        <v>68</v>
      </c>
      <c r="B1146" s="2" t="s">
        <v>254</v>
      </c>
      <c r="C1146" s="2" t="s">
        <v>2240</v>
      </c>
      <c r="D1146" s="2"/>
    </row>
    <row r="1147" spans="1:4">
      <c r="A1147" s="3">
        <v>68</v>
      </c>
      <c r="B1147" s="3" t="s">
        <v>254</v>
      </c>
      <c r="C1147" s="3" t="s">
        <v>2241</v>
      </c>
      <c r="D1147" s="3"/>
    </row>
    <row r="1148" spans="1:4">
      <c r="A1148" s="2">
        <v>68</v>
      </c>
      <c r="B1148" s="2" t="s">
        <v>254</v>
      </c>
      <c r="C1148" s="2" t="s">
        <v>2242</v>
      </c>
      <c r="D1148" s="2"/>
    </row>
    <row r="1149" spans="1:4">
      <c r="A1149" s="3">
        <v>68</v>
      </c>
      <c r="B1149" s="3" t="s">
        <v>254</v>
      </c>
      <c r="C1149" s="3" t="s">
        <v>2243</v>
      </c>
      <c r="D1149" s="3"/>
    </row>
    <row r="1150" spans="1:4">
      <c r="A1150" s="2">
        <v>68</v>
      </c>
      <c r="B1150" s="2" t="s">
        <v>254</v>
      </c>
      <c r="C1150" s="2" t="s">
        <v>2244</v>
      </c>
      <c r="D1150" s="2"/>
    </row>
    <row r="1151" spans="1:4">
      <c r="A1151" s="3">
        <v>68</v>
      </c>
      <c r="B1151" s="3" t="s">
        <v>254</v>
      </c>
      <c r="C1151" s="3" t="s">
        <v>2245</v>
      </c>
      <c r="D1151" s="3"/>
    </row>
    <row r="1152" spans="1:4">
      <c r="A1152" s="2">
        <v>68</v>
      </c>
      <c r="B1152" s="2" t="s">
        <v>254</v>
      </c>
      <c r="C1152" s="2" t="s">
        <v>2246</v>
      </c>
      <c r="D1152" s="2"/>
    </row>
    <row r="1153" spans="1:4">
      <c r="A1153" s="3">
        <v>69</v>
      </c>
      <c r="B1153" s="3" t="s">
        <v>259</v>
      </c>
      <c r="C1153" s="3" t="s">
        <v>2247</v>
      </c>
      <c r="D1153" s="3"/>
    </row>
    <row r="1154" spans="1:4">
      <c r="A1154" s="2">
        <v>69</v>
      </c>
      <c r="B1154" s="2" t="s">
        <v>259</v>
      </c>
      <c r="C1154" s="2" t="s">
        <v>2248</v>
      </c>
      <c r="D1154" s="2"/>
    </row>
    <row r="1155" spans="1:4">
      <c r="A1155" s="3">
        <v>69</v>
      </c>
      <c r="B1155" s="3" t="s">
        <v>259</v>
      </c>
      <c r="C1155" s="3" t="s">
        <v>2249</v>
      </c>
      <c r="D1155" s="3"/>
    </row>
    <row r="1156" spans="1:4">
      <c r="A1156" s="2">
        <v>69</v>
      </c>
      <c r="B1156" s="2" t="s">
        <v>259</v>
      </c>
      <c r="C1156" s="2" t="s">
        <v>2250</v>
      </c>
      <c r="D1156" s="2"/>
    </row>
    <row r="1157" spans="1:4">
      <c r="A1157" s="3">
        <v>69</v>
      </c>
      <c r="B1157" s="3" t="s">
        <v>259</v>
      </c>
      <c r="C1157" s="3" t="s">
        <v>2251</v>
      </c>
      <c r="D1157" s="3"/>
    </row>
    <row r="1158" spans="1:4">
      <c r="A1158" s="2">
        <v>69</v>
      </c>
      <c r="B1158" s="2" t="s">
        <v>259</v>
      </c>
      <c r="C1158" s="2" t="s">
        <v>2252</v>
      </c>
      <c r="D1158" s="2"/>
    </row>
    <row r="1159" spans="1:4">
      <c r="A1159" s="3">
        <v>69</v>
      </c>
      <c r="B1159" s="3" t="s">
        <v>259</v>
      </c>
      <c r="C1159" s="3" t="s">
        <v>2253</v>
      </c>
      <c r="D1159" s="3"/>
    </row>
    <row r="1160" spans="1:4">
      <c r="A1160" s="2">
        <v>69</v>
      </c>
      <c r="B1160" s="2" t="s">
        <v>259</v>
      </c>
      <c r="C1160" s="2" t="s">
        <v>2254</v>
      </c>
      <c r="D1160" s="2"/>
    </row>
    <row r="1161" spans="1:4">
      <c r="A1161" s="3">
        <v>69</v>
      </c>
      <c r="B1161" s="3" t="s">
        <v>259</v>
      </c>
      <c r="C1161" s="3" t="s">
        <v>2255</v>
      </c>
      <c r="D1161" s="3"/>
    </row>
    <row r="1162" spans="1:4">
      <c r="A1162" s="2">
        <v>69</v>
      </c>
      <c r="B1162" s="2" t="s">
        <v>259</v>
      </c>
      <c r="C1162" s="2" t="s">
        <v>2256</v>
      </c>
      <c r="D1162" s="2"/>
    </row>
    <row r="1163" spans="1:4">
      <c r="A1163" s="3">
        <v>69</v>
      </c>
      <c r="B1163" s="3" t="s">
        <v>259</v>
      </c>
      <c r="C1163" s="3" t="s">
        <v>2257</v>
      </c>
      <c r="D1163" s="3"/>
    </row>
    <row r="1164" spans="1:4">
      <c r="A1164" s="2">
        <v>69</v>
      </c>
      <c r="B1164" s="2" t="s">
        <v>259</v>
      </c>
      <c r="C1164" s="2" t="s">
        <v>2258</v>
      </c>
      <c r="D1164" s="2"/>
    </row>
    <row r="1165" spans="1:4">
      <c r="A1165" s="3">
        <v>69</v>
      </c>
      <c r="B1165" s="3" t="s">
        <v>259</v>
      </c>
      <c r="C1165" s="3" t="s">
        <v>2259</v>
      </c>
      <c r="D1165" s="3"/>
    </row>
    <row r="1166" spans="1:4">
      <c r="A1166" s="2">
        <v>69</v>
      </c>
      <c r="B1166" s="2" t="s">
        <v>259</v>
      </c>
      <c r="C1166" s="2" t="s">
        <v>2260</v>
      </c>
      <c r="D1166" s="2"/>
    </row>
    <row r="1167" spans="1:4">
      <c r="A1167" s="3">
        <v>69</v>
      </c>
      <c r="B1167" s="3" t="s">
        <v>259</v>
      </c>
      <c r="C1167" s="3" t="s">
        <v>2261</v>
      </c>
      <c r="D1167" s="3"/>
    </row>
    <row r="1168" spans="1:4">
      <c r="A1168" s="2">
        <v>69</v>
      </c>
      <c r="B1168" s="2" t="s">
        <v>259</v>
      </c>
      <c r="C1168" s="2" t="s">
        <v>2262</v>
      </c>
      <c r="D1168" s="2"/>
    </row>
    <row r="1169" spans="1:4">
      <c r="A1169" s="3">
        <v>69</v>
      </c>
      <c r="B1169" s="3" t="s">
        <v>259</v>
      </c>
      <c r="C1169" s="3" t="s">
        <v>2263</v>
      </c>
      <c r="D1169" s="3"/>
    </row>
    <row r="1170" spans="1:4">
      <c r="A1170" s="2">
        <v>69</v>
      </c>
      <c r="B1170" s="2" t="s">
        <v>259</v>
      </c>
      <c r="C1170" s="2" t="s">
        <v>2264</v>
      </c>
      <c r="D1170" s="2"/>
    </row>
    <row r="1171" spans="1:4">
      <c r="A1171" s="3">
        <v>69</v>
      </c>
      <c r="B1171" s="3" t="s">
        <v>259</v>
      </c>
      <c r="C1171" s="3" t="s">
        <v>2265</v>
      </c>
      <c r="D1171" s="3"/>
    </row>
    <row r="1172" spans="1:4">
      <c r="A1172" s="2">
        <v>69</v>
      </c>
      <c r="B1172" s="2" t="s">
        <v>259</v>
      </c>
      <c r="C1172" s="2" t="s">
        <v>2266</v>
      </c>
      <c r="D1172" s="2"/>
    </row>
    <row r="1173" spans="1:4">
      <c r="A1173" s="3">
        <v>69</v>
      </c>
      <c r="B1173" s="3" t="s">
        <v>259</v>
      </c>
      <c r="C1173" s="3" t="s">
        <v>2267</v>
      </c>
      <c r="D1173" s="3"/>
    </row>
    <row r="1174" spans="1:4">
      <c r="A1174" s="2">
        <v>69</v>
      </c>
      <c r="B1174" s="2" t="s">
        <v>259</v>
      </c>
      <c r="C1174" s="2" t="s">
        <v>2268</v>
      </c>
      <c r="D1174" s="2"/>
    </row>
    <row r="1175" spans="1:4">
      <c r="A1175" s="3">
        <v>69</v>
      </c>
      <c r="B1175" s="3" t="s">
        <v>259</v>
      </c>
      <c r="C1175" s="3" t="s">
        <v>2269</v>
      </c>
      <c r="D1175" s="3"/>
    </row>
    <row r="1176" spans="1:4">
      <c r="A1176" s="2">
        <v>69</v>
      </c>
      <c r="B1176" s="2" t="s">
        <v>259</v>
      </c>
      <c r="C1176" s="2" t="s">
        <v>2270</v>
      </c>
      <c r="D1176" s="2"/>
    </row>
    <row r="1177" spans="1:4">
      <c r="A1177" s="3">
        <v>69</v>
      </c>
      <c r="B1177" s="3" t="s">
        <v>259</v>
      </c>
      <c r="C1177" s="3" t="s">
        <v>2271</v>
      </c>
      <c r="D1177" s="3"/>
    </row>
    <row r="1178" spans="1:4">
      <c r="A1178" s="2">
        <v>69</v>
      </c>
      <c r="B1178" s="2" t="s">
        <v>259</v>
      </c>
      <c r="C1178" s="2" t="s">
        <v>2272</v>
      </c>
      <c r="D1178" s="2"/>
    </row>
    <row r="1179" spans="1:4">
      <c r="A1179" s="3">
        <v>69</v>
      </c>
      <c r="B1179" s="3" t="s">
        <v>259</v>
      </c>
      <c r="C1179" s="3" t="s">
        <v>2273</v>
      </c>
      <c r="D1179" s="3"/>
    </row>
    <row r="1180" spans="1:4">
      <c r="A1180" s="2">
        <v>69</v>
      </c>
      <c r="B1180" s="2" t="s">
        <v>259</v>
      </c>
      <c r="C1180" s="2" t="s">
        <v>2274</v>
      </c>
      <c r="D1180" s="2"/>
    </row>
    <row r="1181" spans="1:4">
      <c r="A1181" s="3">
        <v>69</v>
      </c>
      <c r="B1181" s="3" t="s">
        <v>259</v>
      </c>
      <c r="C1181" s="3" t="s">
        <v>2275</v>
      </c>
      <c r="D1181" s="3"/>
    </row>
    <row r="1182" spans="1:4">
      <c r="A1182" s="2">
        <v>69</v>
      </c>
      <c r="B1182" s="2" t="s">
        <v>259</v>
      </c>
      <c r="C1182" s="2" t="s">
        <v>2276</v>
      </c>
      <c r="D1182" s="2"/>
    </row>
    <row r="1183" spans="1:4">
      <c r="A1183" s="3">
        <v>69</v>
      </c>
      <c r="B1183" s="3" t="s">
        <v>259</v>
      </c>
      <c r="C1183" s="3" t="s">
        <v>2277</v>
      </c>
      <c r="D1183" s="3"/>
    </row>
    <row r="1184" spans="1:4">
      <c r="A1184" s="2">
        <v>69</v>
      </c>
      <c r="B1184" s="2" t="s">
        <v>259</v>
      </c>
      <c r="C1184" s="2" t="s">
        <v>2278</v>
      </c>
      <c r="D1184" s="2"/>
    </row>
    <row r="1185" spans="1:4">
      <c r="A1185" s="3">
        <v>69</v>
      </c>
      <c r="B1185" s="3" t="s">
        <v>259</v>
      </c>
      <c r="C1185" s="3" t="s">
        <v>2279</v>
      </c>
      <c r="D1185" s="3"/>
    </row>
    <row r="1186" spans="1:4">
      <c r="A1186" s="2">
        <v>69</v>
      </c>
      <c r="B1186" s="2" t="s">
        <v>259</v>
      </c>
      <c r="C1186" s="2" t="s">
        <v>2280</v>
      </c>
      <c r="D1186" s="2"/>
    </row>
    <row r="1187" spans="1:4">
      <c r="A1187" s="3">
        <v>69</v>
      </c>
      <c r="B1187" s="3" t="s">
        <v>259</v>
      </c>
      <c r="C1187" s="3" t="s">
        <v>2281</v>
      </c>
      <c r="D1187" s="3"/>
    </row>
    <row r="1188" spans="1:4">
      <c r="A1188" s="2">
        <v>70</v>
      </c>
      <c r="B1188" s="2" t="s">
        <v>262</v>
      </c>
      <c r="C1188" s="2" t="s">
        <v>2282</v>
      </c>
      <c r="D1188" s="2"/>
    </row>
    <row r="1189" spans="1:4">
      <c r="A1189" s="3">
        <v>70</v>
      </c>
      <c r="B1189" s="3" t="s">
        <v>262</v>
      </c>
      <c r="C1189" s="3" t="s">
        <v>2283</v>
      </c>
      <c r="D1189" s="3"/>
    </row>
    <row r="1190" spans="1:4">
      <c r="A1190" s="2">
        <v>70</v>
      </c>
      <c r="B1190" s="2" t="s">
        <v>262</v>
      </c>
      <c r="C1190" s="2" t="s">
        <v>2284</v>
      </c>
      <c r="D1190" s="2"/>
    </row>
    <row r="1191" spans="1:4">
      <c r="A1191" s="3">
        <v>70</v>
      </c>
      <c r="B1191" s="3" t="s">
        <v>262</v>
      </c>
      <c r="C1191" s="3" t="s">
        <v>2285</v>
      </c>
      <c r="D1191" s="3"/>
    </row>
    <row r="1192" spans="1:4">
      <c r="A1192" s="2">
        <v>70</v>
      </c>
      <c r="B1192" s="2" t="s">
        <v>262</v>
      </c>
      <c r="C1192" s="2" t="s">
        <v>2286</v>
      </c>
      <c r="D1192" s="2"/>
    </row>
    <row r="1193" spans="1:4">
      <c r="A1193" s="3">
        <v>70</v>
      </c>
      <c r="B1193" s="3" t="s">
        <v>262</v>
      </c>
      <c r="C1193" s="3" t="s">
        <v>2287</v>
      </c>
      <c r="D1193" s="3"/>
    </row>
    <row r="1194" spans="1:4">
      <c r="A1194" s="2">
        <v>70</v>
      </c>
      <c r="B1194" s="2" t="s">
        <v>262</v>
      </c>
      <c r="C1194" s="2" t="s">
        <v>2288</v>
      </c>
      <c r="D1194" s="2"/>
    </row>
    <row r="1195" spans="1:4">
      <c r="A1195" s="3">
        <v>70</v>
      </c>
      <c r="B1195" s="3" t="s">
        <v>262</v>
      </c>
      <c r="C1195" s="3" t="s">
        <v>2289</v>
      </c>
      <c r="D1195" s="3"/>
    </row>
    <row r="1196" spans="1:4">
      <c r="A1196" s="2">
        <v>70</v>
      </c>
      <c r="B1196" s="2" t="s">
        <v>262</v>
      </c>
      <c r="C1196" s="2" t="s">
        <v>2290</v>
      </c>
      <c r="D1196" s="2"/>
    </row>
    <row r="1197" spans="1:4">
      <c r="A1197" s="3">
        <v>70</v>
      </c>
      <c r="B1197" s="3" t="s">
        <v>262</v>
      </c>
      <c r="C1197" s="3" t="s">
        <v>2291</v>
      </c>
      <c r="D1197" s="3"/>
    </row>
    <row r="1198" spans="1:4">
      <c r="A1198" s="2">
        <v>70</v>
      </c>
      <c r="B1198" s="2" t="s">
        <v>262</v>
      </c>
      <c r="C1198" s="2" t="s">
        <v>2292</v>
      </c>
      <c r="D1198" s="2"/>
    </row>
    <row r="1199" spans="1:4">
      <c r="A1199" s="3">
        <v>70</v>
      </c>
      <c r="B1199" s="3" t="s">
        <v>262</v>
      </c>
      <c r="C1199" s="3" t="s">
        <v>2293</v>
      </c>
      <c r="D1199" s="3"/>
    </row>
    <row r="1200" spans="1:4">
      <c r="A1200" s="2">
        <v>70</v>
      </c>
      <c r="B1200" s="2" t="s">
        <v>262</v>
      </c>
      <c r="C1200" s="2" t="s">
        <v>2294</v>
      </c>
      <c r="D1200" s="2"/>
    </row>
    <row r="1201" spans="1:4">
      <c r="A1201" s="3">
        <v>70</v>
      </c>
      <c r="B1201" s="3" t="s">
        <v>262</v>
      </c>
      <c r="C1201" s="3" t="s">
        <v>2295</v>
      </c>
      <c r="D1201" s="3"/>
    </row>
    <row r="1202" spans="1:4">
      <c r="A1202" s="2">
        <v>70</v>
      </c>
      <c r="B1202" s="2" t="s">
        <v>262</v>
      </c>
      <c r="C1202" s="2" t="s">
        <v>2296</v>
      </c>
      <c r="D1202" s="2"/>
    </row>
    <row r="1203" spans="1:4">
      <c r="A1203" s="3">
        <v>70</v>
      </c>
      <c r="B1203" s="3" t="s">
        <v>262</v>
      </c>
      <c r="C1203" s="3" t="s">
        <v>2297</v>
      </c>
      <c r="D1203" s="3"/>
    </row>
    <row r="1204" spans="1:4">
      <c r="A1204" s="2">
        <v>70</v>
      </c>
      <c r="B1204" s="2" t="s">
        <v>262</v>
      </c>
      <c r="C1204" s="2" t="s">
        <v>2298</v>
      </c>
      <c r="D1204" s="2"/>
    </row>
    <row r="1205" spans="1:4">
      <c r="A1205" s="3">
        <v>70</v>
      </c>
      <c r="B1205" s="3" t="s">
        <v>262</v>
      </c>
      <c r="C1205" s="3" t="s">
        <v>2299</v>
      </c>
      <c r="D1205" s="3"/>
    </row>
    <row r="1206" spans="1:4">
      <c r="A1206" s="2">
        <v>70</v>
      </c>
      <c r="B1206" s="2" t="s">
        <v>262</v>
      </c>
      <c r="C1206" s="2" t="s">
        <v>2300</v>
      </c>
      <c r="D1206" s="2"/>
    </row>
    <row r="1207" spans="1:4">
      <c r="A1207" s="3">
        <v>70</v>
      </c>
      <c r="B1207" s="3" t="s">
        <v>262</v>
      </c>
      <c r="C1207" s="3" t="s">
        <v>2301</v>
      </c>
      <c r="D1207" s="3"/>
    </row>
    <row r="1208" spans="1:4">
      <c r="A1208" s="2">
        <v>70</v>
      </c>
      <c r="B1208" s="2" t="s">
        <v>262</v>
      </c>
      <c r="C1208" s="2" t="s">
        <v>2302</v>
      </c>
      <c r="D1208" s="2"/>
    </row>
    <row r="1209" spans="1:4">
      <c r="A1209" s="3">
        <v>71</v>
      </c>
      <c r="B1209" s="3" t="s">
        <v>235</v>
      </c>
      <c r="C1209" s="3" t="s">
        <v>2303</v>
      </c>
      <c r="D1209" s="3"/>
    </row>
    <row r="1210" spans="1:4">
      <c r="A1210" s="2">
        <v>71</v>
      </c>
      <c r="B1210" s="2" t="s">
        <v>235</v>
      </c>
      <c r="C1210" s="2" t="s">
        <v>2304</v>
      </c>
      <c r="D1210" s="2"/>
    </row>
    <row r="1211" spans="1:4">
      <c r="A1211" s="3">
        <v>71</v>
      </c>
      <c r="B1211" s="3" t="s">
        <v>235</v>
      </c>
      <c r="C1211" s="3" t="s">
        <v>2305</v>
      </c>
      <c r="D1211" s="3"/>
    </row>
    <row r="1212" spans="1:4">
      <c r="A1212" s="2">
        <v>71</v>
      </c>
      <c r="B1212" s="2" t="s">
        <v>235</v>
      </c>
      <c r="C1212" s="2" t="s">
        <v>2306</v>
      </c>
      <c r="D1212" s="2"/>
    </row>
    <row r="1213" spans="1:4">
      <c r="A1213" s="3">
        <v>71</v>
      </c>
      <c r="B1213" s="3" t="s">
        <v>235</v>
      </c>
      <c r="C1213" s="3" t="s">
        <v>2307</v>
      </c>
      <c r="D1213" s="3"/>
    </row>
    <row r="1214" spans="1:4">
      <c r="A1214" s="2">
        <v>71</v>
      </c>
      <c r="B1214" s="2" t="s">
        <v>235</v>
      </c>
      <c r="C1214" s="2" t="s">
        <v>2308</v>
      </c>
      <c r="D1214" s="2"/>
    </row>
    <row r="1215" spans="1:4">
      <c r="A1215" s="3">
        <v>71</v>
      </c>
      <c r="B1215" s="3" t="s">
        <v>235</v>
      </c>
      <c r="C1215" s="3" t="s">
        <v>2309</v>
      </c>
      <c r="D1215" s="3"/>
    </row>
    <row r="1216" spans="1:4">
      <c r="A1216" s="2">
        <v>71</v>
      </c>
      <c r="B1216" s="2" t="s">
        <v>235</v>
      </c>
      <c r="C1216" s="2" t="s">
        <v>2310</v>
      </c>
      <c r="D1216" s="2"/>
    </row>
    <row r="1217" spans="1:4">
      <c r="A1217" s="3">
        <v>71</v>
      </c>
      <c r="B1217" s="3" t="s">
        <v>235</v>
      </c>
      <c r="C1217" s="3" t="s">
        <v>2311</v>
      </c>
      <c r="D1217" s="3"/>
    </row>
    <row r="1218" spans="1:4">
      <c r="A1218" s="2">
        <v>71</v>
      </c>
      <c r="B1218" s="2" t="s">
        <v>235</v>
      </c>
      <c r="C1218" s="2" t="s">
        <v>2312</v>
      </c>
      <c r="D1218" s="2"/>
    </row>
    <row r="1219" spans="1:4">
      <c r="A1219" s="3">
        <v>71</v>
      </c>
      <c r="B1219" s="3" t="s">
        <v>235</v>
      </c>
      <c r="C1219" s="3" t="s">
        <v>2313</v>
      </c>
      <c r="D1219" s="3"/>
    </row>
    <row r="1220" spans="1:4">
      <c r="A1220" s="2">
        <v>71</v>
      </c>
      <c r="B1220" s="2" t="s">
        <v>235</v>
      </c>
      <c r="C1220" s="2" t="s">
        <v>2314</v>
      </c>
      <c r="D1220" s="2"/>
    </row>
    <row r="1221" spans="1:4">
      <c r="A1221" s="3">
        <v>71</v>
      </c>
      <c r="B1221" s="3" t="s">
        <v>235</v>
      </c>
      <c r="C1221" s="3" t="s">
        <v>2315</v>
      </c>
      <c r="D1221" s="3"/>
    </row>
    <row r="1222" spans="1:4">
      <c r="A1222" s="2">
        <v>71</v>
      </c>
      <c r="B1222" s="2" t="s">
        <v>235</v>
      </c>
      <c r="C1222" s="2" t="s">
        <v>2316</v>
      </c>
      <c r="D1222" s="2"/>
    </row>
    <row r="1223" spans="1:4">
      <c r="A1223" s="3">
        <v>71</v>
      </c>
      <c r="B1223" s="3" t="s">
        <v>235</v>
      </c>
      <c r="C1223" s="3" t="s">
        <v>2317</v>
      </c>
      <c r="D1223" s="3"/>
    </row>
    <row r="1224" spans="1:4">
      <c r="A1224" s="2">
        <v>71</v>
      </c>
      <c r="B1224" s="2" t="s">
        <v>235</v>
      </c>
      <c r="C1224" s="2" t="s">
        <v>2318</v>
      </c>
      <c r="D1224" s="2"/>
    </row>
    <row r="1225" spans="1:4">
      <c r="A1225" s="3">
        <v>71</v>
      </c>
      <c r="B1225" s="3" t="s">
        <v>235</v>
      </c>
      <c r="C1225" s="3" t="s">
        <v>2319</v>
      </c>
      <c r="D1225" s="3"/>
    </row>
    <row r="1226" spans="1:4">
      <c r="A1226" s="2">
        <v>71</v>
      </c>
      <c r="B1226" s="2" t="s">
        <v>235</v>
      </c>
      <c r="C1226" s="2" t="s">
        <v>2320</v>
      </c>
      <c r="D1226" s="2"/>
    </row>
    <row r="1227" spans="1:4">
      <c r="A1227" s="3">
        <v>71</v>
      </c>
      <c r="B1227" s="3" t="s">
        <v>235</v>
      </c>
      <c r="C1227" s="3" t="s">
        <v>2321</v>
      </c>
      <c r="D1227" s="3"/>
    </row>
    <row r="1228" spans="1:4">
      <c r="A1228" s="2">
        <v>71</v>
      </c>
      <c r="B1228" s="2" t="s">
        <v>235</v>
      </c>
      <c r="C1228" s="2" t="s">
        <v>2322</v>
      </c>
      <c r="D1228" s="2"/>
    </row>
    <row r="1229" spans="1:4">
      <c r="A1229" s="3">
        <v>71</v>
      </c>
      <c r="B1229" s="3" t="s">
        <v>235</v>
      </c>
      <c r="C1229" s="3">
        <f>X∂fα</f>
        <v>0</v>
      </c>
      <c r="D1229" s="3"/>
    </row>
    <row r="1230" spans="1:4">
      <c r="A1230" s="2">
        <v>71</v>
      </c>
      <c r="B1230" s="2" t="s">
        <v>235</v>
      </c>
      <c r="C1230" s="2" t="s">
        <v>2323</v>
      </c>
      <c r="D1230" s="2"/>
    </row>
    <row r="1231" spans="1:4">
      <c r="A1231" s="3">
        <v>71</v>
      </c>
      <c r="B1231" s="3" t="s">
        <v>235</v>
      </c>
      <c r="C1231" s="3" t="s">
        <v>2324</v>
      </c>
      <c r="D1231" s="3"/>
    </row>
    <row r="1232" spans="1:4">
      <c r="A1232" s="2">
        <v>71</v>
      </c>
      <c r="B1232" s="2" t="s">
        <v>235</v>
      </c>
      <c r="C1232" s="2" t="s">
        <v>2325</v>
      </c>
      <c r="D1232" s="2"/>
    </row>
    <row r="1233" spans="1:4">
      <c r="A1233" s="3">
        <v>71</v>
      </c>
      <c r="B1233" s="3" t="s">
        <v>235</v>
      </c>
      <c r="C1233" s="3" t="s">
        <v>2326</v>
      </c>
      <c r="D1233" s="3"/>
    </row>
    <row r="1234" spans="1:4">
      <c r="A1234" s="2">
        <v>71</v>
      </c>
      <c r="B1234" s="2" t="s">
        <v>235</v>
      </c>
      <c r="C1234" s="2" t="s">
        <v>2327</v>
      </c>
      <c r="D1234" s="2"/>
    </row>
    <row r="1235" spans="1:4">
      <c r="A1235" s="3">
        <v>71</v>
      </c>
      <c r="B1235" s="3" t="s">
        <v>235</v>
      </c>
      <c r="C1235" s="3" t="s">
        <v>2328</v>
      </c>
      <c r="D1235" s="3"/>
    </row>
    <row r="1236" spans="1:4">
      <c r="A1236" s="2">
        <v>71</v>
      </c>
      <c r="B1236" s="2" t="s">
        <v>235</v>
      </c>
      <c r="C1236" s="2" t="s">
        <v>2329</v>
      </c>
      <c r="D1236" s="2"/>
    </row>
    <row r="1237" spans="1:4">
      <c r="A1237" s="3">
        <v>71</v>
      </c>
      <c r="B1237" s="3" t="s">
        <v>235</v>
      </c>
      <c r="C1237" s="3" t="s">
        <v>2330</v>
      </c>
      <c r="D1237" s="3"/>
    </row>
    <row r="1238" spans="1:4">
      <c r="A1238" s="2">
        <v>71</v>
      </c>
      <c r="B1238" s="2" t="s">
        <v>235</v>
      </c>
      <c r="C1238" s="2" t="s">
        <v>2331</v>
      </c>
      <c r="D1238" s="2"/>
    </row>
    <row r="1239" spans="1:4">
      <c r="A1239" s="3">
        <v>71</v>
      </c>
      <c r="B1239" s="3" t="s">
        <v>235</v>
      </c>
      <c r="C1239" s="3" t="s">
        <v>2332</v>
      </c>
      <c r="D1239" s="3"/>
    </row>
    <row r="1240" spans="1:4">
      <c r="A1240" s="2">
        <v>71</v>
      </c>
      <c r="B1240" s="2" t="s">
        <v>235</v>
      </c>
      <c r="C1240" s="2" t="s">
        <v>2333</v>
      </c>
      <c r="D1240" s="2"/>
    </row>
    <row r="1241" spans="1:4">
      <c r="A1241" s="3">
        <v>71</v>
      </c>
      <c r="B1241" s="3" t="s">
        <v>235</v>
      </c>
      <c r="C1241" s="3" t="s">
        <v>2334</v>
      </c>
      <c r="D1241" s="3"/>
    </row>
    <row r="1242" spans="1:4">
      <c r="A1242" s="2">
        <v>71</v>
      </c>
      <c r="B1242" s="2" t="s">
        <v>235</v>
      </c>
      <c r="C1242" s="2" t="s">
        <v>2335</v>
      </c>
      <c r="D1242" s="2"/>
    </row>
    <row r="1243" spans="1:4">
      <c r="A1243" s="3">
        <v>71</v>
      </c>
      <c r="B1243" s="3" t="s">
        <v>235</v>
      </c>
      <c r="C1243" s="3" t="s">
        <v>2336</v>
      </c>
      <c r="D1243" s="3"/>
    </row>
    <row r="1244" spans="1:4">
      <c r="A1244" s="2">
        <v>71</v>
      </c>
      <c r="B1244" s="2" t="s">
        <v>235</v>
      </c>
      <c r="C1244" s="2" t="s">
        <v>2337</v>
      </c>
      <c r="D1244" s="2"/>
    </row>
    <row r="1245" spans="1:4">
      <c r="A1245" s="3">
        <v>71</v>
      </c>
      <c r="B1245" s="3" t="s">
        <v>235</v>
      </c>
      <c r="C1245" s="3" t="s">
        <v>2338</v>
      </c>
      <c r="D1245" s="3"/>
    </row>
    <row r="1246" spans="1:4">
      <c r="A1246" s="2">
        <v>71</v>
      </c>
      <c r="B1246" s="2" t="s">
        <v>235</v>
      </c>
      <c r="C1246" s="2" t="s">
        <v>2339</v>
      </c>
      <c r="D1246" s="2"/>
    </row>
    <row r="1247" spans="1:4">
      <c r="A1247" s="3">
        <v>71</v>
      </c>
      <c r="B1247" s="3" t="s">
        <v>235</v>
      </c>
      <c r="C1247" s="3" t="s">
        <v>2340</v>
      </c>
      <c r="D1247" s="3"/>
    </row>
    <row r="1248" spans="1:4">
      <c r="A1248" s="2">
        <v>71</v>
      </c>
      <c r="B1248" s="2" t="s">
        <v>235</v>
      </c>
      <c r="C1248" s="2" t="s">
        <v>2341</v>
      </c>
      <c r="D1248" s="2"/>
    </row>
    <row r="1249" spans="1:4">
      <c r="A1249" s="3">
        <v>71</v>
      </c>
      <c r="B1249" s="3" t="s">
        <v>235</v>
      </c>
      <c r="C1249" s="3" t="s">
        <v>2342</v>
      </c>
      <c r="D1249" s="3"/>
    </row>
    <row r="1250" spans="1:4">
      <c r="A1250" s="2">
        <v>71</v>
      </c>
      <c r="B1250" s="2" t="s">
        <v>235</v>
      </c>
      <c r="C1250" s="2" t="s">
        <v>2343</v>
      </c>
      <c r="D1250" s="2"/>
    </row>
    <row r="1251" spans="1:4">
      <c r="A1251" s="3">
        <v>71</v>
      </c>
      <c r="B1251" s="3" t="s">
        <v>235</v>
      </c>
      <c r="C1251" s="3" t="s">
        <v>2344</v>
      </c>
      <c r="D1251" s="3"/>
    </row>
    <row r="1252" spans="1:4">
      <c r="A1252" s="2">
        <v>71</v>
      </c>
      <c r="B1252" s="2" t="s">
        <v>235</v>
      </c>
      <c r="C1252" s="2" t="s">
        <v>2345</v>
      </c>
      <c r="D1252" s="2"/>
    </row>
    <row r="1253" spans="1:4">
      <c r="A1253" s="3">
        <v>71</v>
      </c>
      <c r="B1253" s="3" t="s">
        <v>235</v>
      </c>
      <c r="C1253" s="3" t="s">
        <v>2346</v>
      </c>
      <c r="D1253" s="3"/>
    </row>
    <row r="1254" spans="1:4">
      <c r="A1254" s="2">
        <v>72</v>
      </c>
      <c r="B1254" s="2" t="s">
        <v>238</v>
      </c>
      <c r="C1254" s="2" t="s">
        <v>2347</v>
      </c>
      <c r="D1254" s="2"/>
    </row>
    <row r="1255" spans="1:4">
      <c r="A1255" s="3">
        <v>72</v>
      </c>
      <c r="B1255" s="3" t="s">
        <v>238</v>
      </c>
      <c r="C1255" s="3" t="s">
        <v>2348</v>
      </c>
      <c r="D1255" s="3"/>
    </row>
    <row r="1256" spans="1:4">
      <c r="A1256" s="2">
        <v>72</v>
      </c>
      <c r="B1256" s="2" t="s">
        <v>238</v>
      </c>
      <c r="C1256" s="2" t="s">
        <v>2349</v>
      </c>
      <c r="D1256" s="2"/>
    </row>
    <row r="1257" spans="1:4">
      <c r="A1257" s="3">
        <v>72</v>
      </c>
      <c r="B1257" s="3" t="s">
        <v>238</v>
      </c>
      <c r="C1257" s="3" t="s">
        <v>2350</v>
      </c>
      <c r="D1257" s="3"/>
    </row>
    <row r="1258" spans="1:4">
      <c r="A1258" s="2">
        <v>72</v>
      </c>
      <c r="B1258" s="2" t="s">
        <v>238</v>
      </c>
      <c r="C1258" s="2" t="s">
        <v>2351</v>
      </c>
      <c r="D1258" s="2"/>
    </row>
    <row r="1259" spans="1:4">
      <c r="A1259" s="3">
        <v>72</v>
      </c>
      <c r="B1259" s="3" t="s">
        <v>238</v>
      </c>
      <c r="C1259" s="3" t="s">
        <v>2352</v>
      </c>
      <c r="D1259" s="3"/>
    </row>
    <row r="1260" spans="1:4">
      <c r="A1260" s="2">
        <v>72</v>
      </c>
      <c r="B1260" s="2" t="s">
        <v>238</v>
      </c>
      <c r="C1260" s="2" t="s">
        <v>2353</v>
      </c>
      <c r="D1260" s="2"/>
    </row>
    <row r="1261" spans="1:4">
      <c r="A1261" s="3">
        <v>72</v>
      </c>
      <c r="B1261" s="3" t="s">
        <v>238</v>
      </c>
      <c r="C1261" s="3" t="s">
        <v>2354</v>
      </c>
      <c r="D1261" s="3"/>
    </row>
    <row r="1262" spans="1:4">
      <c r="A1262" s="2">
        <v>72</v>
      </c>
      <c r="B1262" s="2" t="s">
        <v>238</v>
      </c>
      <c r="C1262" s="2" t="s">
        <v>2355</v>
      </c>
      <c r="D1262" s="2"/>
    </row>
    <row r="1263" spans="1:4">
      <c r="A1263" s="3">
        <v>72</v>
      </c>
      <c r="B1263" s="3" t="s">
        <v>238</v>
      </c>
      <c r="C1263" s="3" t="s">
        <v>2356</v>
      </c>
      <c r="D1263" s="3"/>
    </row>
    <row r="1264" spans="1:4">
      <c r="A1264" s="2">
        <v>72</v>
      </c>
      <c r="B1264" s="2" t="s">
        <v>238</v>
      </c>
      <c r="C1264" s="2" t="s">
        <v>2357</v>
      </c>
      <c r="D1264" s="2"/>
    </row>
    <row r="1265" spans="1:4">
      <c r="A1265" s="3">
        <v>72</v>
      </c>
      <c r="B1265" s="3" t="s">
        <v>238</v>
      </c>
      <c r="C1265" s="3" t="s">
        <v>2358</v>
      </c>
      <c r="D1265" s="3"/>
    </row>
    <row r="1266" spans="1:4">
      <c r="A1266" s="2">
        <v>72</v>
      </c>
      <c r="B1266" s="2" t="s">
        <v>238</v>
      </c>
      <c r="C1266" s="2" t="s">
        <v>2359</v>
      </c>
      <c r="D1266" s="2"/>
    </row>
    <row r="1267" spans="1:4">
      <c r="A1267" s="3">
        <v>72</v>
      </c>
      <c r="B1267" s="3" t="s">
        <v>238</v>
      </c>
      <c r="C1267" s="3" t="s">
        <v>2360</v>
      </c>
      <c r="D1267" s="3"/>
    </row>
    <row r="1268" spans="1:4">
      <c r="A1268" s="2">
        <v>72</v>
      </c>
      <c r="B1268" s="2" t="s">
        <v>238</v>
      </c>
      <c r="C1268" s="2" t="s">
        <v>2361</v>
      </c>
      <c r="D1268" s="2"/>
    </row>
    <row r="1269" spans="1:4">
      <c r="A1269" s="3">
        <v>72</v>
      </c>
      <c r="B1269" s="3" t="s">
        <v>238</v>
      </c>
      <c r="C1269" s="3" t="s">
        <v>2362</v>
      </c>
      <c r="D1269" s="3"/>
    </row>
    <row r="1270" spans="1:4">
      <c r="A1270" s="2">
        <v>72</v>
      </c>
      <c r="B1270" s="2" t="s">
        <v>238</v>
      </c>
      <c r="C1270" s="2" t="s">
        <v>2363</v>
      </c>
      <c r="D1270" s="2"/>
    </row>
    <row r="1271" spans="1:4">
      <c r="A1271" s="3">
        <v>72</v>
      </c>
      <c r="B1271" s="3" t="s">
        <v>238</v>
      </c>
      <c r="C1271" s="3" t="s">
        <v>2364</v>
      </c>
      <c r="D1271" s="3"/>
    </row>
    <row r="1272" spans="1:4">
      <c r="A1272" s="2">
        <v>72</v>
      </c>
      <c r="B1272" s="2" t="s">
        <v>238</v>
      </c>
      <c r="C1272" s="2" t="s">
        <v>2365</v>
      </c>
      <c r="D1272" s="2"/>
    </row>
    <row r="1273" spans="1:4">
      <c r="A1273" s="3">
        <v>72</v>
      </c>
      <c r="B1273" s="3" t="s">
        <v>238</v>
      </c>
      <c r="C1273" s="3" t="s">
        <v>2366</v>
      </c>
      <c r="D1273" s="3"/>
    </row>
    <row r="1274" spans="1:4">
      <c r="A1274" s="2">
        <v>72</v>
      </c>
      <c r="B1274" s="2" t="s">
        <v>238</v>
      </c>
      <c r="C1274" s="2" t="s">
        <v>2367</v>
      </c>
      <c r="D1274" s="2"/>
    </row>
    <row r="1275" spans="1:4">
      <c r="A1275" s="3">
        <v>72</v>
      </c>
      <c r="B1275" s="3" t="s">
        <v>238</v>
      </c>
      <c r="C1275" s="3" t="s">
        <v>2368</v>
      </c>
      <c r="D1275" s="3"/>
    </row>
    <row r="1276" spans="1:4">
      <c r="A1276" s="2">
        <v>72</v>
      </c>
      <c r="B1276" s="2" t="s">
        <v>238</v>
      </c>
      <c r="C1276" s="2" t="s">
        <v>2369</v>
      </c>
      <c r="D1276" s="2"/>
    </row>
    <row r="1277" spans="1:4">
      <c r="A1277" s="3">
        <v>72</v>
      </c>
      <c r="B1277" s="3" t="s">
        <v>238</v>
      </c>
      <c r="C1277" s="3" t="s">
        <v>2370</v>
      </c>
      <c r="D1277" s="3"/>
    </row>
    <row r="1278" spans="1:4">
      <c r="A1278" s="2">
        <v>72</v>
      </c>
      <c r="B1278" s="2" t="s">
        <v>238</v>
      </c>
      <c r="C1278" s="2" t="s">
        <v>2371</v>
      </c>
      <c r="D1278" s="2"/>
    </row>
    <row r="1279" spans="1:4">
      <c r="A1279" s="3">
        <v>72</v>
      </c>
      <c r="B1279" s="3" t="s">
        <v>238</v>
      </c>
      <c r="C1279" s="3" t="s">
        <v>2372</v>
      </c>
      <c r="D1279" s="3"/>
    </row>
    <row r="1280" spans="1:4">
      <c r="A1280" s="2">
        <v>72</v>
      </c>
      <c r="B1280" s="2" t="s">
        <v>238</v>
      </c>
      <c r="C1280" s="2" t="s">
        <v>2373</v>
      </c>
      <c r="D1280" s="2"/>
    </row>
    <row r="1281" spans="1:4">
      <c r="A1281" s="3">
        <v>72</v>
      </c>
      <c r="B1281" s="3" t="s">
        <v>238</v>
      </c>
      <c r="C1281" s="3" t="s">
        <v>2374</v>
      </c>
      <c r="D1281" s="3"/>
    </row>
    <row r="1282" spans="1:4">
      <c r="A1282" s="2">
        <v>72</v>
      </c>
      <c r="B1282" s="2" t="s">
        <v>238</v>
      </c>
      <c r="C1282" s="2" t="s">
        <v>2375</v>
      </c>
      <c r="D1282" s="2"/>
    </row>
    <row r="1283" spans="1:4">
      <c r="A1283" s="3">
        <v>72</v>
      </c>
      <c r="B1283" s="3" t="s">
        <v>238</v>
      </c>
      <c r="C1283" s="3" t="s">
        <v>2376</v>
      </c>
      <c r="D1283" s="3"/>
    </row>
    <row r="1284" spans="1:4">
      <c r="A1284" s="2">
        <v>72</v>
      </c>
      <c r="B1284" s="2" t="s">
        <v>238</v>
      </c>
      <c r="C1284" s="2" t="s">
        <v>2377</v>
      </c>
      <c r="D1284" s="2"/>
    </row>
    <row r="1285" spans="1:4">
      <c r="A1285" s="3">
        <v>72</v>
      </c>
      <c r="B1285" s="3" t="s">
        <v>238</v>
      </c>
      <c r="C1285" s="3" t="s">
        <v>2378</v>
      </c>
      <c r="D1285" s="3"/>
    </row>
    <row r="1286" spans="1:4">
      <c r="A1286" s="2">
        <v>72</v>
      </c>
      <c r="B1286" s="2" t="s">
        <v>238</v>
      </c>
      <c r="C1286" s="2" t="s">
        <v>2379</v>
      </c>
      <c r="D1286" s="2"/>
    </row>
    <row r="1287" spans="1:4">
      <c r="A1287" s="3">
        <v>72</v>
      </c>
      <c r="B1287" s="3" t="s">
        <v>238</v>
      </c>
      <c r="C1287" s="3" t="s">
        <v>2380</v>
      </c>
      <c r="D1287" s="3"/>
    </row>
    <row r="1288" spans="1:4">
      <c r="A1288" s="2">
        <v>72</v>
      </c>
      <c r="B1288" s="2" t="s">
        <v>238</v>
      </c>
      <c r="C1288" s="2" t="s">
        <v>2381</v>
      </c>
      <c r="D1288" s="2"/>
    </row>
    <row r="1289" spans="1:4">
      <c r="A1289" s="3">
        <v>72</v>
      </c>
      <c r="B1289" s="3" t="s">
        <v>238</v>
      </c>
      <c r="C1289" s="3" t="s">
        <v>2382</v>
      </c>
      <c r="D1289" s="3"/>
    </row>
    <row r="1290" spans="1:4">
      <c r="A1290" s="2">
        <v>72</v>
      </c>
      <c r="B1290" s="2" t="s">
        <v>238</v>
      </c>
      <c r="C1290" s="2" t="s">
        <v>2383</v>
      </c>
      <c r="D1290" s="2"/>
    </row>
    <row r="1291" spans="1:4">
      <c r="A1291" s="3">
        <v>72</v>
      </c>
      <c r="B1291" s="3" t="s">
        <v>238</v>
      </c>
      <c r="C1291" s="3" t="s">
        <v>2384</v>
      </c>
      <c r="D1291" s="3"/>
    </row>
    <row r="1292" spans="1:4">
      <c r="A1292" s="2">
        <v>72</v>
      </c>
      <c r="B1292" s="2" t="s">
        <v>238</v>
      </c>
      <c r="C1292" s="2" t="s">
        <v>2385</v>
      </c>
      <c r="D1292" s="2"/>
    </row>
    <row r="1293" spans="1:4">
      <c r="A1293" s="3">
        <v>72</v>
      </c>
      <c r="B1293" s="3" t="s">
        <v>238</v>
      </c>
      <c r="C1293" s="3" t="s">
        <v>2386</v>
      </c>
      <c r="D1293" s="3"/>
    </row>
    <row r="1294" spans="1:4">
      <c r="A1294" s="2">
        <v>72</v>
      </c>
      <c r="B1294" s="2" t="s">
        <v>238</v>
      </c>
      <c r="C1294" s="2" t="s">
        <v>2387</v>
      </c>
      <c r="D1294" s="2"/>
    </row>
    <row r="1295" spans="1:4">
      <c r="A1295" s="3">
        <v>72</v>
      </c>
      <c r="B1295" s="3" t="s">
        <v>238</v>
      </c>
      <c r="C1295" s="3" t="s">
        <v>2388</v>
      </c>
      <c r="D1295" s="3"/>
    </row>
    <row r="1296" spans="1:4">
      <c r="A1296" s="2">
        <v>72</v>
      </c>
      <c r="B1296" s="2" t="s">
        <v>238</v>
      </c>
      <c r="C1296" s="2" t="s">
        <v>2389</v>
      </c>
      <c r="D1296" s="2"/>
    </row>
    <row r="1297" spans="1:4">
      <c r="A1297" s="3">
        <v>72</v>
      </c>
      <c r="B1297" s="3" t="s">
        <v>238</v>
      </c>
      <c r="C1297" s="3" t="s">
        <v>2390</v>
      </c>
      <c r="D1297" s="3"/>
    </row>
    <row r="1298" spans="1:4">
      <c r="A1298" s="2">
        <v>72</v>
      </c>
      <c r="B1298" s="2" t="s">
        <v>238</v>
      </c>
      <c r="C1298" s="2" t="s">
        <v>2391</v>
      </c>
      <c r="D1298" s="2"/>
    </row>
    <row r="1299" spans="1:4">
      <c r="A1299" s="3">
        <v>72</v>
      </c>
      <c r="B1299" s="3" t="s">
        <v>238</v>
      </c>
      <c r="C1299" s="3" t="s">
        <v>2392</v>
      </c>
      <c r="D1299" s="3"/>
    </row>
    <row r="1300" spans="1:4">
      <c r="A1300" s="2">
        <v>72</v>
      </c>
      <c r="B1300" s="2" t="s">
        <v>238</v>
      </c>
      <c r="C1300" s="2" t="s">
        <v>2393</v>
      </c>
      <c r="D1300" s="2"/>
    </row>
    <row r="1301" spans="1:4">
      <c r="A1301" s="3">
        <v>72</v>
      </c>
      <c r="B1301" s="3" t="s">
        <v>238</v>
      </c>
      <c r="C1301" s="3" t="s">
        <v>2394</v>
      </c>
      <c r="D1301" s="3"/>
    </row>
    <row r="1302" spans="1:4">
      <c r="A1302" s="2">
        <v>72</v>
      </c>
      <c r="B1302" s="2" t="s">
        <v>238</v>
      </c>
      <c r="C1302" s="2" t="s">
        <v>2395</v>
      </c>
      <c r="D1302" s="2"/>
    </row>
    <row r="1303" spans="1:4">
      <c r="A1303" s="3">
        <v>72</v>
      </c>
      <c r="B1303" s="3" t="s">
        <v>238</v>
      </c>
      <c r="C1303" s="3" t="s">
        <v>2396</v>
      </c>
      <c r="D1303" s="3"/>
    </row>
    <row r="1304" spans="1:4">
      <c r="A1304" s="2">
        <v>73</v>
      </c>
      <c r="B1304" s="2" t="s">
        <v>240</v>
      </c>
      <c r="C1304" s="2" t="s">
        <v>2397</v>
      </c>
      <c r="D1304" s="2"/>
    </row>
    <row r="1305" spans="1:4">
      <c r="A1305" s="3">
        <v>73</v>
      </c>
      <c r="B1305" s="3" t="s">
        <v>240</v>
      </c>
      <c r="C1305" s="3" t="s">
        <v>2398</v>
      </c>
      <c r="D1305" s="3"/>
    </row>
    <row r="1306" spans="1:4">
      <c r="A1306" s="2">
        <v>73</v>
      </c>
      <c r="B1306" s="2" t="s">
        <v>240</v>
      </c>
      <c r="C1306" s="2" t="s">
        <v>2399</v>
      </c>
      <c r="D1306" s="2"/>
    </row>
    <row r="1307" spans="1:4">
      <c r="A1307" s="3">
        <v>73</v>
      </c>
      <c r="B1307" s="3" t="s">
        <v>240</v>
      </c>
      <c r="C1307" s="3" t="s">
        <v>2400</v>
      </c>
      <c r="D1307" s="3"/>
    </row>
    <row r="1308" spans="1:4">
      <c r="A1308" s="2">
        <v>74</v>
      </c>
      <c r="B1308" s="2" t="s">
        <v>293</v>
      </c>
      <c r="C1308" s="2" t="s">
        <v>2401</v>
      </c>
      <c r="D1308" s="2"/>
    </row>
    <row r="1309" spans="1:4">
      <c r="A1309" s="3">
        <v>74</v>
      </c>
      <c r="B1309" s="3" t="s">
        <v>293</v>
      </c>
      <c r="C1309" s="3" t="s">
        <v>2402</v>
      </c>
      <c r="D1309" s="3"/>
    </row>
    <row r="1310" spans="1:4">
      <c r="A1310" s="2">
        <v>74</v>
      </c>
      <c r="B1310" s="2" t="s">
        <v>293</v>
      </c>
      <c r="C1310" s="2" t="s">
        <v>2403</v>
      </c>
      <c r="D1310" s="2"/>
    </row>
    <row r="1311" spans="1:4">
      <c r="A1311" s="3">
        <v>74</v>
      </c>
      <c r="B1311" s="3" t="s">
        <v>293</v>
      </c>
      <c r="C1311" s="3" t="s">
        <v>2404</v>
      </c>
      <c r="D1311" s="3"/>
    </row>
    <row r="1312" spans="1:4">
      <c r="A1312" s="2">
        <v>74</v>
      </c>
      <c r="B1312" s="2" t="s">
        <v>293</v>
      </c>
      <c r="C1312" s="2" t="s">
        <v>2405</v>
      </c>
      <c r="D1312" s="2"/>
    </row>
    <row r="1313" spans="1:4">
      <c r="A1313" s="3">
        <v>74</v>
      </c>
      <c r="B1313" s="3" t="s">
        <v>293</v>
      </c>
      <c r="C1313" s="3" t="s">
        <v>2406</v>
      </c>
      <c r="D1313" s="3"/>
    </row>
    <row r="1314" spans="1:4">
      <c r="A1314" s="2">
        <v>74</v>
      </c>
      <c r="B1314" s="2" t="s">
        <v>293</v>
      </c>
      <c r="C1314" s="2" t="s">
        <v>2407</v>
      </c>
      <c r="D1314" s="2"/>
    </row>
    <row r="1315" spans="1:4">
      <c r="A1315" s="3">
        <v>74</v>
      </c>
      <c r="B1315" s="3" t="s">
        <v>293</v>
      </c>
      <c r="C1315" s="3" t="s">
        <v>2408</v>
      </c>
      <c r="D1315" s="3"/>
    </row>
    <row r="1316" spans="1:4">
      <c r="A1316" s="2">
        <v>74</v>
      </c>
      <c r="B1316" s="2" t="s">
        <v>293</v>
      </c>
      <c r="C1316" s="2" t="s">
        <v>2409</v>
      </c>
      <c r="D1316" s="2"/>
    </row>
    <row r="1317" spans="1:4">
      <c r="A1317" s="3">
        <v>74</v>
      </c>
      <c r="B1317" s="3" t="s">
        <v>293</v>
      </c>
      <c r="C1317" s="3" t="s">
        <v>2410</v>
      </c>
      <c r="D1317" s="3"/>
    </row>
    <row r="1318" spans="1:4">
      <c r="A1318" s="2">
        <v>74</v>
      </c>
      <c r="B1318" s="2" t="s">
        <v>293</v>
      </c>
      <c r="C1318" s="2" t="s">
        <v>2411</v>
      </c>
      <c r="D1318" s="2"/>
    </row>
    <row r="1319" spans="1:4">
      <c r="A1319" s="3">
        <v>74</v>
      </c>
      <c r="B1319" s="3" t="s">
        <v>293</v>
      </c>
      <c r="C1319" s="3" t="s">
        <v>2412</v>
      </c>
      <c r="D1319" s="3"/>
    </row>
    <row r="1320" spans="1:4">
      <c r="A1320" s="2">
        <v>74</v>
      </c>
      <c r="B1320" s="2" t="s">
        <v>293</v>
      </c>
      <c r="C1320" s="2" t="s">
        <v>2413</v>
      </c>
      <c r="D1320" s="2"/>
    </row>
    <row r="1321" spans="1:4">
      <c r="A1321" s="3">
        <v>74</v>
      </c>
      <c r="B1321" s="3" t="s">
        <v>293</v>
      </c>
      <c r="C1321" s="3" t="s">
        <v>2414</v>
      </c>
      <c r="D1321" s="3"/>
    </row>
    <row r="1322" spans="1:4">
      <c r="A1322" s="2">
        <v>74</v>
      </c>
      <c r="B1322" s="2" t="s">
        <v>293</v>
      </c>
      <c r="C1322" s="2" t="s">
        <v>2415</v>
      </c>
      <c r="D1322" s="2"/>
    </row>
    <row r="1323" spans="1:4">
      <c r="A1323" s="3">
        <v>74</v>
      </c>
      <c r="B1323" s="3" t="s">
        <v>293</v>
      </c>
      <c r="C1323" s="3" t="s">
        <v>2416</v>
      </c>
      <c r="D1323" s="3"/>
    </row>
    <row r="1324" spans="1:4">
      <c r="A1324" s="2">
        <v>74</v>
      </c>
      <c r="B1324" s="2" t="s">
        <v>293</v>
      </c>
      <c r="C1324" s="2" t="s">
        <v>2417</v>
      </c>
      <c r="D1324" s="2"/>
    </row>
    <row r="1325" spans="1:4">
      <c r="A1325" s="3">
        <v>74</v>
      </c>
      <c r="B1325" s="3" t="s">
        <v>293</v>
      </c>
      <c r="C1325" s="3" t="s">
        <v>2418</v>
      </c>
      <c r="D1325" s="3"/>
    </row>
    <row r="1326" spans="1:4">
      <c r="A1326" s="2">
        <v>74</v>
      </c>
      <c r="B1326" s="2" t="s">
        <v>293</v>
      </c>
      <c r="C1326" s="2" t="s">
        <v>2419</v>
      </c>
      <c r="D1326" s="2"/>
    </row>
    <row r="1327" spans="1:4">
      <c r="A1327" s="3">
        <v>74</v>
      </c>
      <c r="B1327" s="3" t="s">
        <v>293</v>
      </c>
      <c r="C1327" s="3" t="s">
        <v>2420</v>
      </c>
      <c r="D1327" s="3"/>
    </row>
    <row r="1328" spans="1:4">
      <c r="A1328" s="2">
        <v>74</v>
      </c>
      <c r="B1328" s="2" t="s">
        <v>293</v>
      </c>
      <c r="C1328" s="2" t="s">
        <v>2421</v>
      </c>
      <c r="D1328" s="2"/>
    </row>
    <row r="1329" spans="1:4">
      <c r="A1329" s="3">
        <v>74</v>
      </c>
      <c r="B1329" s="3" t="s">
        <v>293</v>
      </c>
      <c r="C1329" s="3" t="s">
        <v>2422</v>
      </c>
      <c r="D1329" s="3"/>
    </row>
    <row r="1330" spans="1:4">
      <c r="A1330" s="2">
        <v>74</v>
      </c>
      <c r="B1330" s="2" t="s">
        <v>293</v>
      </c>
      <c r="C1330" s="2" t="s">
        <v>2423</v>
      </c>
      <c r="D1330" s="2"/>
    </row>
    <row r="1331" spans="1:4">
      <c r="A1331" s="3">
        <v>74</v>
      </c>
      <c r="B1331" s="3" t="s">
        <v>293</v>
      </c>
      <c r="C1331" s="3" t="s">
        <v>2424</v>
      </c>
      <c r="D1331" s="3"/>
    </row>
    <row r="1332" spans="1:4">
      <c r="A1332" s="2">
        <v>74</v>
      </c>
      <c r="B1332" s="2" t="s">
        <v>293</v>
      </c>
      <c r="C1332" s="2" t="s">
        <v>2425</v>
      </c>
      <c r="D1332" s="2"/>
    </row>
    <row r="1333" spans="1:4">
      <c r="A1333" s="3">
        <v>74</v>
      </c>
      <c r="B1333" s="3" t="s">
        <v>293</v>
      </c>
      <c r="C1333" s="3" t="s">
        <v>2426</v>
      </c>
      <c r="D1333" s="3"/>
    </row>
    <row r="1334" spans="1:4">
      <c r="A1334" s="2">
        <v>74</v>
      </c>
      <c r="B1334" s="2" t="s">
        <v>293</v>
      </c>
      <c r="C1334" s="2" t="s">
        <v>2427</v>
      </c>
      <c r="D1334" s="2"/>
    </row>
    <row r="1335" spans="1:4">
      <c r="A1335" s="3">
        <v>74</v>
      </c>
      <c r="B1335" s="3" t="s">
        <v>293</v>
      </c>
      <c r="C1335" s="3" t="s">
        <v>2428</v>
      </c>
      <c r="D1335" s="3"/>
    </row>
    <row r="1336" spans="1:4">
      <c r="A1336" s="2">
        <v>74</v>
      </c>
      <c r="B1336" s="2" t="s">
        <v>293</v>
      </c>
      <c r="C1336" s="2" t="s">
        <v>2429</v>
      </c>
      <c r="D1336" s="2"/>
    </row>
    <row r="1337" spans="1:4">
      <c r="A1337" s="3">
        <v>74</v>
      </c>
      <c r="B1337" s="3" t="s">
        <v>293</v>
      </c>
      <c r="C1337" s="3" t="s">
        <v>2430</v>
      </c>
      <c r="D1337" s="3"/>
    </row>
    <row r="1338" spans="1:4">
      <c r="A1338" s="2">
        <v>74</v>
      </c>
      <c r="B1338" s="2" t="s">
        <v>293</v>
      </c>
      <c r="C1338" s="2" t="s">
        <v>2431</v>
      </c>
      <c r="D1338" s="2"/>
    </row>
    <row r="1339" spans="1:4">
      <c r="A1339" s="3">
        <v>74</v>
      </c>
      <c r="B1339" s="3" t="s">
        <v>293</v>
      </c>
      <c r="C1339" s="3" t="s">
        <v>2432</v>
      </c>
      <c r="D1339" s="3"/>
    </row>
    <row r="1340" spans="1:4">
      <c r="A1340" s="2">
        <v>74</v>
      </c>
      <c r="B1340" s="2" t="s">
        <v>293</v>
      </c>
      <c r="C1340" s="2" t="s">
        <v>2433</v>
      </c>
      <c r="D1340" s="2"/>
    </row>
    <row r="1341" spans="1:4">
      <c r="A1341" s="3">
        <v>74</v>
      </c>
      <c r="B1341" s="3" t="s">
        <v>293</v>
      </c>
      <c r="C1341" s="3" t="s">
        <v>2434</v>
      </c>
      <c r="D1341" s="3"/>
    </row>
    <row r="1342" spans="1:4">
      <c r="A1342" s="2">
        <v>74</v>
      </c>
      <c r="B1342" s="2" t="s">
        <v>293</v>
      </c>
      <c r="C1342" s="2" t="s">
        <v>2435</v>
      </c>
      <c r="D1342" s="2"/>
    </row>
    <row r="1343" spans="1:4">
      <c r="A1343" s="3">
        <v>74</v>
      </c>
      <c r="B1343" s="3" t="s">
        <v>293</v>
      </c>
      <c r="C1343" s="3" t="s">
        <v>2436</v>
      </c>
      <c r="D1343" s="3"/>
    </row>
    <row r="1344" spans="1:4">
      <c r="A1344" s="2">
        <v>74</v>
      </c>
      <c r="B1344" s="2" t="s">
        <v>293</v>
      </c>
      <c r="C1344" s="2" t="s">
        <v>2437</v>
      </c>
      <c r="D1344" s="2"/>
    </row>
    <row r="1345" spans="1:4">
      <c r="A1345" s="3">
        <v>74</v>
      </c>
      <c r="B1345" s="3" t="s">
        <v>293</v>
      </c>
      <c r="C1345" s="3" t="s">
        <v>2438</v>
      </c>
      <c r="D1345" s="3"/>
    </row>
    <row r="1346" spans="1:4">
      <c r="A1346" s="2">
        <v>74</v>
      </c>
      <c r="B1346" s="2" t="s">
        <v>293</v>
      </c>
      <c r="C1346" s="2" t="s">
        <v>2439</v>
      </c>
      <c r="D1346" s="2"/>
    </row>
    <row r="1347" spans="1:4">
      <c r="A1347" s="3">
        <v>74</v>
      </c>
      <c r="B1347" s="3" t="s">
        <v>293</v>
      </c>
      <c r="C1347" s="3" t="s">
        <v>2440</v>
      </c>
      <c r="D1347" s="3"/>
    </row>
    <row r="1348" spans="1:4">
      <c r="A1348" s="2">
        <v>74</v>
      </c>
      <c r="B1348" s="2" t="s">
        <v>293</v>
      </c>
      <c r="C1348" s="2" t="s">
        <v>2441</v>
      </c>
      <c r="D1348" s="2"/>
    </row>
    <row r="1349" spans="1:4">
      <c r="A1349" s="3">
        <v>74</v>
      </c>
      <c r="B1349" s="3" t="s">
        <v>293</v>
      </c>
      <c r="C1349" s="3" t="s">
        <v>2442</v>
      </c>
      <c r="D1349" s="3"/>
    </row>
    <row r="1350" spans="1:4">
      <c r="A1350" s="2">
        <v>74</v>
      </c>
      <c r="B1350" s="2" t="s">
        <v>293</v>
      </c>
      <c r="C1350" s="2" t="s">
        <v>2443</v>
      </c>
      <c r="D1350" s="2"/>
    </row>
    <row r="1351" spans="1:4">
      <c r="A1351" s="3">
        <v>74</v>
      </c>
      <c r="B1351" s="3" t="s">
        <v>293</v>
      </c>
      <c r="C1351" s="3" t="s">
        <v>2444</v>
      </c>
      <c r="D1351" s="3"/>
    </row>
    <row r="1352" spans="1:4">
      <c r="A1352" s="2">
        <v>74</v>
      </c>
      <c r="B1352" s="2" t="s">
        <v>293</v>
      </c>
      <c r="C1352" s="2" t="s">
        <v>2445</v>
      </c>
      <c r="D1352" s="2"/>
    </row>
    <row r="1353" spans="1:4">
      <c r="A1353" s="3">
        <v>74</v>
      </c>
      <c r="B1353" s="3" t="s">
        <v>293</v>
      </c>
      <c r="C1353" s="3" t="s">
        <v>2446</v>
      </c>
      <c r="D1353" s="3"/>
    </row>
    <row r="1354" spans="1:4">
      <c r="A1354" s="2">
        <v>74</v>
      </c>
      <c r="B1354" s="2" t="s">
        <v>293</v>
      </c>
      <c r="C1354" s="2" t="s">
        <v>2447</v>
      </c>
      <c r="D1354" s="2"/>
    </row>
    <row r="1355" spans="1:4">
      <c r="A1355" s="3">
        <v>74</v>
      </c>
      <c r="B1355" s="3" t="s">
        <v>293</v>
      </c>
      <c r="C1355" s="3" t="s">
        <v>2448</v>
      </c>
      <c r="D1355" s="3"/>
    </row>
    <row r="1356" spans="1:4">
      <c r="A1356" s="2">
        <v>74</v>
      </c>
      <c r="B1356" s="2" t="s">
        <v>293</v>
      </c>
      <c r="C1356" s="2" t="s">
        <v>2449</v>
      </c>
      <c r="D1356" s="2"/>
    </row>
    <row r="1357" spans="1:4">
      <c r="A1357" s="3">
        <v>74</v>
      </c>
      <c r="B1357" s="3" t="s">
        <v>293</v>
      </c>
      <c r="C1357" s="3" t="s">
        <v>2450</v>
      </c>
      <c r="D1357" s="3"/>
    </row>
    <row r="1358" spans="1:4">
      <c r="A1358" s="2">
        <v>75</v>
      </c>
      <c r="B1358" s="2" t="s">
        <v>230</v>
      </c>
      <c r="C1358" s="2" t="s">
        <v>2451</v>
      </c>
      <c r="D1358" s="2"/>
    </row>
    <row r="1359" spans="1:4">
      <c r="A1359" s="3">
        <v>75</v>
      </c>
      <c r="B1359" s="3" t="s">
        <v>230</v>
      </c>
      <c r="C1359" s="3" t="s">
        <v>2452</v>
      </c>
      <c r="D1359" s="3"/>
    </row>
    <row r="1360" spans="1:4">
      <c r="A1360" s="2">
        <v>75</v>
      </c>
      <c r="B1360" s="2" t="s">
        <v>230</v>
      </c>
      <c r="C1360" s="2" t="s">
        <v>2453</v>
      </c>
      <c r="D1360" s="2"/>
    </row>
    <row r="1361" spans="1:4">
      <c r="A1361" s="3">
        <v>75</v>
      </c>
      <c r="B1361" s="3" t="s">
        <v>230</v>
      </c>
      <c r="C1361" s="3" t="s">
        <v>2454</v>
      </c>
      <c r="D1361" s="3"/>
    </row>
    <row r="1362" spans="1:4">
      <c r="A1362" s="2">
        <v>75</v>
      </c>
      <c r="B1362" s="2" t="s">
        <v>230</v>
      </c>
      <c r="C1362" s="2" t="s">
        <v>2455</v>
      </c>
      <c r="D1362" s="2"/>
    </row>
    <row r="1363" spans="1:4">
      <c r="A1363" s="3">
        <v>75</v>
      </c>
      <c r="B1363" s="3" t="s">
        <v>230</v>
      </c>
      <c r="C1363" s="3" t="s">
        <v>2456</v>
      </c>
      <c r="D1363" s="3"/>
    </row>
    <row r="1364" spans="1:4">
      <c r="A1364" s="2">
        <v>75</v>
      </c>
      <c r="B1364" s="2" t="s">
        <v>230</v>
      </c>
      <c r="C1364" s="2" t="s">
        <v>2457</v>
      </c>
      <c r="D1364" s="2"/>
    </row>
    <row r="1365" spans="1:4">
      <c r="A1365" s="3">
        <v>75</v>
      </c>
      <c r="B1365" s="3" t="s">
        <v>230</v>
      </c>
      <c r="C1365" s="3" t="s">
        <v>2458</v>
      </c>
      <c r="D1365" s="3"/>
    </row>
    <row r="1366" spans="1:4">
      <c r="A1366" s="2">
        <v>75</v>
      </c>
      <c r="B1366" s="2" t="s">
        <v>230</v>
      </c>
      <c r="C1366" s="2" t="s">
        <v>2459</v>
      </c>
      <c r="D1366" s="2"/>
    </row>
    <row r="1367" spans="1:4">
      <c r="A1367" s="3">
        <v>75</v>
      </c>
      <c r="B1367" s="3" t="s">
        <v>230</v>
      </c>
      <c r="C1367" s="3" t="s">
        <v>2460</v>
      </c>
      <c r="D1367" s="3"/>
    </row>
    <row r="1368" spans="1:4">
      <c r="A1368" s="2">
        <v>75</v>
      </c>
      <c r="B1368" s="2" t="s">
        <v>230</v>
      </c>
      <c r="C1368" s="2" t="s">
        <v>2461</v>
      </c>
      <c r="D1368" s="2"/>
    </row>
    <row r="1369" spans="1:4">
      <c r="A1369" s="3">
        <v>75</v>
      </c>
      <c r="B1369" s="3" t="s">
        <v>230</v>
      </c>
      <c r="C1369" s="3" t="s">
        <v>2457</v>
      </c>
      <c r="D1369" s="3"/>
    </row>
    <row r="1370" spans="1:4">
      <c r="A1370" s="2">
        <v>75</v>
      </c>
      <c r="B1370" s="2" t="s">
        <v>230</v>
      </c>
      <c r="C1370" s="2" t="s">
        <v>2462</v>
      </c>
      <c r="D1370" s="2"/>
    </row>
    <row r="1371" spans="1:4">
      <c r="A1371" s="3">
        <v>75</v>
      </c>
      <c r="B1371" s="3" t="s">
        <v>230</v>
      </c>
      <c r="C1371" s="3" t="s">
        <v>2463</v>
      </c>
      <c r="D1371" s="3"/>
    </row>
    <row r="1372" spans="1:4">
      <c r="A1372" s="2">
        <v>75</v>
      </c>
      <c r="B1372" s="2" t="s">
        <v>230</v>
      </c>
      <c r="C1372" s="2" t="s">
        <v>2464</v>
      </c>
      <c r="D1372" s="2"/>
    </row>
    <row r="1373" spans="1:4">
      <c r="A1373" s="3">
        <v>75</v>
      </c>
      <c r="B1373" s="3" t="s">
        <v>230</v>
      </c>
      <c r="C1373" s="3" t="s">
        <v>2465</v>
      </c>
      <c r="D1373" s="3"/>
    </row>
    <row r="1374" spans="1:4">
      <c r="A1374" s="2">
        <v>76</v>
      </c>
      <c r="B1374" s="2" t="s">
        <v>268</v>
      </c>
      <c r="C1374" s="2" t="s">
        <v>2466</v>
      </c>
      <c r="D1374" s="2"/>
    </row>
    <row r="1375" spans="1:4">
      <c r="A1375" s="3">
        <v>76</v>
      </c>
      <c r="B1375" s="3" t="s">
        <v>268</v>
      </c>
      <c r="C1375" s="3" t="s">
        <v>2467</v>
      </c>
      <c r="D1375" s="3"/>
    </row>
    <row r="1376" spans="1:4">
      <c r="A1376" s="2">
        <v>76</v>
      </c>
      <c r="B1376" s="2" t="s">
        <v>268</v>
      </c>
      <c r="C1376" s="2" t="s">
        <v>2468</v>
      </c>
      <c r="D1376" s="2"/>
    </row>
    <row r="1377" spans="1:4">
      <c r="A1377" s="3">
        <v>76</v>
      </c>
      <c r="B1377" s="3" t="s">
        <v>268</v>
      </c>
      <c r="C1377" s="3" t="s">
        <v>2469</v>
      </c>
      <c r="D1377" s="3"/>
    </row>
    <row r="1378" spans="1:4">
      <c r="A1378" s="2">
        <v>76</v>
      </c>
      <c r="B1378" s="2" t="s">
        <v>268</v>
      </c>
      <c r="C1378" s="2" t="s">
        <v>2470</v>
      </c>
      <c r="D1378" s="2"/>
    </row>
    <row r="1379" spans="1:4">
      <c r="A1379" s="3">
        <v>76</v>
      </c>
      <c r="B1379" s="3" t="s">
        <v>268</v>
      </c>
      <c r="C1379" s="3" t="s">
        <v>2471</v>
      </c>
      <c r="D1379" s="3"/>
    </row>
    <row r="1380" spans="1:4">
      <c r="A1380" s="2">
        <v>76</v>
      </c>
      <c r="B1380" s="2" t="s">
        <v>268</v>
      </c>
      <c r="C1380" s="2" t="s">
        <v>2472</v>
      </c>
      <c r="D1380" s="2"/>
    </row>
    <row r="1381" spans="1:4">
      <c r="A1381" s="3">
        <v>76</v>
      </c>
      <c r="B1381" s="3" t="s">
        <v>268</v>
      </c>
      <c r="C1381" s="3" t="s">
        <v>2473</v>
      </c>
      <c r="D1381" s="3"/>
    </row>
    <row r="1382" spans="1:4">
      <c r="A1382" s="2">
        <v>78</v>
      </c>
      <c r="B1382" s="2" t="s">
        <v>301</v>
      </c>
      <c r="C1382" s="2" t="s">
        <v>2474</v>
      </c>
      <c r="D1382" s="2"/>
    </row>
    <row r="1383" spans="1:4">
      <c r="A1383" s="3">
        <v>79</v>
      </c>
      <c r="B1383" s="3" t="s">
        <v>246</v>
      </c>
      <c r="C1383" s="3" t="s">
        <v>2475</v>
      </c>
      <c r="D1383" s="3"/>
    </row>
    <row r="1384" spans="1:4">
      <c r="A1384" s="2">
        <v>79</v>
      </c>
      <c r="B1384" s="2" t="s">
        <v>246</v>
      </c>
      <c r="C1384" s="2" t="s">
        <v>2476</v>
      </c>
      <c r="D1384" s="2"/>
    </row>
    <row r="1385" spans="1:4">
      <c r="A1385" s="3">
        <v>79</v>
      </c>
      <c r="B1385" s="3" t="s">
        <v>246</v>
      </c>
      <c r="C1385" s="3" t="s">
        <v>2477</v>
      </c>
      <c r="D1385" s="3"/>
    </row>
    <row r="1386" spans="1:4">
      <c r="A1386" s="2">
        <v>79</v>
      </c>
      <c r="B1386" s="2" t="s">
        <v>246</v>
      </c>
      <c r="C1386" s="2" t="s">
        <v>2478</v>
      </c>
      <c r="D1386" s="2"/>
    </row>
    <row r="1387" spans="1:4">
      <c r="A1387" s="3">
        <v>79</v>
      </c>
      <c r="B1387" s="3" t="s">
        <v>246</v>
      </c>
      <c r="C1387" s="3" t="s">
        <v>2479</v>
      </c>
      <c r="D1387" s="3"/>
    </row>
    <row r="1388" spans="1:4">
      <c r="A1388" s="2">
        <v>79</v>
      </c>
      <c r="B1388" s="2" t="s">
        <v>246</v>
      </c>
      <c r="C1388" s="2" t="s">
        <v>2480</v>
      </c>
      <c r="D1388" s="2"/>
    </row>
    <row r="1389" spans="1:4">
      <c r="A1389" s="3">
        <v>79</v>
      </c>
      <c r="B1389" s="3" t="s">
        <v>246</v>
      </c>
      <c r="C1389" s="3" t="s">
        <v>2481</v>
      </c>
      <c r="D1389" s="3"/>
    </row>
    <row r="1390" spans="1:4">
      <c r="A1390" s="2">
        <v>79</v>
      </c>
      <c r="B1390" s="2" t="s">
        <v>246</v>
      </c>
      <c r="C1390" s="2" t="s">
        <v>2482</v>
      </c>
      <c r="D1390" s="2"/>
    </row>
    <row r="1391" spans="1:4">
      <c r="A1391" s="3">
        <v>79</v>
      </c>
      <c r="B1391" s="3" t="s">
        <v>246</v>
      </c>
      <c r="C1391" s="3" t="s">
        <v>2483</v>
      </c>
      <c r="D1391" s="3"/>
    </row>
    <row r="1392" spans="1:4">
      <c r="A1392" s="2">
        <v>79</v>
      </c>
      <c r="B1392" s="2" t="s">
        <v>246</v>
      </c>
      <c r="C1392" s="2" t="s">
        <v>2484</v>
      </c>
      <c r="D1392" s="2"/>
    </row>
    <row r="1393" spans="1:4">
      <c r="A1393" s="3">
        <v>79</v>
      </c>
      <c r="B1393" s="3" t="s">
        <v>246</v>
      </c>
      <c r="C1393" s="3" t="s">
        <v>2485</v>
      </c>
      <c r="D1393" s="3"/>
    </row>
    <row r="1394" spans="1:4">
      <c r="A1394" s="2">
        <v>79</v>
      </c>
      <c r="B1394" s="2" t="s">
        <v>246</v>
      </c>
      <c r="C1394" s="2" t="s">
        <v>2486</v>
      </c>
      <c r="D1394" s="2"/>
    </row>
    <row r="1395" spans="1:4">
      <c r="A1395" s="3">
        <v>79</v>
      </c>
      <c r="B1395" s="3" t="s">
        <v>246</v>
      </c>
      <c r="C1395" s="3" t="s">
        <v>2487</v>
      </c>
      <c r="D1395" s="3"/>
    </row>
    <row r="1396" spans="1:4">
      <c r="A1396" s="2">
        <v>79</v>
      </c>
      <c r="B1396" s="2" t="s">
        <v>246</v>
      </c>
      <c r="C1396" s="2" t="s">
        <v>2488</v>
      </c>
      <c r="D1396" s="2"/>
    </row>
    <row r="1397" spans="1:4">
      <c r="A1397" s="3">
        <v>79</v>
      </c>
      <c r="B1397" s="3" t="s">
        <v>246</v>
      </c>
      <c r="C1397" s="3" t="s">
        <v>2489</v>
      </c>
      <c r="D1397" s="3"/>
    </row>
    <row r="1398" spans="1:4">
      <c r="A1398" s="2">
        <v>79</v>
      </c>
      <c r="B1398" s="2" t="s">
        <v>246</v>
      </c>
      <c r="C1398" s="2" t="s">
        <v>2490</v>
      </c>
      <c r="D1398" s="2"/>
    </row>
    <row r="1399" spans="1:4">
      <c r="A1399" s="3">
        <v>79</v>
      </c>
      <c r="B1399" s="3" t="s">
        <v>246</v>
      </c>
      <c r="C1399" s="3" t="s">
        <v>2491</v>
      </c>
      <c r="D1399" s="3"/>
    </row>
    <row r="1400" spans="1:4">
      <c r="A1400" s="2">
        <v>79</v>
      </c>
      <c r="B1400" s="2" t="s">
        <v>246</v>
      </c>
      <c r="C1400" s="2">
        <f>n0⋅e−r2/σ2</f>
        <v>0</v>
      </c>
      <c r="D1400" s="2"/>
    </row>
    <row r="1401" spans="1:4">
      <c r="A1401" s="3">
        <v>79</v>
      </c>
      <c r="B1401" s="3" t="s">
        <v>246</v>
      </c>
      <c r="C1401" s="3" t="s">
        <v>2492</v>
      </c>
      <c r="D1401" s="3"/>
    </row>
    <row r="1402" spans="1:4">
      <c r="A1402" s="2">
        <v>79</v>
      </c>
      <c r="B1402" s="2" t="s">
        <v>246</v>
      </c>
      <c r="C1402" s="2" t="s">
        <v>2493</v>
      </c>
      <c r="D1402" s="2"/>
    </row>
    <row r="1403" spans="1:4">
      <c r="A1403" s="3">
        <v>79</v>
      </c>
      <c r="B1403" s="3" t="s">
        <v>246</v>
      </c>
      <c r="C1403" s="3" t="s">
        <v>2494</v>
      </c>
      <c r="D1403" s="3"/>
    </row>
    <row r="1404" spans="1:4">
      <c r="A1404" s="2">
        <v>79</v>
      </c>
      <c r="B1404" s="2" t="s">
        <v>246</v>
      </c>
      <c r="C1404" s="2" t="s">
        <v>2495</v>
      </c>
      <c r="D1404" s="2"/>
    </row>
    <row r="1405" spans="1:4">
      <c r="A1405" s="3">
        <v>79</v>
      </c>
      <c r="B1405" s="3" t="s">
        <v>246</v>
      </c>
      <c r="C1405" s="3" t="s">
        <v>2496</v>
      </c>
      <c r="D1405" s="3"/>
    </row>
    <row r="1406" spans="1:4">
      <c r="A1406" s="2">
        <v>79</v>
      </c>
      <c r="B1406" s="2" t="s">
        <v>246</v>
      </c>
      <c r="C1406" s="2" t="s">
        <v>2497</v>
      </c>
      <c r="D1406" s="2"/>
    </row>
    <row r="1407" spans="1:4">
      <c r="A1407" s="3">
        <v>79</v>
      </c>
      <c r="B1407" s="3" t="s">
        <v>246</v>
      </c>
      <c r="C1407" s="3" t="s">
        <v>2498</v>
      </c>
      <c r="D1407" s="3"/>
    </row>
    <row r="1408" spans="1:4">
      <c r="A1408" s="2">
        <v>79</v>
      </c>
      <c r="B1408" s="2" t="s">
        <v>246</v>
      </c>
      <c r="C1408" s="2" t="s">
        <v>2499</v>
      </c>
      <c r="D1408" s="2"/>
    </row>
    <row r="1409" spans="1:4">
      <c r="A1409" s="3">
        <v>79</v>
      </c>
      <c r="B1409" s="3" t="s">
        <v>246</v>
      </c>
      <c r="C1409" s="3" t="s">
        <v>2500</v>
      </c>
      <c r="D1409" s="3"/>
    </row>
    <row r="1410" spans="1:4">
      <c r="A1410" s="2">
        <v>79</v>
      </c>
      <c r="B1410" s="2" t="s">
        <v>246</v>
      </c>
      <c r="C1410" s="2" t="s">
        <v>2501</v>
      </c>
      <c r="D1410" s="2"/>
    </row>
    <row r="1411" spans="1:4">
      <c r="A1411" s="3">
        <v>79</v>
      </c>
      <c r="B1411" s="3" t="s">
        <v>246</v>
      </c>
      <c r="C1411" s="3" t="s">
        <v>2502</v>
      </c>
      <c r="D1411" s="3"/>
    </row>
    <row r="1412" spans="1:4">
      <c r="A1412" s="2">
        <v>79</v>
      </c>
      <c r="B1412" s="2" t="s">
        <v>246</v>
      </c>
      <c r="C1412" s="2" t="s">
        <v>2503</v>
      </c>
      <c r="D1412" s="2"/>
    </row>
    <row r="1413" spans="1:4">
      <c r="A1413" s="3">
        <v>79</v>
      </c>
      <c r="B1413" s="3" t="s">
        <v>246</v>
      </c>
      <c r="C1413" s="3" t="s">
        <v>2504</v>
      </c>
      <c r="D1413" s="3"/>
    </row>
    <row r="1414" spans="1:4">
      <c r="A1414" s="2">
        <v>79</v>
      </c>
      <c r="B1414" s="2" t="s">
        <v>246</v>
      </c>
      <c r="C1414" s="2" t="s">
        <v>2505</v>
      </c>
      <c r="D1414" s="2"/>
    </row>
    <row r="1415" spans="1:4">
      <c r="A1415" s="3">
        <v>79</v>
      </c>
      <c r="B1415" s="3" t="s">
        <v>246</v>
      </c>
      <c r="C1415" s="3" t="s">
        <v>2506</v>
      </c>
      <c r="D1415" s="3"/>
    </row>
    <row r="1416" spans="1:4">
      <c r="A1416" s="2">
        <v>79</v>
      </c>
      <c r="B1416" s="2" t="s">
        <v>246</v>
      </c>
      <c r="C1416" s="2" t="s">
        <v>2507</v>
      </c>
      <c r="D1416" s="2"/>
    </row>
    <row r="1417" spans="1:4">
      <c r="A1417" s="3">
        <v>79</v>
      </c>
      <c r="B1417" s="3" t="s">
        <v>246</v>
      </c>
      <c r="C1417" s="3" t="s">
        <v>2507</v>
      </c>
      <c r="D1417" s="3"/>
    </row>
    <row r="1418" spans="1:4">
      <c r="A1418" s="2">
        <v>79</v>
      </c>
      <c r="B1418" s="2" t="s">
        <v>246</v>
      </c>
      <c r="C1418" s="2" t="s">
        <v>2508</v>
      </c>
      <c r="D1418" s="2"/>
    </row>
    <row r="1419" spans="1:4">
      <c r="A1419" s="3">
        <v>79</v>
      </c>
      <c r="B1419" s="3" t="s">
        <v>246</v>
      </c>
      <c r="C1419" s="3" t="s">
        <v>2509</v>
      </c>
      <c r="D1419" s="3"/>
    </row>
    <row r="1420" spans="1:4">
      <c r="A1420" s="2">
        <v>79</v>
      </c>
      <c r="B1420" s="2" t="s">
        <v>246</v>
      </c>
      <c r="C1420" s="2" t="s">
        <v>2510</v>
      </c>
      <c r="D1420" s="2"/>
    </row>
    <row r="1421" spans="1:4">
      <c r="A1421" s="3">
        <v>79</v>
      </c>
      <c r="B1421" s="3" t="s">
        <v>246</v>
      </c>
      <c r="C1421" s="3" t="s">
        <v>2511</v>
      </c>
      <c r="D1421" s="3"/>
    </row>
    <row r="1422" spans="1:4">
      <c r="A1422" s="2">
        <v>79</v>
      </c>
      <c r="B1422" s="2" t="s">
        <v>246</v>
      </c>
      <c r="C1422" s="2" t="s">
        <v>2512</v>
      </c>
      <c r="D1422" s="2"/>
    </row>
    <row r="1423" spans="1:4">
      <c r="A1423" s="3">
        <v>79</v>
      </c>
      <c r="B1423" s="3" t="s">
        <v>246</v>
      </c>
      <c r="C1423" s="3" t="s">
        <v>2513</v>
      </c>
      <c r="D1423" s="3"/>
    </row>
    <row r="1424" spans="1:4">
      <c r="A1424" s="2">
        <v>79</v>
      </c>
      <c r="B1424" s="2" t="s">
        <v>246</v>
      </c>
      <c r="C1424" s="2" t="s">
        <v>2514</v>
      </c>
      <c r="D1424" s="2"/>
    </row>
    <row r="1425" spans="1:4">
      <c r="A1425" s="3">
        <v>79</v>
      </c>
      <c r="B1425" s="3" t="s">
        <v>246</v>
      </c>
      <c r="C1425" s="3" t="s">
        <v>2515</v>
      </c>
      <c r="D1425" s="3"/>
    </row>
    <row r="1426" spans="1:4">
      <c r="A1426" s="2">
        <v>79</v>
      </c>
      <c r="B1426" s="2" t="s">
        <v>246</v>
      </c>
      <c r="C1426" s="2" t="s">
        <v>2516</v>
      </c>
      <c r="D1426" s="2"/>
    </row>
    <row r="1427" spans="1:4">
      <c r="A1427" s="3">
        <v>79</v>
      </c>
      <c r="B1427" s="3" t="s">
        <v>246</v>
      </c>
      <c r="C1427" s="3" t="s">
        <v>2517</v>
      </c>
      <c r="D1427" s="3"/>
    </row>
    <row r="1428" spans="1:4">
      <c r="A1428" s="2">
        <v>79</v>
      </c>
      <c r="B1428" s="2" t="s">
        <v>246</v>
      </c>
      <c r="C1428" s="2" t="s">
        <v>2518</v>
      </c>
      <c r="D1428" s="2"/>
    </row>
    <row r="1429" spans="1:4">
      <c r="A1429" s="3">
        <v>79</v>
      </c>
      <c r="B1429" s="3" t="s">
        <v>246</v>
      </c>
      <c r="C1429" s="3" t="s">
        <v>2519</v>
      </c>
      <c r="D1429" s="3"/>
    </row>
    <row r="1430" spans="1:4">
      <c r="A1430" s="2">
        <v>79</v>
      </c>
      <c r="B1430" s="2" t="s">
        <v>246</v>
      </c>
      <c r="C1430" s="2" t="s">
        <v>2520</v>
      </c>
      <c r="D1430" s="2"/>
    </row>
    <row r="1431" spans="1:4">
      <c r="A1431" s="3">
        <v>79</v>
      </c>
      <c r="B1431" s="3" t="s">
        <v>246</v>
      </c>
      <c r="C1431" s="3" t="s">
        <v>2521</v>
      </c>
      <c r="D1431" s="3"/>
    </row>
    <row r="1432" spans="1:4">
      <c r="A1432" s="2">
        <v>79</v>
      </c>
      <c r="B1432" s="2" t="s">
        <v>246</v>
      </c>
      <c r="C1432" s="2" t="s">
        <v>2522</v>
      </c>
      <c r="D1432" s="2"/>
    </row>
    <row r="1433" spans="1:4">
      <c r="A1433" s="3">
        <v>80</v>
      </c>
      <c r="B1433" s="3" t="s">
        <v>289</v>
      </c>
      <c r="C1433" s="3" t="s">
        <v>2523</v>
      </c>
      <c r="D1433" s="3"/>
    </row>
    <row r="1434" spans="1:4">
      <c r="A1434" s="2">
        <v>82</v>
      </c>
      <c r="B1434" s="2" t="s">
        <v>277</v>
      </c>
      <c r="C1434" s="2" t="s">
        <v>2524</v>
      </c>
      <c r="D1434" s="2"/>
    </row>
    <row r="1435" spans="1:4">
      <c r="A1435" s="3">
        <v>82</v>
      </c>
      <c r="B1435" s="3" t="s">
        <v>277</v>
      </c>
      <c r="C1435" s="3" t="s">
        <v>2525</v>
      </c>
      <c r="D1435" s="3"/>
    </row>
    <row r="1436" spans="1:4">
      <c r="A1436" s="2">
        <v>82</v>
      </c>
      <c r="B1436" s="2" t="s">
        <v>277</v>
      </c>
      <c r="C1436" s="2" t="s">
        <v>2526</v>
      </c>
      <c r="D1436" s="2"/>
    </row>
    <row r="1437" spans="1:4">
      <c r="A1437" s="3">
        <v>82</v>
      </c>
      <c r="B1437" s="3" t="s">
        <v>277</v>
      </c>
      <c r="C1437" s="3" t="s">
        <v>2527</v>
      </c>
      <c r="D1437" s="3"/>
    </row>
    <row r="1438" spans="1:4">
      <c r="A1438" s="2">
        <v>82</v>
      </c>
      <c r="B1438" s="2" t="s">
        <v>277</v>
      </c>
      <c r="C1438" s="2" t="s">
        <v>2528</v>
      </c>
      <c r="D1438" s="2"/>
    </row>
    <row r="1439" spans="1:4">
      <c r="A1439" s="3">
        <v>82</v>
      </c>
      <c r="B1439" s="3" t="s">
        <v>277</v>
      </c>
      <c r="C1439" s="3" t="s">
        <v>2529</v>
      </c>
      <c r="D1439" s="3"/>
    </row>
    <row r="1440" spans="1:4">
      <c r="A1440" s="2">
        <v>82</v>
      </c>
      <c r="B1440" s="2" t="s">
        <v>277</v>
      </c>
      <c r="C1440" s="2" t="s">
        <v>2530</v>
      </c>
      <c r="D1440" s="2"/>
    </row>
    <row r="1441" spans="1:4">
      <c r="A1441" s="3">
        <v>82</v>
      </c>
      <c r="B1441" s="3" t="s">
        <v>277</v>
      </c>
      <c r="C1441" s="3" t="s">
        <v>2531</v>
      </c>
      <c r="D1441" s="3"/>
    </row>
    <row r="1442" spans="1:4">
      <c r="A1442" s="2">
        <v>82</v>
      </c>
      <c r="B1442" s="2" t="s">
        <v>277</v>
      </c>
      <c r="C1442" s="2" t="s">
        <v>2532</v>
      </c>
      <c r="D1442" s="2"/>
    </row>
    <row r="1443" spans="1:4">
      <c r="A1443" s="3">
        <v>82</v>
      </c>
      <c r="B1443" s="3" t="s">
        <v>277</v>
      </c>
      <c r="C1443" s="3" t="s">
        <v>2533</v>
      </c>
      <c r="D1443" s="3"/>
    </row>
    <row r="1444" spans="1:4">
      <c r="A1444" s="2">
        <v>82</v>
      </c>
      <c r="B1444" s="2" t="s">
        <v>277</v>
      </c>
      <c r="C1444" s="2" t="s">
        <v>2534</v>
      </c>
      <c r="D1444" s="2"/>
    </row>
    <row r="1445" spans="1:4">
      <c r="A1445" s="3">
        <v>82</v>
      </c>
      <c r="B1445" s="3" t="s">
        <v>277</v>
      </c>
      <c r="C1445" s="3" t="s">
        <v>2535</v>
      </c>
      <c r="D1445" s="3"/>
    </row>
    <row r="1446" spans="1:4">
      <c r="A1446" s="2">
        <v>82</v>
      </c>
      <c r="B1446" s="2" t="s">
        <v>277</v>
      </c>
      <c r="C1446" s="2" t="s">
        <v>2536</v>
      </c>
      <c r="D1446" s="2"/>
    </row>
    <row r="1447" spans="1:4">
      <c r="A1447" s="3">
        <v>82</v>
      </c>
      <c r="B1447" s="3" t="s">
        <v>277</v>
      </c>
      <c r="C1447" s="3" t="s">
        <v>2537</v>
      </c>
      <c r="D1447" s="3"/>
    </row>
    <row r="1448" spans="1:4">
      <c r="A1448" s="2">
        <v>82</v>
      </c>
      <c r="B1448" s="2" t="s">
        <v>277</v>
      </c>
      <c r="C1448" s="2" t="s">
        <v>2538</v>
      </c>
      <c r="D1448" s="2"/>
    </row>
    <row r="1449" spans="1:4">
      <c r="A1449" s="3">
        <v>82</v>
      </c>
      <c r="B1449" s="3" t="s">
        <v>277</v>
      </c>
      <c r="C1449" s="3" t="s">
        <v>2539</v>
      </c>
      <c r="D1449" s="3"/>
    </row>
    <row r="1450" spans="1:4">
      <c r="A1450" s="2">
        <v>83</v>
      </c>
      <c r="B1450" s="2" t="s">
        <v>304</v>
      </c>
      <c r="C1450" s="2" t="s">
        <v>2540</v>
      </c>
      <c r="D1450" s="2"/>
    </row>
    <row r="1451" spans="1:4">
      <c r="A1451" s="3">
        <v>83</v>
      </c>
      <c r="B1451" s="3" t="s">
        <v>304</v>
      </c>
      <c r="C1451" s="3" t="s">
        <v>2541</v>
      </c>
      <c r="D1451" s="3"/>
    </row>
    <row r="1452" spans="1:4">
      <c r="A1452" s="2">
        <v>83</v>
      </c>
      <c r="B1452" s="2" t="s">
        <v>304</v>
      </c>
      <c r="C1452" s="2" t="s">
        <v>2542</v>
      </c>
      <c r="D1452" s="2"/>
    </row>
    <row r="1453" spans="1:4">
      <c r="A1453" s="3">
        <v>83</v>
      </c>
      <c r="B1453" s="3" t="s">
        <v>304</v>
      </c>
      <c r="C1453" s="3" t="s">
        <v>2543</v>
      </c>
      <c r="D1453" s="3"/>
    </row>
    <row r="1454" spans="1:4">
      <c r="A1454" s="2">
        <v>83</v>
      </c>
      <c r="B1454" s="2" t="s">
        <v>304</v>
      </c>
      <c r="C1454" s="2" t="s">
        <v>2544</v>
      </c>
      <c r="D1454" s="2"/>
    </row>
    <row r="1455" spans="1:4">
      <c r="A1455" s="3">
        <v>83</v>
      </c>
      <c r="B1455" s="3" t="s">
        <v>304</v>
      </c>
      <c r="C1455" s="3" t="s">
        <v>2545</v>
      </c>
      <c r="D1455" s="3"/>
    </row>
    <row r="1456" spans="1:4">
      <c r="A1456" s="2">
        <v>83</v>
      </c>
      <c r="B1456" s="2" t="s">
        <v>304</v>
      </c>
      <c r="C1456" s="2" t="s">
        <v>2546</v>
      </c>
      <c r="D1456" s="2"/>
    </row>
    <row r="1457" spans="1:4">
      <c r="A1457" s="3">
        <v>83</v>
      </c>
      <c r="B1457" s="3" t="s">
        <v>304</v>
      </c>
      <c r="C1457" s="3" t="s">
        <v>2547</v>
      </c>
      <c r="D1457" s="3"/>
    </row>
    <row r="1458" spans="1:4">
      <c r="A1458" s="2">
        <v>83</v>
      </c>
      <c r="B1458" s="2" t="s">
        <v>304</v>
      </c>
      <c r="C1458" s="2" t="s">
        <v>2548</v>
      </c>
      <c r="D1458" s="2"/>
    </row>
    <row r="1459" spans="1:4">
      <c r="A1459" s="3">
        <v>83</v>
      </c>
      <c r="B1459" s="3" t="s">
        <v>304</v>
      </c>
      <c r="C1459" s="3" t="s">
        <v>2549</v>
      </c>
      <c r="D1459" s="3"/>
    </row>
    <row r="1460" spans="1:4">
      <c r="A1460" s="2">
        <v>83</v>
      </c>
      <c r="B1460" s="2" t="s">
        <v>304</v>
      </c>
      <c r="C1460" s="2" t="s">
        <v>2550</v>
      </c>
      <c r="D1460" s="2"/>
    </row>
    <row r="1461" spans="1:4">
      <c r="A1461" s="3">
        <v>83</v>
      </c>
      <c r="B1461" s="3" t="s">
        <v>304</v>
      </c>
      <c r="C1461" s="3" t="s">
        <v>2551</v>
      </c>
      <c r="D1461" s="3"/>
    </row>
    <row r="1462" spans="1:4">
      <c r="A1462" s="2">
        <v>83</v>
      </c>
      <c r="B1462" s="2" t="s">
        <v>304</v>
      </c>
      <c r="C1462" s="2" t="s">
        <v>2552</v>
      </c>
      <c r="D1462" s="2"/>
    </row>
    <row r="1463" spans="1:4">
      <c r="A1463" s="3">
        <v>83</v>
      </c>
      <c r="B1463" s="3" t="s">
        <v>304</v>
      </c>
      <c r="C1463" s="3" t="s">
        <v>2553</v>
      </c>
      <c r="D1463" s="3"/>
    </row>
    <row r="1464" spans="1:4">
      <c r="A1464" s="2">
        <v>83</v>
      </c>
      <c r="B1464" s="2" t="s">
        <v>304</v>
      </c>
      <c r="C1464" s="2" t="s">
        <v>2554</v>
      </c>
      <c r="D1464" s="2"/>
    </row>
    <row r="1465" spans="1:4">
      <c r="A1465" s="3">
        <v>83</v>
      </c>
      <c r="B1465" s="3" t="s">
        <v>304</v>
      </c>
      <c r="C1465" s="3" t="s">
        <v>2555</v>
      </c>
      <c r="D1465" s="3"/>
    </row>
    <row r="1466" spans="1:4">
      <c r="A1466" s="2">
        <v>83</v>
      </c>
      <c r="B1466" s="2" t="s">
        <v>304</v>
      </c>
      <c r="C1466" s="2" t="s">
        <v>2556</v>
      </c>
      <c r="D1466" s="2"/>
    </row>
    <row r="1467" spans="1:4">
      <c r="A1467" s="3">
        <v>83</v>
      </c>
      <c r="B1467" s="3" t="s">
        <v>304</v>
      </c>
      <c r="C1467" s="3" t="s">
        <v>2557</v>
      </c>
      <c r="D1467" s="3"/>
    </row>
    <row r="1468" spans="1:4">
      <c r="A1468" s="2">
        <v>83</v>
      </c>
      <c r="B1468" s="2" t="s">
        <v>304</v>
      </c>
      <c r="C1468" s="2" t="s">
        <v>2558</v>
      </c>
      <c r="D1468" s="2"/>
    </row>
    <row r="1469" spans="1:4">
      <c r="A1469" s="3">
        <v>83</v>
      </c>
      <c r="B1469" s="3" t="s">
        <v>304</v>
      </c>
      <c r="C1469" s="3" t="s">
        <v>2559</v>
      </c>
      <c r="D1469" s="3"/>
    </row>
    <row r="1470" spans="1:4">
      <c r="A1470" s="2">
        <v>83</v>
      </c>
      <c r="B1470" s="2" t="s">
        <v>304</v>
      </c>
      <c r="C1470" s="2" t="s">
        <v>2560</v>
      </c>
      <c r="D1470" s="2"/>
    </row>
    <row r="1471" spans="1:4">
      <c r="A1471" s="3">
        <v>83</v>
      </c>
      <c r="B1471" s="3" t="s">
        <v>304</v>
      </c>
      <c r="C1471" s="3" t="s">
        <v>2561</v>
      </c>
      <c r="D1471" s="3"/>
    </row>
    <row r="1472" spans="1:4">
      <c r="A1472" s="2">
        <v>83</v>
      </c>
      <c r="B1472" s="2" t="s">
        <v>304</v>
      </c>
      <c r="C1472" s="2" t="s">
        <v>2562</v>
      </c>
      <c r="D1472" s="2"/>
    </row>
    <row r="1473" spans="1:4">
      <c r="A1473" s="3">
        <v>83</v>
      </c>
      <c r="B1473" s="3" t="s">
        <v>304</v>
      </c>
      <c r="C1473" s="3" t="s">
        <v>2563</v>
      </c>
      <c r="D1473" s="3"/>
    </row>
    <row r="1474" spans="1:4">
      <c r="A1474" s="2">
        <v>83</v>
      </c>
      <c r="B1474" s="2" t="s">
        <v>304</v>
      </c>
      <c r="C1474" s="2" t="s">
        <v>2564</v>
      </c>
      <c r="D1474" s="2"/>
    </row>
    <row r="1475" spans="1:4">
      <c r="A1475" s="3">
        <v>83</v>
      </c>
      <c r="B1475" s="3" t="s">
        <v>304</v>
      </c>
      <c r="C1475" s="3" t="s">
        <v>2565</v>
      </c>
      <c r="D1475" s="3"/>
    </row>
    <row r="1476" spans="1:4">
      <c r="A1476" s="2">
        <v>83</v>
      </c>
      <c r="B1476" s="2" t="s">
        <v>304</v>
      </c>
      <c r="C1476" s="2" t="s">
        <v>2566</v>
      </c>
      <c r="D1476" s="2"/>
    </row>
    <row r="1477" spans="1:4">
      <c r="A1477" s="3">
        <v>83</v>
      </c>
      <c r="B1477" s="3" t="s">
        <v>304</v>
      </c>
      <c r="C1477" s="3" t="s">
        <v>2567</v>
      </c>
      <c r="D1477" s="3"/>
    </row>
    <row r="1478" spans="1:4">
      <c r="A1478" s="2">
        <v>83</v>
      </c>
      <c r="B1478" s="2" t="s">
        <v>304</v>
      </c>
      <c r="C1478" s="2" t="s">
        <v>2568</v>
      </c>
      <c r="D1478" s="2"/>
    </row>
    <row r="1479" spans="1:4">
      <c r="A1479" s="3">
        <v>83</v>
      </c>
      <c r="B1479" s="3" t="s">
        <v>304</v>
      </c>
      <c r="C1479" s="3" t="s">
        <v>2569</v>
      </c>
      <c r="D1479" s="3"/>
    </row>
    <row r="1480" spans="1:4">
      <c r="A1480" s="2">
        <v>83</v>
      </c>
      <c r="B1480" s="2" t="s">
        <v>304</v>
      </c>
      <c r="C1480" s="2" t="s">
        <v>2570</v>
      </c>
      <c r="D1480" s="2"/>
    </row>
    <row r="1481" spans="1:4">
      <c r="A1481" s="3">
        <v>83</v>
      </c>
      <c r="B1481" s="3" t="s">
        <v>304</v>
      </c>
      <c r="C1481" s="3" t="s">
        <v>2571</v>
      </c>
      <c r="D1481" s="3"/>
    </row>
    <row r="1482" spans="1:4">
      <c r="A1482" s="2">
        <v>83</v>
      </c>
      <c r="B1482" s="2" t="s">
        <v>304</v>
      </c>
      <c r="C1482" s="2" t="s">
        <v>2572</v>
      </c>
      <c r="D1482" s="2"/>
    </row>
    <row r="1483" spans="1:4">
      <c r="A1483" s="3">
        <v>83</v>
      </c>
      <c r="B1483" s="3" t="s">
        <v>304</v>
      </c>
      <c r="C1483" s="3" t="s">
        <v>2573</v>
      </c>
      <c r="D1483" s="3"/>
    </row>
    <row r="1484" spans="1:4">
      <c r="A1484" s="2">
        <v>83</v>
      </c>
      <c r="B1484" s="2" t="s">
        <v>304</v>
      </c>
      <c r="C1484" s="2" t="s">
        <v>2574</v>
      </c>
      <c r="D1484" s="2"/>
    </row>
    <row r="1485" spans="1:4">
      <c r="A1485" s="3">
        <v>83</v>
      </c>
      <c r="B1485" s="3" t="s">
        <v>304</v>
      </c>
      <c r="C1485" s="3" t="s">
        <v>2575</v>
      </c>
      <c r="D1485" s="3"/>
    </row>
    <row r="1486" spans="1:4">
      <c r="A1486" s="2">
        <v>84</v>
      </c>
      <c r="B1486" s="2" t="s">
        <v>346</v>
      </c>
      <c r="C1486" s="2" t="s">
        <v>2576</v>
      </c>
      <c r="D1486" s="2"/>
    </row>
    <row r="1487" spans="1:4">
      <c r="A1487" s="3">
        <v>84</v>
      </c>
      <c r="B1487" s="3" t="s">
        <v>346</v>
      </c>
      <c r="C1487" s="3" t="s">
        <v>2577</v>
      </c>
      <c r="D1487" s="3"/>
    </row>
    <row r="1488" spans="1:4">
      <c r="A1488" s="2">
        <v>84</v>
      </c>
      <c r="B1488" s="2" t="s">
        <v>346</v>
      </c>
      <c r="C1488" s="2" t="s">
        <v>2578</v>
      </c>
      <c r="D1488" s="2"/>
    </row>
    <row r="1489" spans="1:4">
      <c r="A1489" s="3">
        <v>84</v>
      </c>
      <c r="B1489" s="3" t="s">
        <v>346</v>
      </c>
      <c r="C1489" s="3" t="s">
        <v>2579</v>
      </c>
      <c r="D1489" s="3"/>
    </row>
    <row r="1490" spans="1:4">
      <c r="A1490" s="2">
        <v>84</v>
      </c>
      <c r="B1490" s="2" t="s">
        <v>346</v>
      </c>
      <c r="C1490" s="2" t="s">
        <v>2580</v>
      </c>
      <c r="D1490" s="2"/>
    </row>
    <row r="1491" spans="1:4">
      <c r="A1491" s="3">
        <v>84</v>
      </c>
      <c r="B1491" s="3" t="s">
        <v>346</v>
      </c>
      <c r="C1491" s="3" t="s">
        <v>2581</v>
      </c>
      <c r="D1491" s="3"/>
    </row>
    <row r="1492" spans="1:4">
      <c r="A1492" s="2">
        <v>84</v>
      </c>
      <c r="B1492" s="2" t="s">
        <v>346</v>
      </c>
      <c r="C1492" s="2" t="s">
        <v>2582</v>
      </c>
      <c r="D1492" s="2"/>
    </row>
    <row r="1493" spans="1:4">
      <c r="A1493" s="3">
        <v>84</v>
      </c>
      <c r="B1493" s="3" t="s">
        <v>346</v>
      </c>
      <c r="C1493" s="3" t="s">
        <v>2583</v>
      </c>
      <c r="D1493" s="3"/>
    </row>
    <row r="1494" spans="1:4">
      <c r="A1494" s="2">
        <v>84</v>
      </c>
      <c r="B1494" s="2" t="s">
        <v>346</v>
      </c>
      <c r="C1494" s="2" t="s">
        <v>2584</v>
      </c>
      <c r="D1494" s="2"/>
    </row>
    <row r="1495" spans="1:4">
      <c r="A1495" s="3">
        <v>84</v>
      </c>
      <c r="B1495" s="3" t="s">
        <v>346</v>
      </c>
      <c r="C1495" s="3" t="s">
        <v>2585</v>
      </c>
      <c r="D1495" s="3"/>
    </row>
    <row r="1496" spans="1:4">
      <c r="A1496" s="2">
        <v>84</v>
      </c>
      <c r="B1496" s="2" t="s">
        <v>346</v>
      </c>
      <c r="C1496" s="2" t="s">
        <v>2586</v>
      </c>
      <c r="D1496" s="2"/>
    </row>
    <row r="1497" spans="1:4">
      <c r="A1497" s="3">
        <v>84</v>
      </c>
      <c r="B1497" s="3" t="s">
        <v>346</v>
      </c>
      <c r="C1497" s="3" t="s">
        <v>2587</v>
      </c>
      <c r="D1497" s="3"/>
    </row>
    <row r="1498" spans="1:4">
      <c r="A1498" s="2">
        <v>84</v>
      </c>
      <c r="B1498" s="2" t="s">
        <v>346</v>
      </c>
      <c r="C1498" s="2" t="s">
        <v>2588</v>
      </c>
      <c r="D1498" s="2"/>
    </row>
    <row r="1499" spans="1:4">
      <c r="A1499" s="3">
        <v>84</v>
      </c>
      <c r="B1499" s="3" t="s">
        <v>346</v>
      </c>
      <c r="C1499" s="3" t="s">
        <v>2589</v>
      </c>
      <c r="D1499" s="3"/>
    </row>
    <row r="1500" spans="1:4">
      <c r="A1500" s="2">
        <v>84</v>
      </c>
      <c r="B1500" s="2" t="s">
        <v>346</v>
      </c>
      <c r="C1500" s="2" t="s">
        <v>2590</v>
      </c>
      <c r="D1500" s="2"/>
    </row>
    <row r="1501" spans="1:4">
      <c r="A1501" s="3">
        <v>84</v>
      </c>
      <c r="B1501" s="3" t="s">
        <v>346</v>
      </c>
      <c r="C1501" s="3" t="s">
        <v>2591</v>
      </c>
      <c r="D1501" s="3"/>
    </row>
    <row r="1502" spans="1:4">
      <c r="A1502" s="2">
        <v>84</v>
      </c>
      <c r="B1502" s="2" t="s">
        <v>346</v>
      </c>
      <c r="C1502" s="2" t="s">
        <v>2592</v>
      </c>
      <c r="D1502" s="2"/>
    </row>
    <row r="1503" spans="1:4">
      <c r="A1503" s="3">
        <v>84</v>
      </c>
      <c r="B1503" s="3" t="s">
        <v>346</v>
      </c>
      <c r="C1503" s="3" t="s">
        <v>2593</v>
      </c>
      <c r="D1503" s="3"/>
    </row>
    <row r="1504" spans="1:4">
      <c r="A1504" s="2">
        <v>84</v>
      </c>
      <c r="B1504" s="2" t="s">
        <v>346</v>
      </c>
      <c r="C1504" s="2" t="s">
        <v>2594</v>
      </c>
      <c r="D1504" s="2"/>
    </row>
    <row r="1505" spans="1:4">
      <c r="A1505" s="3">
        <v>84</v>
      </c>
      <c r="B1505" s="3" t="s">
        <v>346</v>
      </c>
      <c r="C1505" s="3" t="s">
        <v>2595</v>
      </c>
      <c r="D1505" s="3"/>
    </row>
    <row r="1506" spans="1:4">
      <c r="A1506" s="2">
        <v>84</v>
      </c>
      <c r="B1506" s="2" t="s">
        <v>346</v>
      </c>
      <c r="C1506" s="2" t="s">
        <v>2596</v>
      </c>
      <c r="D1506" s="2"/>
    </row>
    <row r="1507" spans="1:4">
      <c r="A1507" s="3">
        <v>84</v>
      </c>
      <c r="B1507" s="3" t="s">
        <v>346</v>
      </c>
      <c r="C1507" s="3" t="s">
        <v>2597</v>
      </c>
      <c r="D1507" s="3"/>
    </row>
    <row r="1508" spans="1:4">
      <c r="A1508" s="2">
        <v>84</v>
      </c>
      <c r="B1508" s="2" t="s">
        <v>346</v>
      </c>
      <c r="C1508" s="2" t="s">
        <v>2598</v>
      </c>
      <c r="D1508" s="2"/>
    </row>
    <row r="1509" spans="1:4">
      <c r="A1509" s="3">
        <v>84</v>
      </c>
      <c r="B1509" s="3" t="s">
        <v>346</v>
      </c>
      <c r="C1509" s="3" t="s">
        <v>2599</v>
      </c>
      <c r="D1509" s="3"/>
    </row>
    <row r="1510" spans="1:4">
      <c r="A1510" s="2">
        <v>84</v>
      </c>
      <c r="B1510" s="2" t="s">
        <v>346</v>
      </c>
      <c r="C1510" s="2" t="s">
        <v>2600</v>
      </c>
      <c r="D1510" s="2"/>
    </row>
    <row r="1511" spans="1:4">
      <c r="A1511" s="3">
        <v>84</v>
      </c>
      <c r="B1511" s="3" t="s">
        <v>346</v>
      </c>
      <c r="C1511" s="3" t="s">
        <v>2601</v>
      </c>
      <c r="D1511" s="3"/>
    </row>
    <row r="1512" spans="1:4">
      <c r="A1512" s="2">
        <v>84</v>
      </c>
      <c r="B1512" s="2" t="s">
        <v>346</v>
      </c>
      <c r="C1512" s="2" t="s">
        <v>2602</v>
      </c>
      <c r="D1512" s="2"/>
    </row>
    <row r="1513" spans="1:4">
      <c r="A1513" s="3">
        <v>84</v>
      </c>
      <c r="B1513" s="3" t="s">
        <v>346</v>
      </c>
      <c r="C1513" s="3" t="s">
        <v>2603</v>
      </c>
      <c r="D1513" s="3"/>
    </row>
    <row r="1514" spans="1:4">
      <c r="A1514" s="2">
        <v>84</v>
      </c>
      <c r="B1514" s="2" t="s">
        <v>346</v>
      </c>
      <c r="C1514" s="2" t="s">
        <v>2604</v>
      </c>
      <c r="D1514" s="2"/>
    </row>
    <row r="1515" spans="1:4">
      <c r="A1515" s="3">
        <v>84</v>
      </c>
      <c r="B1515" s="3" t="s">
        <v>346</v>
      </c>
      <c r="C1515" s="3" t="s">
        <v>2605</v>
      </c>
      <c r="D1515" s="3"/>
    </row>
    <row r="1516" spans="1:4">
      <c r="A1516" s="2">
        <v>84</v>
      </c>
      <c r="B1516" s="2" t="s">
        <v>346</v>
      </c>
      <c r="C1516" s="2" t="s">
        <v>2606</v>
      </c>
      <c r="D1516" s="2"/>
    </row>
    <row r="1517" spans="1:4">
      <c r="A1517" s="3">
        <v>84</v>
      </c>
      <c r="B1517" s="3" t="s">
        <v>346</v>
      </c>
      <c r="C1517" s="3" t="s">
        <v>2607</v>
      </c>
      <c r="D1517" s="3"/>
    </row>
    <row r="1518" spans="1:4">
      <c r="A1518" s="2">
        <v>84</v>
      </c>
      <c r="B1518" s="2" t="s">
        <v>346</v>
      </c>
      <c r="C1518" s="2" t="s">
        <v>2608</v>
      </c>
      <c r="D1518" s="2"/>
    </row>
    <row r="1519" spans="1:4">
      <c r="A1519" s="3">
        <v>84</v>
      </c>
      <c r="B1519" s="3" t="s">
        <v>346</v>
      </c>
      <c r="C1519" s="3" t="s">
        <v>2609</v>
      </c>
      <c r="D1519" s="3"/>
    </row>
    <row r="1520" spans="1:4">
      <c r="A1520" s="2">
        <v>84</v>
      </c>
      <c r="B1520" s="2" t="s">
        <v>346</v>
      </c>
      <c r="C1520" s="2" t="s">
        <v>2610</v>
      </c>
      <c r="D1520" s="2"/>
    </row>
    <row r="1521" spans="1:4">
      <c r="A1521" s="3">
        <v>84</v>
      </c>
      <c r="B1521" s="3" t="s">
        <v>346</v>
      </c>
      <c r="C1521" s="3" t="s">
        <v>2611</v>
      </c>
      <c r="D1521" s="3"/>
    </row>
    <row r="1522" spans="1:4">
      <c r="A1522" s="2">
        <v>84</v>
      </c>
      <c r="B1522" s="2" t="s">
        <v>346</v>
      </c>
      <c r="C1522" s="2" t="s">
        <v>2612</v>
      </c>
      <c r="D1522" s="2"/>
    </row>
    <row r="1523" spans="1:4">
      <c r="A1523" s="3">
        <v>84</v>
      </c>
      <c r="B1523" s="3" t="s">
        <v>346</v>
      </c>
      <c r="C1523" s="3" t="s">
        <v>2613</v>
      </c>
      <c r="D1523" s="3"/>
    </row>
    <row r="1524" spans="1:4">
      <c r="A1524" s="2">
        <v>84</v>
      </c>
      <c r="B1524" s="2" t="s">
        <v>346</v>
      </c>
      <c r="C1524" s="2" t="s">
        <v>2614</v>
      </c>
      <c r="D1524" s="2"/>
    </row>
    <row r="1525" spans="1:4">
      <c r="A1525" s="3">
        <v>84</v>
      </c>
      <c r="B1525" s="3" t="s">
        <v>346</v>
      </c>
      <c r="C1525" s="3" t="s">
        <v>2615</v>
      </c>
      <c r="D1525" s="3"/>
    </row>
    <row r="1526" spans="1:4">
      <c r="A1526" s="2">
        <v>84</v>
      </c>
      <c r="B1526" s="2" t="s">
        <v>346</v>
      </c>
      <c r="C1526" s="2" t="s">
        <v>2616</v>
      </c>
      <c r="D1526" s="2"/>
    </row>
    <row r="1527" spans="1:4">
      <c r="A1527" s="3">
        <v>84</v>
      </c>
      <c r="B1527" s="3" t="s">
        <v>346</v>
      </c>
      <c r="C1527" s="3" t="s">
        <v>2617</v>
      </c>
      <c r="D1527" s="3"/>
    </row>
    <row r="1528" spans="1:4">
      <c r="A1528" s="2">
        <v>84</v>
      </c>
      <c r="B1528" s="2" t="s">
        <v>346</v>
      </c>
      <c r="C1528" s="2" t="s">
        <v>2618</v>
      </c>
      <c r="D1528" s="2"/>
    </row>
    <row r="1529" spans="1:4">
      <c r="A1529" s="3">
        <v>84</v>
      </c>
      <c r="B1529" s="3" t="s">
        <v>346</v>
      </c>
      <c r="C1529" s="3" t="s">
        <v>2619</v>
      </c>
      <c r="D1529" s="3"/>
    </row>
    <row r="1530" spans="1:4">
      <c r="A1530" s="2">
        <v>84</v>
      </c>
      <c r="B1530" s="2" t="s">
        <v>346</v>
      </c>
      <c r="C1530" s="2" t="s">
        <v>2620</v>
      </c>
      <c r="D1530" s="2"/>
    </row>
    <row r="1531" spans="1:4">
      <c r="A1531" s="3">
        <v>84</v>
      </c>
      <c r="B1531" s="3" t="s">
        <v>346</v>
      </c>
      <c r="C1531" s="3" t="s">
        <v>2621</v>
      </c>
      <c r="D1531" s="3"/>
    </row>
    <row r="1532" spans="1:4">
      <c r="A1532" s="2">
        <v>84</v>
      </c>
      <c r="B1532" s="2" t="s">
        <v>346</v>
      </c>
      <c r="C1532" s="2" t="s">
        <v>2622</v>
      </c>
      <c r="D1532" s="2"/>
    </row>
    <row r="1533" spans="1:4">
      <c r="A1533" s="3">
        <v>84</v>
      </c>
      <c r="B1533" s="3" t="s">
        <v>346</v>
      </c>
      <c r="C1533" s="3" t="s">
        <v>2623</v>
      </c>
      <c r="D1533" s="3"/>
    </row>
    <row r="1534" spans="1:4">
      <c r="A1534" s="2">
        <v>84</v>
      </c>
      <c r="B1534" s="2" t="s">
        <v>346</v>
      </c>
      <c r="C1534" s="2" t="s">
        <v>2624</v>
      </c>
      <c r="D1534" s="2"/>
    </row>
    <row r="1535" spans="1:4">
      <c r="A1535" s="3">
        <v>84</v>
      </c>
      <c r="B1535" s="3" t="s">
        <v>346</v>
      </c>
      <c r="C1535" s="3" t="s">
        <v>2625</v>
      </c>
      <c r="D1535" s="3"/>
    </row>
    <row r="1536" spans="1:4">
      <c r="A1536" s="2">
        <v>85</v>
      </c>
      <c r="B1536" s="2" t="s">
        <v>334</v>
      </c>
      <c r="C1536" s="2" t="s">
        <v>2626</v>
      </c>
      <c r="D1536" s="2"/>
    </row>
    <row r="1537" spans="1:4">
      <c r="A1537" s="3">
        <v>85</v>
      </c>
      <c r="B1537" s="3" t="s">
        <v>334</v>
      </c>
      <c r="C1537" s="3" t="s">
        <v>2627</v>
      </c>
      <c r="D1537" s="3"/>
    </row>
    <row r="1538" spans="1:4">
      <c r="A1538" s="2">
        <v>85</v>
      </c>
      <c r="B1538" s="2" t="s">
        <v>334</v>
      </c>
      <c r="C1538" s="2" t="s">
        <v>2628</v>
      </c>
      <c r="D1538" s="2"/>
    </row>
    <row r="1539" spans="1:4">
      <c r="A1539" s="3">
        <v>85</v>
      </c>
      <c r="B1539" s="3" t="s">
        <v>334</v>
      </c>
      <c r="C1539" s="3" t="s">
        <v>2629</v>
      </c>
      <c r="D1539" s="3"/>
    </row>
    <row r="1540" spans="1:4">
      <c r="A1540" s="2">
        <v>85</v>
      </c>
      <c r="B1540" s="2" t="s">
        <v>334</v>
      </c>
      <c r="C1540" s="2" t="s">
        <v>2630</v>
      </c>
      <c r="D1540" s="2"/>
    </row>
    <row r="1541" spans="1:4">
      <c r="A1541" s="3">
        <v>85</v>
      </c>
      <c r="B1541" s="3" t="s">
        <v>334</v>
      </c>
      <c r="C1541" s="3" t="s">
        <v>2631</v>
      </c>
      <c r="D1541" s="3"/>
    </row>
    <row r="1542" spans="1:4">
      <c r="A1542" s="2">
        <v>85</v>
      </c>
      <c r="B1542" s="2" t="s">
        <v>334</v>
      </c>
      <c r="C1542" s="2" t="s">
        <v>2632</v>
      </c>
      <c r="D1542" s="2"/>
    </row>
    <row r="1543" spans="1:4">
      <c r="A1543" s="3">
        <v>85</v>
      </c>
      <c r="B1543" s="3" t="s">
        <v>334</v>
      </c>
      <c r="C1543" s="3" t="s">
        <v>2633</v>
      </c>
      <c r="D1543" s="3"/>
    </row>
    <row r="1544" spans="1:4">
      <c r="A1544" s="2">
        <v>85</v>
      </c>
      <c r="B1544" s="2" t="s">
        <v>334</v>
      </c>
      <c r="C1544" s="2" t="s">
        <v>2634</v>
      </c>
      <c r="D1544" s="2"/>
    </row>
    <row r="1545" spans="1:4">
      <c r="A1545" s="3">
        <v>85</v>
      </c>
      <c r="B1545" s="3" t="s">
        <v>334</v>
      </c>
      <c r="C1545" s="3" t="s">
        <v>2635</v>
      </c>
      <c r="D1545" s="3"/>
    </row>
    <row r="1546" spans="1:4">
      <c r="A1546" s="2">
        <v>85</v>
      </c>
      <c r="B1546" s="2" t="s">
        <v>334</v>
      </c>
      <c r="C1546" s="2" t="s">
        <v>2636</v>
      </c>
      <c r="D1546" s="2"/>
    </row>
    <row r="1547" spans="1:4">
      <c r="A1547" s="3">
        <v>85</v>
      </c>
      <c r="B1547" s="3" t="s">
        <v>334</v>
      </c>
      <c r="C1547" s="3" t="s">
        <v>2637</v>
      </c>
      <c r="D1547" s="3"/>
    </row>
    <row r="1548" spans="1:4">
      <c r="A1548" s="2">
        <v>85</v>
      </c>
      <c r="B1548" s="2" t="s">
        <v>334</v>
      </c>
      <c r="C1548" s="2" t="s">
        <v>2638</v>
      </c>
      <c r="D1548" s="2"/>
    </row>
    <row r="1549" spans="1:4">
      <c r="A1549" s="3">
        <v>85</v>
      </c>
      <c r="B1549" s="3" t="s">
        <v>334</v>
      </c>
      <c r="C1549" s="3" t="s">
        <v>2639</v>
      </c>
      <c r="D1549" s="3"/>
    </row>
    <row r="1550" spans="1:4">
      <c r="A1550" s="2">
        <v>85</v>
      </c>
      <c r="B1550" s="2" t="s">
        <v>334</v>
      </c>
      <c r="C1550" s="2" t="s">
        <v>2640</v>
      </c>
      <c r="D1550" s="2"/>
    </row>
    <row r="1551" spans="1:4">
      <c r="A1551" s="3">
        <v>85</v>
      </c>
      <c r="B1551" s="3" t="s">
        <v>334</v>
      </c>
      <c r="C1551" s="3" t="s">
        <v>2641</v>
      </c>
      <c r="D1551" s="3"/>
    </row>
    <row r="1552" spans="1:4">
      <c r="A1552" s="2">
        <v>85</v>
      </c>
      <c r="B1552" s="2" t="s">
        <v>334</v>
      </c>
      <c r="C1552" s="2" t="s">
        <v>2642</v>
      </c>
      <c r="D1552" s="2"/>
    </row>
    <row r="1553" spans="1:4">
      <c r="A1553" s="3">
        <v>85</v>
      </c>
      <c r="B1553" s="3" t="s">
        <v>334</v>
      </c>
      <c r="C1553" s="3" t="s">
        <v>2643</v>
      </c>
      <c r="D1553" s="3"/>
    </row>
    <row r="1554" spans="1:4">
      <c r="A1554" s="2">
        <v>85</v>
      </c>
      <c r="B1554" s="2" t="s">
        <v>334</v>
      </c>
      <c r="C1554" s="2" t="s">
        <v>2644</v>
      </c>
      <c r="D1554" s="2"/>
    </row>
    <row r="1555" spans="1:4">
      <c r="A1555" s="3">
        <v>85</v>
      </c>
      <c r="B1555" s="3" t="s">
        <v>334</v>
      </c>
      <c r="C1555" s="3" t="s">
        <v>2645</v>
      </c>
      <c r="D1555" s="3"/>
    </row>
    <row r="1556" spans="1:4">
      <c r="A1556" s="2">
        <v>85</v>
      </c>
      <c r="B1556" s="2" t="s">
        <v>334</v>
      </c>
      <c r="C1556" s="2" t="s">
        <v>2646</v>
      </c>
      <c r="D1556" s="2"/>
    </row>
    <row r="1557" spans="1:4">
      <c r="A1557" s="3">
        <v>85</v>
      </c>
      <c r="B1557" s="3" t="s">
        <v>334</v>
      </c>
      <c r="C1557" s="3" t="s">
        <v>2647</v>
      </c>
      <c r="D1557" s="3"/>
    </row>
    <row r="1558" spans="1:4">
      <c r="A1558" s="2">
        <v>85</v>
      </c>
      <c r="B1558" s="2" t="s">
        <v>334</v>
      </c>
      <c r="C1558" s="2" t="s">
        <v>2648</v>
      </c>
      <c r="D1558" s="2"/>
    </row>
    <row r="1559" spans="1:4">
      <c r="A1559" s="3">
        <v>85</v>
      </c>
      <c r="B1559" s="3" t="s">
        <v>334</v>
      </c>
      <c r="C1559" s="3" t="s">
        <v>2649</v>
      </c>
      <c r="D1559" s="3"/>
    </row>
    <row r="1560" spans="1:4">
      <c r="A1560" s="2">
        <v>85</v>
      </c>
      <c r="B1560" s="2" t="s">
        <v>334</v>
      </c>
      <c r="C1560" s="2" t="s">
        <v>2650</v>
      </c>
      <c r="D1560" s="2"/>
    </row>
    <row r="1561" spans="1:4">
      <c r="A1561" s="3">
        <v>86</v>
      </c>
      <c r="B1561" s="3" t="s">
        <v>322</v>
      </c>
      <c r="C1561" s="3" t="s">
        <v>2651</v>
      </c>
      <c r="D1561" s="3"/>
    </row>
    <row r="1562" spans="1:4">
      <c r="A1562" s="2">
        <v>86</v>
      </c>
      <c r="B1562" s="2" t="s">
        <v>322</v>
      </c>
      <c r="C1562" s="2" t="s">
        <v>2652</v>
      </c>
      <c r="D1562" s="2"/>
    </row>
    <row r="1563" spans="1:4">
      <c r="A1563" s="3">
        <v>86</v>
      </c>
      <c r="B1563" s="3" t="s">
        <v>322</v>
      </c>
      <c r="C1563" s="3" t="s">
        <v>2653</v>
      </c>
      <c r="D1563" s="3"/>
    </row>
    <row r="1564" spans="1:4">
      <c r="A1564" s="2">
        <v>86</v>
      </c>
      <c r="B1564" s="2" t="s">
        <v>322</v>
      </c>
      <c r="C1564" s="2" t="s">
        <v>2654</v>
      </c>
      <c r="D1564" s="2"/>
    </row>
    <row r="1565" spans="1:4">
      <c r="A1565" s="3">
        <v>86</v>
      </c>
      <c r="B1565" s="3" t="s">
        <v>322</v>
      </c>
      <c r="C1565" s="3" t="s">
        <v>2655</v>
      </c>
      <c r="D1565" s="3"/>
    </row>
    <row r="1566" spans="1:4">
      <c r="A1566" s="2">
        <v>86</v>
      </c>
      <c r="B1566" s="2" t="s">
        <v>322</v>
      </c>
      <c r="C1566" s="2" t="s">
        <v>2656</v>
      </c>
      <c r="D1566" s="2"/>
    </row>
    <row r="1567" spans="1:4">
      <c r="A1567" s="3">
        <v>86</v>
      </c>
      <c r="B1567" s="3" t="s">
        <v>322</v>
      </c>
      <c r="C1567" s="3" t="s">
        <v>2657</v>
      </c>
      <c r="D1567" s="3"/>
    </row>
    <row r="1568" spans="1:4">
      <c r="A1568" s="2">
        <v>86</v>
      </c>
      <c r="B1568" s="2" t="s">
        <v>322</v>
      </c>
      <c r="C1568" s="2" t="s">
        <v>2658</v>
      </c>
      <c r="D1568" s="2"/>
    </row>
    <row r="1569" spans="1:4">
      <c r="A1569" s="3">
        <v>86</v>
      </c>
      <c r="B1569" s="3" t="s">
        <v>322</v>
      </c>
      <c r="C1569" s="3" t="s">
        <v>2659</v>
      </c>
      <c r="D1569" s="3"/>
    </row>
    <row r="1570" spans="1:4">
      <c r="A1570" s="2">
        <v>86</v>
      </c>
      <c r="B1570" s="2" t="s">
        <v>322</v>
      </c>
      <c r="C1570" s="2" t="s">
        <v>2660</v>
      </c>
      <c r="D1570" s="2"/>
    </row>
    <row r="1571" spans="1:4">
      <c r="A1571" s="3">
        <v>86</v>
      </c>
      <c r="B1571" s="3" t="s">
        <v>322</v>
      </c>
      <c r="C1571" s="3" t="s">
        <v>2661</v>
      </c>
      <c r="D1571" s="3"/>
    </row>
    <row r="1572" spans="1:4">
      <c r="A1572" s="2">
        <v>86</v>
      </c>
      <c r="B1572" s="2" t="s">
        <v>322</v>
      </c>
      <c r="C1572" s="2" t="s">
        <v>2662</v>
      </c>
      <c r="D1572" s="2"/>
    </row>
    <row r="1573" spans="1:4">
      <c r="A1573" s="3">
        <v>86</v>
      </c>
      <c r="B1573" s="3" t="s">
        <v>322</v>
      </c>
      <c r="C1573" s="3" t="s">
        <v>2663</v>
      </c>
      <c r="D1573" s="3"/>
    </row>
    <row r="1574" spans="1:4">
      <c r="A1574" s="2">
        <v>86</v>
      </c>
      <c r="B1574" s="2" t="s">
        <v>322</v>
      </c>
      <c r="C1574" s="2" t="s">
        <v>2664</v>
      </c>
      <c r="D1574" s="2"/>
    </row>
    <row r="1575" spans="1:4">
      <c r="A1575" s="3">
        <v>86</v>
      </c>
      <c r="B1575" s="3" t="s">
        <v>322</v>
      </c>
      <c r="C1575" s="3" t="s">
        <v>2665</v>
      </c>
      <c r="D1575" s="3"/>
    </row>
    <row r="1576" spans="1:4">
      <c r="A1576" s="2">
        <v>86</v>
      </c>
      <c r="B1576" s="2" t="s">
        <v>322</v>
      </c>
      <c r="C1576" s="2" t="s">
        <v>2666</v>
      </c>
      <c r="D1576" s="2"/>
    </row>
    <row r="1577" spans="1:4">
      <c r="A1577" s="3">
        <v>86</v>
      </c>
      <c r="B1577" s="3" t="s">
        <v>322</v>
      </c>
      <c r="C1577" s="3" t="s">
        <v>2667</v>
      </c>
      <c r="D1577" s="3"/>
    </row>
    <row r="1578" spans="1:4">
      <c r="A1578" s="2">
        <v>86</v>
      </c>
      <c r="B1578" s="2" t="s">
        <v>322</v>
      </c>
      <c r="C1578" s="2" t="s">
        <v>2668</v>
      </c>
      <c r="D1578" s="2"/>
    </row>
    <row r="1579" spans="1:4">
      <c r="A1579" s="3">
        <v>86</v>
      </c>
      <c r="B1579" s="3" t="s">
        <v>322</v>
      </c>
      <c r="C1579" s="3" t="s">
        <v>2669</v>
      </c>
      <c r="D1579" s="3"/>
    </row>
    <row r="1580" spans="1:4">
      <c r="A1580" s="2">
        <v>86</v>
      </c>
      <c r="B1580" s="2" t="s">
        <v>322</v>
      </c>
      <c r="C1580" s="2" t="s">
        <v>2670</v>
      </c>
      <c r="D1580" s="2"/>
    </row>
    <row r="1581" spans="1:4">
      <c r="A1581" s="3">
        <v>86</v>
      </c>
      <c r="B1581" s="3" t="s">
        <v>322</v>
      </c>
      <c r="C1581" s="3" t="s">
        <v>2671</v>
      </c>
      <c r="D1581" s="3"/>
    </row>
    <row r="1582" spans="1:4">
      <c r="A1582" s="2">
        <v>86</v>
      </c>
      <c r="B1582" s="2" t="s">
        <v>322</v>
      </c>
      <c r="C1582" s="2" t="s">
        <v>2672</v>
      </c>
      <c r="D1582" s="2"/>
    </row>
    <row r="1583" spans="1:4">
      <c r="A1583" s="3">
        <v>86</v>
      </c>
      <c r="B1583" s="3" t="s">
        <v>322</v>
      </c>
      <c r="C1583" s="3" t="s">
        <v>2673</v>
      </c>
      <c r="D1583" s="3"/>
    </row>
    <row r="1584" spans="1:4">
      <c r="A1584" s="2">
        <v>86</v>
      </c>
      <c r="B1584" s="2" t="s">
        <v>322</v>
      </c>
      <c r="C1584" s="2" t="s">
        <v>2674</v>
      </c>
      <c r="D1584" s="2"/>
    </row>
    <row r="1585" spans="1:4">
      <c r="A1585" s="3">
        <v>86</v>
      </c>
      <c r="B1585" s="3" t="s">
        <v>322</v>
      </c>
      <c r="C1585" s="3" t="s">
        <v>2675</v>
      </c>
      <c r="D1585" s="3"/>
    </row>
    <row r="1586" spans="1:4">
      <c r="A1586" s="2">
        <v>86</v>
      </c>
      <c r="B1586" s="2" t="s">
        <v>322</v>
      </c>
      <c r="C1586" s="2" t="s">
        <v>2676</v>
      </c>
      <c r="D1586" s="2"/>
    </row>
    <row r="1587" spans="1:4">
      <c r="A1587" s="3">
        <v>86</v>
      </c>
      <c r="B1587" s="3" t="s">
        <v>322</v>
      </c>
      <c r="C1587" s="3" t="s">
        <v>2677</v>
      </c>
      <c r="D1587" s="3"/>
    </row>
    <row r="1588" spans="1:4">
      <c r="A1588" s="2">
        <v>86</v>
      </c>
      <c r="B1588" s="2" t="s">
        <v>322</v>
      </c>
      <c r="C1588" s="2" t="s">
        <v>2678</v>
      </c>
      <c r="D1588" s="2"/>
    </row>
    <row r="1589" spans="1:4">
      <c r="A1589" s="3">
        <v>86</v>
      </c>
      <c r="B1589" s="3" t="s">
        <v>322</v>
      </c>
      <c r="C1589" s="3" t="s">
        <v>2679</v>
      </c>
      <c r="D1589" s="3"/>
    </row>
    <row r="1590" spans="1:4">
      <c r="A1590" s="2">
        <v>86</v>
      </c>
      <c r="B1590" s="2" t="s">
        <v>322</v>
      </c>
      <c r="C1590" s="2" t="s">
        <v>2680</v>
      </c>
      <c r="D1590" s="2"/>
    </row>
    <row r="1591" spans="1:4">
      <c r="A1591" s="3">
        <v>86</v>
      </c>
      <c r="B1591" s="3" t="s">
        <v>322</v>
      </c>
      <c r="C1591" s="3" t="s">
        <v>2681</v>
      </c>
      <c r="D1591" s="3"/>
    </row>
    <row r="1592" spans="1:4">
      <c r="A1592" s="2">
        <v>86</v>
      </c>
      <c r="B1592" s="2" t="s">
        <v>322</v>
      </c>
      <c r="C1592" s="2" t="s">
        <v>2682</v>
      </c>
      <c r="D1592" s="2"/>
    </row>
    <row r="1593" spans="1:4">
      <c r="A1593" s="3">
        <v>86</v>
      </c>
      <c r="B1593" s="3" t="s">
        <v>322</v>
      </c>
      <c r="C1593" s="3" t="s">
        <v>2683</v>
      </c>
      <c r="D1593" s="3"/>
    </row>
    <row r="1594" spans="1:4">
      <c r="A1594" s="2">
        <v>86</v>
      </c>
      <c r="B1594" s="2" t="s">
        <v>322</v>
      </c>
      <c r="C1594" s="2" t="s">
        <v>2684</v>
      </c>
      <c r="D1594" s="2"/>
    </row>
    <row r="1595" spans="1:4">
      <c r="A1595" s="3">
        <v>86</v>
      </c>
      <c r="B1595" s="3" t="s">
        <v>322</v>
      </c>
      <c r="C1595" s="3" t="s">
        <v>2685</v>
      </c>
      <c r="D1595" s="3"/>
    </row>
    <row r="1596" spans="1:4">
      <c r="A1596" s="2">
        <v>86</v>
      </c>
      <c r="B1596" s="2" t="s">
        <v>322</v>
      </c>
      <c r="C1596" s="2" t="s">
        <v>2686</v>
      </c>
      <c r="D1596" s="2"/>
    </row>
    <row r="1597" spans="1:4">
      <c r="A1597" s="3">
        <v>86</v>
      </c>
      <c r="B1597" s="3" t="s">
        <v>322</v>
      </c>
      <c r="C1597" s="3" t="s">
        <v>2687</v>
      </c>
      <c r="D1597" s="3"/>
    </row>
    <row r="1598" spans="1:4">
      <c r="A1598" s="2">
        <v>86</v>
      </c>
      <c r="B1598" s="2" t="s">
        <v>322</v>
      </c>
      <c r="C1598" s="2" t="s">
        <v>2688</v>
      </c>
      <c r="D1598" s="2"/>
    </row>
    <row r="1599" spans="1:4">
      <c r="A1599" s="3">
        <v>86</v>
      </c>
      <c r="B1599" s="3" t="s">
        <v>322</v>
      </c>
      <c r="C1599" s="3" t="s">
        <v>2689</v>
      </c>
      <c r="D1599" s="3"/>
    </row>
    <row r="1600" spans="1:4">
      <c r="A1600" s="2">
        <v>86</v>
      </c>
      <c r="B1600" s="2" t="s">
        <v>322</v>
      </c>
      <c r="C1600" s="2" t="s">
        <v>2690</v>
      </c>
      <c r="D1600" s="2"/>
    </row>
    <row r="1601" spans="1:4">
      <c r="A1601" s="3">
        <v>86</v>
      </c>
      <c r="B1601" s="3" t="s">
        <v>322</v>
      </c>
      <c r="C1601" s="3" t="s">
        <v>2691</v>
      </c>
      <c r="D1601" s="3"/>
    </row>
    <row r="1602" spans="1:4">
      <c r="A1602" s="2">
        <v>86</v>
      </c>
      <c r="B1602" s="2" t="s">
        <v>322</v>
      </c>
      <c r="C1602" s="2" t="s">
        <v>2692</v>
      </c>
      <c r="D1602" s="2"/>
    </row>
    <row r="1603" spans="1:4">
      <c r="A1603" s="3">
        <v>86</v>
      </c>
      <c r="B1603" s="3" t="s">
        <v>322</v>
      </c>
      <c r="C1603" s="3" t="s">
        <v>2693</v>
      </c>
      <c r="D1603" s="3"/>
    </row>
    <row r="1604" spans="1:4">
      <c r="A1604" s="2">
        <v>86</v>
      </c>
      <c r="B1604" s="2" t="s">
        <v>322</v>
      </c>
      <c r="C1604" s="2" t="s">
        <v>2694</v>
      </c>
      <c r="D1604" s="2"/>
    </row>
    <row r="1605" spans="1:4">
      <c r="A1605" s="3">
        <v>86</v>
      </c>
      <c r="B1605" s="3" t="s">
        <v>322</v>
      </c>
      <c r="C1605" s="3" t="s">
        <v>2695</v>
      </c>
      <c r="D1605" s="3"/>
    </row>
    <row r="1606" spans="1:4">
      <c r="A1606" s="2">
        <v>86</v>
      </c>
      <c r="B1606" s="2" t="s">
        <v>322</v>
      </c>
      <c r="C1606" s="2" t="s">
        <v>2696</v>
      </c>
      <c r="D1606" s="2"/>
    </row>
    <row r="1607" spans="1:4">
      <c r="A1607" s="3">
        <v>86</v>
      </c>
      <c r="B1607" s="3" t="s">
        <v>322</v>
      </c>
      <c r="C1607" s="3" t="s">
        <v>2693</v>
      </c>
      <c r="D1607" s="3"/>
    </row>
    <row r="1608" spans="1:4">
      <c r="A1608" s="2">
        <v>86</v>
      </c>
      <c r="B1608" s="2" t="s">
        <v>322</v>
      </c>
      <c r="C1608" s="2" t="s">
        <v>2697</v>
      </c>
      <c r="D1608" s="2"/>
    </row>
    <row r="1609" spans="1:4">
      <c r="A1609" s="3">
        <v>86</v>
      </c>
      <c r="B1609" s="3" t="s">
        <v>322</v>
      </c>
      <c r="C1609" s="3" t="s">
        <v>2698</v>
      </c>
      <c r="D1609" s="3"/>
    </row>
    <row r="1610" spans="1:4">
      <c r="A1610" s="2">
        <v>86</v>
      </c>
      <c r="B1610" s="2" t="s">
        <v>322</v>
      </c>
      <c r="C1610" s="2" t="s">
        <v>2699</v>
      </c>
      <c r="D1610" s="2"/>
    </row>
    <row r="1611" spans="1:4">
      <c r="A1611" s="3">
        <v>88</v>
      </c>
      <c r="B1611" s="3" t="s">
        <v>312</v>
      </c>
      <c r="C1611" s="3" t="s">
        <v>2700</v>
      </c>
      <c r="D1611" s="3"/>
    </row>
    <row r="1612" spans="1:4">
      <c r="A1612" s="2">
        <v>88</v>
      </c>
      <c r="B1612" s="2" t="s">
        <v>312</v>
      </c>
      <c r="C1612" s="2" t="s">
        <v>2701</v>
      </c>
      <c r="D1612" s="2"/>
    </row>
    <row r="1613" spans="1:4">
      <c r="A1613" s="3">
        <v>88</v>
      </c>
      <c r="B1613" s="3" t="s">
        <v>312</v>
      </c>
      <c r="C1613" s="3" t="s">
        <v>2702</v>
      </c>
      <c r="D1613" s="3"/>
    </row>
    <row r="1614" spans="1:4">
      <c r="A1614" s="2">
        <v>88</v>
      </c>
      <c r="B1614" s="2" t="s">
        <v>312</v>
      </c>
      <c r="C1614" s="2" t="s">
        <v>2703</v>
      </c>
      <c r="D1614" s="2"/>
    </row>
    <row r="1615" spans="1:4">
      <c r="A1615" s="3">
        <v>88</v>
      </c>
      <c r="B1615" s="3" t="s">
        <v>312</v>
      </c>
      <c r="C1615" s="3" t="s">
        <v>2704</v>
      </c>
      <c r="D1615" s="3"/>
    </row>
    <row r="1616" spans="1:4">
      <c r="A1616" s="2">
        <v>88</v>
      </c>
      <c r="B1616" s="2" t="s">
        <v>312</v>
      </c>
      <c r="C1616" s="2" t="s">
        <v>2705</v>
      </c>
      <c r="D1616" s="2"/>
    </row>
    <row r="1617" spans="1:4">
      <c r="A1617" s="3">
        <v>88</v>
      </c>
      <c r="B1617" s="3" t="s">
        <v>312</v>
      </c>
      <c r="C1617" s="3" t="s">
        <v>2706</v>
      </c>
      <c r="D1617" s="3"/>
    </row>
    <row r="1618" spans="1:4">
      <c r="A1618" s="2">
        <v>88</v>
      </c>
      <c r="B1618" s="2" t="s">
        <v>312</v>
      </c>
      <c r="C1618" s="2" t="s">
        <v>2707</v>
      </c>
      <c r="D1618" s="2"/>
    </row>
    <row r="1619" spans="1:4">
      <c r="A1619" s="3">
        <v>88</v>
      </c>
      <c r="B1619" s="3" t="s">
        <v>312</v>
      </c>
      <c r="C1619" s="3" t="s">
        <v>2708</v>
      </c>
      <c r="D1619" s="3"/>
    </row>
    <row r="1620" spans="1:4">
      <c r="A1620" s="2">
        <v>88</v>
      </c>
      <c r="B1620" s="2" t="s">
        <v>312</v>
      </c>
      <c r="C1620" s="2" t="s">
        <v>2709</v>
      </c>
      <c r="D1620" s="2"/>
    </row>
    <row r="1621" spans="1:4">
      <c r="A1621" s="3">
        <v>88</v>
      </c>
      <c r="B1621" s="3" t="s">
        <v>312</v>
      </c>
      <c r="C1621" s="3" t="s">
        <v>2710</v>
      </c>
      <c r="D1621" s="3"/>
    </row>
    <row r="1622" spans="1:4">
      <c r="A1622" s="2">
        <v>88</v>
      </c>
      <c r="B1622" s="2" t="s">
        <v>312</v>
      </c>
      <c r="C1622" s="2" t="s">
        <v>2711</v>
      </c>
      <c r="D1622" s="2"/>
    </row>
    <row r="1623" spans="1:4">
      <c r="A1623" s="3">
        <v>88</v>
      </c>
      <c r="B1623" s="3" t="s">
        <v>312</v>
      </c>
      <c r="C1623" s="3" t="s">
        <v>2712</v>
      </c>
      <c r="D1623" s="3"/>
    </row>
    <row r="1624" spans="1:4">
      <c r="A1624" s="2">
        <v>88</v>
      </c>
      <c r="B1624" s="2" t="s">
        <v>312</v>
      </c>
      <c r="C1624" s="2" t="s">
        <v>2713</v>
      </c>
      <c r="D1624" s="2"/>
    </row>
    <row r="1625" spans="1:4">
      <c r="A1625" s="3">
        <v>88</v>
      </c>
      <c r="B1625" s="3" t="s">
        <v>312</v>
      </c>
      <c r="C1625" s="3" t="s">
        <v>2714</v>
      </c>
      <c r="D1625" s="3"/>
    </row>
    <row r="1626" spans="1:4">
      <c r="A1626" s="2">
        <v>88</v>
      </c>
      <c r="B1626" s="2" t="s">
        <v>312</v>
      </c>
      <c r="C1626" s="2" t="s">
        <v>2715</v>
      </c>
      <c r="D1626" s="2"/>
    </row>
    <row r="1627" spans="1:4">
      <c r="A1627" s="3">
        <v>88</v>
      </c>
      <c r="B1627" s="3" t="s">
        <v>312</v>
      </c>
      <c r="C1627" s="3" t="s">
        <v>2707</v>
      </c>
      <c r="D1627" s="3"/>
    </row>
    <row r="1628" spans="1:4">
      <c r="A1628" s="2">
        <v>88</v>
      </c>
      <c r="B1628" s="2" t="s">
        <v>312</v>
      </c>
      <c r="C1628" s="2" t="s">
        <v>2708</v>
      </c>
      <c r="D1628" s="2"/>
    </row>
    <row r="1629" spans="1:4">
      <c r="A1629" s="3">
        <v>88</v>
      </c>
      <c r="B1629" s="3" t="s">
        <v>312</v>
      </c>
      <c r="C1629" s="3" t="s">
        <v>2716</v>
      </c>
      <c r="D1629" s="3"/>
    </row>
    <row r="1630" spans="1:4">
      <c r="A1630" s="2">
        <v>88</v>
      </c>
      <c r="B1630" s="2" t="s">
        <v>312</v>
      </c>
      <c r="C1630" s="2" t="s">
        <v>2717</v>
      </c>
      <c r="D1630" s="2"/>
    </row>
    <row r="1631" spans="1:4">
      <c r="A1631" s="3">
        <v>88</v>
      </c>
      <c r="B1631" s="3" t="s">
        <v>312</v>
      </c>
      <c r="C1631" s="3" t="s">
        <v>2718</v>
      </c>
      <c r="D1631" s="3"/>
    </row>
    <row r="1632" spans="1:4">
      <c r="A1632" s="2">
        <v>88</v>
      </c>
      <c r="B1632" s="2" t="s">
        <v>312</v>
      </c>
      <c r="C1632" s="2" t="s">
        <v>2719</v>
      </c>
      <c r="D1632" s="2"/>
    </row>
    <row r="1633" spans="1:4">
      <c r="A1633" s="3">
        <v>88</v>
      </c>
      <c r="B1633" s="3" t="s">
        <v>312</v>
      </c>
      <c r="C1633" s="3" t="s">
        <v>2720</v>
      </c>
      <c r="D1633" s="3"/>
    </row>
    <row r="1634" spans="1:4">
      <c r="A1634" s="2">
        <v>88</v>
      </c>
      <c r="B1634" s="2" t="s">
        <v>312</v>
      </c>
      <c r="C1634" s="2" t="s">
        <v>2721</v>
      </c>
      <c r="D1634" s="2"/>
    </row>
    <row r="1635" spans="1:4">
      <c r="A1635" s="3">
        <v>88</v>
      </c>
      <c r="B1635" s="3" t="s">
        <v>312</v>
      </c>
      <c r="C1635" s="3" t="s">
        <v>2722</v>
      </c>
      <c r="D1635" s="3"/>
    </row>
    <row r="1636" spans="1:4">
      <c r="A1636" s="2">
        <v>88</v>
      </c>
      <c r="B1636" s="2" t="s">
        <v>312</v>
      </c>
      <c r="C1636" s="2" t="s">
        <v>2723</v>
      </c>
      <c r="D1636" s="2"/>
    </row>
    <row r="1637" spans="1:4">
      <c r="A1637" s="3">
        <v>88</v>
      </c>
      <c r="B1637" s="3" t="s">
        <v>312</v>
      </c>
      <c r="C1637" s="3" t="s">
        <v>2724</v>
      </c>
      <c r="D1637" s="3"/>
    </row>
    <row r="1638" spans="1:4">
      <c r="A1638" s="2">
        <v>88</v>
      </c>
      <c r="B1638" s="2" t="s">
        <v>312</v>
      </c>
      <c r="C1638" s="2" t="s">
        <v>2725</v>
      </c>
      <c r="D1638" s="2"/>
    </row>
    <row r="1639" spans="1:4">
      <c r="A1639" s="3">
        <v>88</v>
      </c>
      <c r="B1639" s="3" t="s">
        <v>312</v>
      </c>
      <c r="C1639" s="3" t="s">
        <v>2726</v>
      </c>
      <c r="D1639" s="3"/>
    </row>
    <row r="1640" spans="1:4">
      <c r="A1640" s="2">
        <v>88</v>
      </c>
      <c r="B1640" s="2" t="s">
        <v>312</v>
      </c>
      <c r="C1640" s="2" t="s">
        <v>2727</v>
      </c>
      <c r="D1640" s="2"/>
    </row>
    <row r="1641" spans="1:4">
      <c r="A1641" s="3">
        <v>88</v>
      </c>
      <c r="B1641" s="3" t="s">
        <v>312</v>
      </c>
      <c r="C1641" s="3" t="s">
        <v>2728</v>
      </c>
      <c r="D1641" s="3"/>
    </row>
    <row r="1642" spans="1:4">
      <c r="A1642" s="2">
        <v>88</v>
      </c>
      <c r="B1642" s="2" t="s">
        <v>312</v>
      </c>
      <c r="C1642" s="2" t="s">
        <v>2729</v>
      </c>
      <c r="D1642" s="2"/>
    </row>
    <row r="1643" spans="1:4">
      <c r="A1643" s="3">
        <v>88</v>
      </c>
      <c r="B1643" s="3" t="s">
        <v>312</v>
      </c>
      <c r="C1643" s="3" t="s">
        <v>2730</v>
      </c>
      <c r="D1643" s="3"/>
    </row>
    <row r="1644" spans="1:4">
      <c r="A1644" s="2">
        <v>88</v>
      </c>
      <c r="B1644" s="2" t="s">
        <v>312</v>
      </c>
      <c r="C1644" s="2" t="s">
        <v>2731</v>
      </c>
      <c r="D1644" s="2"/>
    </row>
    <row r="1645" spans="1:4">
      <c r="A1645" s="3">
        <v>88</v>
      </c>
      <c r="B1645" s="3" t="s">
        <v>312</v>
      </c>
      <c r="C1645" s="3" t="s">
        <v>2732</v>
      </c>
      <c r="D1645" s="3"/>
    </row>
    <row r="1646" spans="1:4">
      <c r="A1646" s="2">
        <v>88</v>
      </c>
      <c r="B1646" s="2" t="s">
        <v>312</v>
      </c>
      <c r="C1646" s="2" t="s">
        <v>2733</v>
      </c>
      <c r="D1646" s="2"/>
    </row>
    <row r="1647" spans="1:4">
      <c r="A1647" s="3">
        <v>88</v>
      </c>
      <c r="B1647" s="3" t="s">
        <v>312</v>
      </c>
      <c r="C1647" s="3" t="s">
        <v>2734</v>
      </c>
      <c r="D1647" s="3"/>
    </row>
    <row r="1648" spans="1:4">
      <c r="A1648" s="2">
        <v>88</v>
      </c>
      <c r="B1648" s="2" t="s">
        <v>312</v>
      </c>
      <c r="C1648" s="2" t="s">
        <v>2735</v>
      </c>
      <c r="D1648" s="2"/>
    </row>
    <row r="1649" spans="1:4">
      <c r="A1649" s="3">
        <v>88</v>
      </c>
      <c r="B1649" s="3" t="s">
        <v>312</v>
      </c>
      <c r="C1649" s="3" t="s">
        <v>2736</v>
      </c>
      <c r="D1649" s="3"/>
    </row>
    <row r="1650" spans="1:4">
      <c r="A1650" s="2">
        <v>88</v>
      </c>
      <c r="B1650" s="2" t="s">
        <v>312</v>
      </c>
      <c r="C1650" s="2" t="s">
        <v>2737</v>
      </c>
      <c r="D1650" s="2"/>
    </row>
    <row r="1651" spans="1:4">
      <c r="A1651" s="3">
        <v>88</v>
      </c>
      <c r="B1651" s="3" t="s">
        <v>312</v>
      </c>
      <c r="C1651" s="3" t="s">
        <v>2738</v>
      </c>
      <c r="D1651" s="3"/>
    </row>
    <row r="1652" spans="1:4">
      <c r="A1652" s="2">
        <v>88</v>
      </c>
      <c r="B1652" s="2" t="s">
        <v>312</v>
      </c>
      <c r="C1652" s="2" t="s">
        <v>2739</v>
      </c>
      <c r="D1652" s="2"/>
    </row>
    <row r="1653" spans="1:4">
      <c r="A1653" s="3">
        <v>88</v>
      </c>
      <c r="B1653" s="3" t="s">
        <v>312</v>
      </c>
      <c r="C1653" s="3" t="s">
        <v>2740</v>
      </c>
      <c r="D1653" s="3"/>
    </row>
    <row r="1654" spans="1:4">
      <c r="A1654" s="2">
        <v>88</v>
      </c>
      <c r="B1654" s="2" t="s">
        <v>312</v>
      </c>
      <c r="C1654" s="2" t="s">
        <v>2741</v>
      </c>
      <c r="D1654" s="2"/>
    </row>
    <row r="1655" spans="1:4">
      <c r="A1655" s="3">
        <v>88</v>
      </c>
      <c r="B1655" s="3" t="s">
        <v>312</v>
      </c>
      <c r="C1655" s="3" t="s">
        <v>2742</v>
      </c>
      <c r="D1655" s="3"/>
    </row>
    <row r="1656" spans="1:4">
      <c r="A1656" s="2">
        <v>88</v>
      </c>
      <c r="B1656" s="2" t="s">
        <v>312</v>
      </c>
      <c r="C1656" s="2" t="s">
        <v>2743</v>
      </c>
      <c r="D1656" s="2"/>
    </row>
    <row r="1657" spans="1:4">
      <c r="A1657" s="3">
        <v>88</v>
      </c>
      <c r="B1657" s="3" t="s">
        <v>312</v>
      </c>
      <c r="C1657" s="3" t="s">
        <v>2744</v>
      </c>
      <c r="D1657" s="3"/>
    </row>
    <row r="1658" spans="1:4">
      <c r="A1658" s="2">
        <v>88</v>
      </c>
      <c r="B1658" s="2" t="s">
        <v>312</v>
      </c>
      <c r="C1658" s="2">
        <f>Jn+ ∆t∇ ·J+∆t</f>
        <v>0</v>
      </c>
      <c r="D1658" s="2"/>
    </row>
    <row r="1659" spans="1:4">
      <c r="A1659" s="3">
        <v>88</v>
      </c>
      <c r="B1659" s="3" t="s">
        <v>312</v>
      </c>
      <c r="C1659" s="3">
        <f>En+ ∆t∇ ×E+∆t</f>
        <v>0</v>
      </c>
      <c r="D1659" s="3"/>
    </row>
    <row r="1660" spans="1:4">
      <c r="A1660" s="2">
        <v>88</v>
      </c>
      <c r="B1660" s="2" t="s">
        <v>312</v>
      </c>
      <c r="C1660" s="2" t="s">
        <v>2745</v>
      </c>
      <c r="D1660" s="2"/>
    </row>
    <row r="1661" spans="1:4">
      <c r="A1661" s="3">
        <v>89</v>
      </c>
      <c r="B1661" s="3" t="s">
        <v>339</v>
      </c>
      <c r="C1661" s="3" t="s">
        <v>2746</v>
      </c>
      <c r="D1661" s="3"/>
    </row>
    <row r="1662" spans="1:4">
      <c r="A1662" s="2">
        <v>89</v>
      </c>
      <c r="B1662" s="2" t="s">
        <v>339</v>
      </c>
      <c r="C1662" s="2" t="s">
        <v>2747</v>
      </c>
      <c r="D1662" s="2"/>
    </row>
    <row r="1663" spans="1:4">
      <c r="A1663" s="3">
        <v>89</v>
      </c>
      <c r="B1663" s="3" t="s">
        <v>339</v>
      </c>
      <c r="C1663" s="3" t="s">
        <v>2748</v>
      </c>
      <c r="D1663" s="3"/>
    </row>
    <row r="1664" spans="1:4">
      <c r="A1664" s="2">
        <v>89</v>
      </c>
      <c r="B1664" s="2" t="s">
        <v>339</v>
      </c>
      <c r="C1664" s="2" t="s">
        <v>2749</v>
      </c>
      <c r="D1664" s="2"/>
    </row>
    <row r="1665" spans="1:4">
      <c r="A1665" s="3">
        <v>89</v>
      </c>
      <c r="B1665" s="3" t="s">
        <v>339</v>
      </c>
      <c r="C1665" s="3" t="s">
        <v>2750</v>
      </c>
      <c r="D1665" s="3"/>
    </row>
    <row r="1666" spans="1:4">
      <c r="A1666" s="2">
        <v>89</v>
      </c>
      <c r="B1666" s="2" t="s">
        <v>339</v>
      </c>
      <c r="C1666" s="2" t="s">
        <v>2751</v>
      </c>
      <c r="D1666" s="2"/>
    </row>
    <row r="1667" spans="1:4">
      <c r="A1667" s="3">
        <v>89</v>
      </c>
      <c r="B1667" s="3" t="s">
        <v>339</v>
      </c>
      <c r="C1667" s="3" t="s">
        <v>2752</v>
      </c>
      <c r="D1667" s="3"/>
    </row>
    <row r="1668" spans="1:4">
      <c r="A1668" s="2">
        <v>89</v>
      </c>
      <c r="B1668" s="2" t="s">
        <v>339</v>
      </c>
      <c r="C1668" s="2" t="s">
        <v>2753</v>
      </c>
      <c r="D1668" s="2"/>
    </row>
    <row r="1669" spans="1:4">
      <c r="A1669" s="3">
        <v>89</v>
      </c>
      <c r="B1669" s="3" t="s">
        <v>339</v>
      </c>
      <c r="C1669" s="3" t="s">
        <v>2754</v>
      </c>
      <c r="D1669" s="3"/>
    </row>
    <row r="1670" spans="1:4">
      <c r="A1670" s="2">
        <v>89</v>
      </c>
      <c r="B1670" s="2" t="s">
        <v>339</v>
      </c>
      <c r="C1670" s="2" t="s">
        <v>2755</v>
      </c>
      <c r="D1670" s="2"/>
    </row>
    <row r="1671" spans="1:4">
      <c r="A1671" s="3">
        <v>89</v>
      </c>
      <c r="B1671" s="3" t="s">
        <v>339</v>
      </c>
      <c r="C1671" s="3" t="s">
        <v>2756</v>
      </c>
      <c r="D1671" s="3"/>
    </row>
    <row r="1672" spans="1:4">
      <c r="A1672" s="2">
        <v>89</v>
      </c>
      <c r="B1672" s="2" t="s">
        <v>339</v>
      </c>
      <c r="C1672" s="2" t="s">
        <v>2757</v>
      </c>
      <c r="D1672" s="2"/>
    </row>
    <row r="1673" spans="1:4">
      <c r="A1673" s="3">
        <v>89</v>
      </c>
      <c r="B1673" s="3" t="s">
        <v>339</v>
      </c>
      <c r="C1673" s="3" t="s">
        <v>2758</v>
      </c>
      <c r="D1673" s="3"/>
    </row>
    <row r="1674" spans="1:4">
      <c r="A1674" s="2">
        <v>89</v>
      </c>
      <c r="B1674" s="2" t="s">
        <v>339</v>
      </c>
      <c r="C1674" s="2" t="s">
        <v>2759</v>
      </c>
      <c r="D1674" s="2"/>
    </row>
    <row r="1675" spans="1:4">
      <c r="A1675" s="3">
        <v>89</v>
      </c>
      <c r="B1675" s="3" t="s">
        <v>339</v>
      </c>
      <c r="C1675" s="3" t="s">
        <v>2760</v>
      </c>
      <c r="D1675" s="3"/>
    </row>
    <row r="1676" spans="1:4">
      <c r="A1676" s="2">
        <v>89</v>
      </c>
      <c r="B1676" s="2" t="s">
        <v>339</v>
      </c>
      <c r="C1676" s="2" t="s">
        <v>2761</v>
      </c>
      <c r="D1676" s="2"/>
    </row>
    <row r="1677" spans="1:4">
      <c r="A1677" s="3">
        <v>89</v>
      </c>
      <c r="B1677" s="3" t="s">
        <v>339</v>
      </c>
      <c r="C1677" s="3" t="s">
        <v>2762</v>
      </c>
      <c r="D1677" s="3"/>
    </row>
    <row r="1678" spans="1:4">
      <c r="A1678" s="2">
        <v>89</v>
      </c>
      <c r="B1678" s="2" t="s">
        <v>339</v>
      </c>
      <c r="C1678" s="2" t="s">
        <v>2763</v>
      </c>
      <c r="D1678" s="2"/>
    </row>
    <row r="1679" spans="1:4">
      <c r="A1679" s="3">
        <v>89</v>
      </c>
      <c r="B1679" s="3" t="s">
        <v>339</v>
      </c>
      <c r="C1679" s="3" t="s">
        <v>2764</v>
      </c>
      <c r="D1679" s="3"/>
    </row>
    <row r="1680" spans="1:4">
      <c r="A1680" s="2">
        <v>89</v>
      </c>
      <c r="B1680" s="2" t="s">
        <v>339</v>
      </c>
      <c r="C1680" s="2" t="s">
        <v>2765</v>
      </c>
      <c r="D1680" s="2"/>
    </row>
    <row r="1681" spans="1:4">
      <c r="A1681" s="3">
        <v>89</v>
      </c>
      <c r="B1681" s="3" t="s">
        <v>339</v>
      </c>
      <c r="C1681" s="3" t="s">
        <v>2766</v>
      </c>
      <c r="D1681" s="3"/>
    </row>
    <row r="1682" spans="1:4">
      <c r="A1682" s="2">
        <v>89</v>
      </c>
      <c r="B1682" s="2" t="s">
        <v>339</v>
      </c>
      <c r="C1682" s="2" t="s">
        <v>2767</v>
      </c>
      <c r="D1682" s="2"/>
    </row>
    <row r="1683" spans="1:4">
      <c r="A1683" s="3">
        <v>89</v>
      </c>
      <c r="B1683" s="3" t="s">
        <v>339</v>
      </c>
      <c r="C1683" s="3" t="s">
        <v>2768</v>
      </c>
      <c r="D1683" s="3"/>
    </row>
    <row r="1684" spans="1:4">
      <c r="A1684" s="2">
        <v>89</v>
      </c>
      <c r="B1684" s="2" t="s">
        <v>339</v>
      </c>
      <c r="C1684" s="2" t="s">
        <v>2769</v>
      </c>
      <c r="D1684" s="2"/>
    </row>
    <row r="1685" spans="1:4">
      <c r="A1685" s="3">
        <v>89</v>
      </c>
      <c r="B1685" s="3" t="s">
        <v>339</v>
      </c>
      <c r="C1685" s="3" t="s">
        <v>2770</v>
      </c>
      <c r="D1685" s="3"/>
    </row>
    <row r="1686" spans="1:4">
      <c r="A1686" s="2">
        <v>89</v>
      </c>
      <c r="B1686" s="2" t="s">
        <v>339</v>
      </c>
      <c r="C1686" s="2" t="s">
        <v>2771</v>
      </c>
      <c r="D1686" s="2"/>
    </row>
    <row r="1687" spans="1:4">
      <c r="A1687" s="3">
        <v>89</v>
      </c>
      <c r="B1687" s="3" t="s">
        <v>339</v>
      </c>
      <c r="C1687" s="3" t="s">
        <v>2772</v>
      </c>
      <c r="D1687" s="3"/>
    </row>
    <row r="1688" spans="1:4">
      <c r="A1688" s="2">
        <v>89</v>
      </c>
      <c r="B1688" s="2" t="s">
        <v>339</v>
      </c>
      <c r="C1688" s="2" t="s">
        <v>2773</v>
      </c>
      <c r="D1688" s="2"/>
    </row>
    <row r="1689" spans="1:4">
      <c r="A1689" s="3">
        <v>89</v>
      </c>
      <c r="B1689" s="3" t="s">
        <v>339</v>
      </c>
      <c r="C1689" s="3" t="s">
        <v>2774</v>
      </c>
      <c r="D1689" s="3"/>
    </row>
    <row r="1690" spans="1:4">
      <c r="A1690" s="2">
        <v>89</v>
      </c>
      <c r="B1690" s="2" t="s">
        <v>339</v>
      </c>
      <c r="C1690" s="2" t="s">
        <v>2775</v>
      </c>
      <c r="D1690" s="2"/>
    </row>
    <row r="1691" spans="1:4">
      <c r="A1691" s="3">
        <v>89</v>
      </c>
      <c r="B1691" s="3" t="s">
        <v>339</v>
      </c>
      <c r="C1691" s="3" t="s">
        <v>2776</v>
      </c>
      <c r="D1691" s="3"/>
    </row>
    <row r="1692" spans="1:4">
      <c r="A1692" s="2">
        <v>89</v>
      </c>
      <c r="B1692" s="2" t="s">
        <v>339</v>
      </c>
      <c r="C1692" s="2" t="s">
        <v>2777</v>
      </c>
      <c r="D1692" s="2"/>
    </row>
    <row r="1693" spans="1:4">
      <c r="A1693" s="3">
        <v>89</v>
      </c>
      <c r="B1693" s="3" t="s">
        <v>339</v>
      </c>
      <c r="C1693" s="3" t="s">
        <v>2778</v>
      </c>
      <c r="D1693" s="3"/>
    </row>
    <row r="1694" spans="1:4">
      <c r="A1694" s="2">
        <v>89</v>
      </c>
      <c r="B1694" s="2" t="s">
        <v>339</v>
      </c>
      <c r="C1694" s="2" t="s">
        <v>2779</v>
      </c>
      <c r="D1694" s="2"/>
    </row>
    <row r="1695" spans="1:4">
      <c r="A1695" s="3">
        <v>89</v>
      </c>
      <c r="B1695" s="3" t="s">
        <v>339</v>
      </c>
      <c r="C1695" s="3" t="s">
        <v>2780</v>
      </c>
      <c r="D1695" s="3"/>
    </row>
    <row r="1696" spans="1:4">
      <c r="A1696" s="2">
        <v>89</v>
      </c>
      <c r="B1696" s="2" t="s">
        <v>339</v>
      </c>
      <c r="C1696" s="2" t="s">
        <v>2781</v>
      </c>
      <c r="D1696" s="2"/>
    </row>
    <row r="1697" spans="1:4">
      <c r="A1697" s="3">
        <v>89</v>
      </c>
      <c r="B1697" s="3" t="s">
        <v>339</v>
      </c>
      <c r="C1697" s="3" t="s">
        <v>2782</v>
      </c>
      <c r="D1697" s="3"/>
    </row>
    <row r="1698" spans="1:4">
      <c r="A1698" s="2">
        <v>89</v>
      </c>
      <c r="B1698" s="2" t="s">
        <v>339</v>
      </c>
      <c r="C1698" s="2" t="s">
        <v>2783</v>
      </c>
      <c r="D1698" s="2"/>
    </row>
    <row r="1699" spans="1:4">
      <c r="A1699" s="3">
        <v>89</v>
      </c>
      <c r="B1699" s="3" t="s">
        <v>339</v>
      </c>
      <c r="C1699" s="3" t="s">
        <v>2784</v>
      </c>
      <c r="D1699" s="3"/>
    </row>
    <row r="1700" spans="1:4">
      <c r="A1700" s="2">
        <v>89</v>
      </c>
      <c r="B1700" s="2" t="s">
        <v>339</v>
      </c>
      <c r="C1700" s="2" t="s">
        <v>2785</v>
      </c>
      <c r="D1700" s="2"/>
    </row>
    <row r="1701" spans="1:4">
      <c r="A1701" s="3">
        <v>89</v>
      </c>
      <c r="B1701" s="3" t="s">
        <v>339</v>
      </c>
      <c r="C1701" s="3" t="s">
        <v>2786</v>
      </c>
      <c r="D1701" s="3"/>
    </row>
    <row r="1702" spans="1:4">
      <c r="A1702" s="2">
        <v>89</v>
      </c>
      <c r="B1702" s="2" t="s">
        <v>339</v>
      </c>
      <c r="C1702" s="2" t="s">
        <v>2787</v>
      </c>
      <c r="D1702" s="2"/>
    </row>
    <row r="1703" spans="1:4">
      <c r="A1703" s="3">
        <v>89</v>
      </c>
      <c r="B1703" s="3" t="s">
        <v>339</v>
      </c>
      <c r="C1703" s="3" t="s">
        <v>2788</v>
      </c>
      <c r="D1703" s="3"/>
    </row>
    <row r="1704" spans="1:4">
      <c r="A1704" s="2">
        <v>89</v>
      </c>
      <c r="B1704" s="2" t="s">
        <v>339</v>
      </c>
      <c r="C1704" s="2" t="s">
        <v>2789</v>
      </c>
      <c r="D1704" s="2"/>
    </row>
    <row r="1705" spans="1:4">
      <c r="A1705" s="3">
        <v>89</v>
      </c>
      <c r="B1705" s="3" t="s">
        <v>339</v>
      </c>
      <c r="C1705" s="3" t="s">
        <v>2790</v>
      </c>
      <c r="D1705" s="3"/>
    </row>
    <row r="1706" spans="1:4">
      <c r="A1706" s="2">
        <v>89</v>
      </c>
      <c r="B1706" s="2" t="s">
        <v>339</v>
      </c>
      <c r="C1706" s="2" t="s">
        <v>2791</v>
      </c>
      <c r="D1706" s="2"/>
    </row>
    <row r="1707" spans="1:4">
      <c r="A1707" s="3">
        <v>89</v>
      </c>
      <c r="B1707" s="3" t="s">
        <v>339</v>
      </c>
      <c r="C1707" s="3" t="s">
        <v>2792</v>
      </c>
      <c r="D1707" s="3"/>
    </row>
    <row r="1708" spans="1:4">
      <c r="A1708" s="2">
        <v>89</v>
      </c>
      <c r="B1708" s="2" t="s">
        <v>339</v>
      </c>
      <c r="C1708" s="2" t="s">
        <v>2793</v>
      </c>
      <c r="D1708" s="2"/>
    </row>
    <row r="1709" spans="1:4">
      <c r="A1709" s="3">
        <v>89</v>
      </c>
      <c r="B1709" s="3" t="s">
        <v>339</v>
      </c>
      <c r="C1709" s="3" t="s">
        <v>2794</v>
      </c>
      <c r="D1709" s="3"/>
    </row>
    <row r="1710" spans="1:4">
      <c r="A1710" s="2">
        <v>89</v>
      </c>
      <c r="B1710" s="2" t="s">
        <v>339</v>
      </c>
      <c r="C1710" s="2" t="s">
        <v>2795</v>
      </c>
      <c r="D1710" s="2"/>
    </row>
    <row r="1711" spans="1:4">
      <c r="A1711" s="3">
        <v>90</v>
      </c>
      <c r="B1711" s="3" t="s">
        <v>355</v>
      </c>
      <c r="C1711" s="3" t="s">
        <v>2796</v>
      </c>
      <c r="D1711" s="3"/>
    </row>
    <row r="1712" spans="1:4">
      <c r="A1712" s="2">
        <v>90</v>
      </c>
      <c r="B1712" s="2" t="s">
        <v>355</v>
      </c>
      <c r="C1712" s="2" t="s">
        <v>2797</v>
      </c>
      <c r="D1712" s="2"/>
    </row>
    <row r="1713" spans="1:4">
      <c r="A1713" s="3">
        <v>90</v>
      </c>
      <c r="B1713" s="3" t="s">
        <v>355</v>
      </c>
      <c r="C1713" s="3" t="s">
        <v>2798</v>
      </c>
      <c r="D1713" s="3"/>
    </row>
    <row r="1714" spans="1:4">
      <c r="A1714" s="2">
        <v>90</v>
      </c>
      <c r="B1714" s="2" t="s">
        <v>355</v>
      </c>
      <c r="C1714" s="2" t="s">
        <v>2799</v>
      </c>
      <c r="D1714" s="2"/>
    </row>
    <row r="1715" spans="1:4">
      <c r="A1715" s="3">
        <v>90</v>
      </c>
      <c r="B1715" s="3" t="s">
        <v>355</v>
      </c>
      <c r="C1715" s="3" t="s">
        <v>2800</v>
      </c>
      <c r="D1715" s="3"/>
    </row>
    <row r="1716" spans="1:4">
      <c r="A1716" s="2">
        <v>90</v>
      </c>
      <c r="B1716" s="2" t="s">
        <v>355</v>
      </c>
      <c r="C1716" s="2" t="s">
        <v>2801</v>
      </c>
      <c r="D1716" s="2"/>
    </row>
    <row r="1717" spans="1:4">
      <c r="A1717" s="3">
        <v>90</v>
      </c>
      <c r="B1717" s="3" t="s">
        <v>355</v>
      </c>
      <c r="C1717" s="3" t="s">
        <v>2802</v>
      </c>
      <c r="D1717" s="3"/>
    </row>
    <row r="1718" spans="1:4">
      <c r="A1718" s="2">
        <v>90</v>
      </c>
      <c r="B1718" s="2" t="s">
        <v>355</v>
      </c>
      <c r="C1718" s="2" t="s">
        <v>2803</v>
      </c>
      <c r="D1718" s="2"/>
    </row>
    <row r="1719" spans="1:4">
      <c r="A1719" s="3">
        <v>90</v>
      </c>
      <c r="B1719" s="3" t="s">
        <v>355</v>
      </c>
      <c r="C1719" s="3" t="s">
        <v>2804</v>
      </c>
      <c r="D1719" s="3"/>
    </row>
    <row r="1720" spans="1:4">
      <c r="A1720" s="2">
        <v>90</v>
      </c>
      <c r="B1720" s="2" t="s">
        <v>355</v>
      </c>
      <c r="C1720" s="2" t="s">
        <v>2805</v>
      </c>
      <c r="D1720" s="2"/>
    </row>
    <row r="1721" spans="1:4">
      <c r="A1721" s="3">
        <v>90</v>
      </c>
      <c r="B1721" s="3" t="s">
        <v>355</v>
      </c>
      <c r="C1721" s="3" t="s">
        <v>2806</v>
      </c>
      <c r="D1721" s="3"/>
    </row>
    <row r="1722" spans="1:4">
      <c r="A1722" s="2">
        <v>90</v>
      </c>
      <c r="B1722" s="2" t="s">
        <v>355</v>
      </c>
      <c r="C1722" s="2" t="s">
        <v>2807</v>
      </c>
      <c r="D1722" s="2"/>
    </row>
    <row r="1723" spans="1:4">
      <c r="A1723" s="3">
        <v>90</v>
      </c>
      <c r="B1723" s="3" t="s">
        <v>355</v>
      </c>
      <c r="C1723" s="3" t="s">
        <v>2808</v>
      </c>
      <c r="D1723" s="3"/>
    </row>
    <row r="1724" spans="1:4">
      <c r="A1724" s="2">
        <v>90</v>
      </c>
      <c r="B1724" s="2" t="s">
        <v>355</v>
      </c>
      <c r="C1724" s="2" t="s">
        <v>2809</v>
      </c>
      <c r="D1724" s="2"/>
    </row>
    <row r="1725" spans="1:4">
      <c r="A1725" s="3">
        <v>90</v>
      </c>
      <c r="B1725" s="3" t="s">
        <v>355</v>
      </c>
      <c r="C1725" s="3" t="s">
        <v>2810</v>
      </c>
      <c r="D1725" s="3"/>
    </row>
    <row r="1726" spans="1:4">
      <c r="A1726" s="2">
        <v>90</v>
      </c>
      <c r="B1726" s="2" t="s">
        <v>355</v>
      </c>
      <c r="C1726" s="2" t="s">
        <v>2811</v>
      </c>
      <c r="D1726" s="2"/>
    </row>
    <row r="1727" spans="1:4">
      <c r="A1727" s="3">
        <v>90</v>
      </c>
      <c r="B1727" s="3" t="s">
        <v>355</v>
      </c>
      <c r="C1727" s="3" t="s">
        <v>2812</v>
      </c>
      <c r="D1727" s="3"/>
    </row>
    <row r="1728" spans="1:4">
      <c r="A1728" s="2">
        <v>90</v>
      </c>
      <c r="B1728" s="2" t="s">
        <v>355</v>
      </c>
      <c r="C1728" s="2" t="s">
        <v>2813</v>
      </c>
      <c r="D1728" s="2"/>
    </row>
    <row r="1729" spans="1:4">
      <c r="A1729" s="3">
        <v>90</v>
      </c>
      <c r="B1729" s="3" t="s">
        <v>355</v>
      </c>
      <c r="C1729" s="3" t="s">
        <v>2814</v>
      </c>
      <c r="D1729" s="3"/>
    </row>
    <row r="1730" spans="1:4">
      <c r="A1730" s="2">
        <v>90</v>
      </c>
      <c r="B1730" s="2" t="s">
        <v>355</v>
      </c>
      <c r="C1730" s="2" t="s">
        <v>2815</v>
      </c>
      <c r="D1730" s="2"/>
    </row>
    <row r="1731" spans="1:4">
      <c r="A1731" s="3">
        <v>90</v>
      </c>
      <c r="B1731" s="3" t="s">
        <v>355</v>
      </c>
      <c r="C1731" s="3" t="s">
        <v>2816</v>
      </c>
      <c r="D1731" s="3"/>
    </row>
    <row r="1732" spans="1:4">
      <c r="A1732" s="2">
        <v>90</v>
      </c>
      <c r="B1732" s="2" t="s">
        <v>355</v>
      </c>
      <c r="C1732" s="2" t="s">
        <v>2817</v>
      </c>
      <c r="D1732" s="2"/>
    </row>
    <row r="1733" spans="1:4">
      <c r="A1733" s="3">
        <v>90</v>
      </c>
      <c r="B1733" s="3" t="s">
        <v>355</v>
      </c>
      <c r="C1733" s="3" t="s">
        <v>2818</v>
      </c>
      <c r="D1733" s="3"/>
    </row>
    <row r="1734" spans="1:4">
      <c r="A1734" s="2">
        <v>90</v>
      </c>
      <c r="B1734" s="2" t="s">
        <v>355</v>
      </c>
      <c r="C1734" s="2" t="s">
        <v>2819</v>
      </c>
      <c r="D1734" s="2"/>
    </row>
    <row r="1735" spans="1:4">
      <c r="A1735" s="3">
        <v>90</v>
      </c>
      <c r="B1735" s="3" t="s">
        <v>355</v>
      </c>
      <c r="C1735" s="3" t="s">
        <v>2820</v>
      </c>
      <c r="D1735" s="3"/>
    </row>
    <row r="1736" spans="1:4">
      <c r="A1736" s="2">
        <v>90</v>
      </c>
      <c r="B1736" s="2" t="s">
        <v>355</v>
      </c>
      <c r="C1736" s="2" t="s">
        <v>2821</v>
      </c>
      <c r="D1736" s="2"/>
    </row>
    <row r="1737" spans="1:4">
      <c r="A1737" s="3">
        <v>90</v>
      </c>
      <c r="B1737" s="3" t="s">
        <v>355</v>
      </c>
      <c r="C1737" s="3" t="s">
        <v>2822</v>
      </c>
      <c r="D1737" s="3"/>
    </row>
    <row r="1738" spans="1:4">
      <c r="A1738" s="2">
        <v>90</v>
      </c>
      <c r="B1738" s="2" t="s">
        <v>355</v>
      </c>
      <c r="C1738" s="2" t="s">
        <v>2823</v>
      </c>
      <c r="D1738" s="2"/>
    </row>
    <row r="1739" spans="1:4">
      <c r="A1739" s="3">
        <v>90</v>
      </c>
      <c r="B1739" s="3" t="s">
        <v>355</v>
      </c>
      <c r="C1739" s="3" t="s">
        <v>2824</v>
      </c>
      <c r="D1739" s="3"/>
    </row>
    <row r="1740" spans="1:4">
      <c r="A1740" s="2">
        <v>90</v>
      </c>
      <c r="B1740" s="2" t="s">
        <v>355</v>
      </c>
      <c r="C1740" s="2" t="s">
        <v>2825</v>
      </c>
      <c r="D1740" s="2"/>
    </row>
    <row r="1741" spans="1:4">
      <c r="A1741" s="3">
        <v>90</v>
      </c>
      <c r="B1741" s="3" t="s">
        <v>355</v>
      </c>
      <c r="C1741" s="3" t="s">
        <v>2826</v>
      </c>
      <c r="D1741" s="3"/>
    </row>
    <row r="1742" spans="1:4">
      <c r="A1742" s="2">
        <v>90</v>
      </c>
      <c r="B1742" s="2" t="s">
        <v>355</v>
      </c>
      <c r="C1742" s="2" t="s">
        <v>2827</v>
      </c>
      <c r="D1742" s="2"/>
    </row>
    <row r="1743" spans="1:4">
      <c r="A1743" s="3">
        <v>90</v>
      </c>
      <c r="B1743" s="3" t="s">
        <v>355</v>
      </c>
      <c r="C1743" s="3" t="s">
        <v>2828</v>
      </c>
      <c r="D1743" s="3"/>
    </row>
    <row r="1744" spans="1:4">
      <c r="A1744" s="2">
        <v>90</v>
      </c>
      <c r="B1744" s="2" t="s">
        <v>355</v>
      </c>
      <c r="C1744" s="2" t="s">
        <v>2829</v>
      </c>
      <c r="D1744" s="2"/>
    </row>
    <row r="1745" spans="1:4">
      <c r="A1745" s="3">
        <v>90</v>
      </c>
      <c r="B1745" s="3" t="s">
        <v>355</v>
      </c>
      <c r="C1745" s="3" t="s">
        <v>2830</v>
      </c>
      <c r="D1745" s="3"/>
    </row>
    <row r="1746" spans="1:4">
      <c r="A1746" s="2">
        <v>90</v>
      </c>
      <c r="B1746" s="2" t="s">
        <v>355</v>
      </c>
      <c r="C1746" s="2" t="s">
        <v>2831</v>
      </c>
      <c r="D1746" s="2"/>
    </row>
    <row r="1747" spans="1:4">
      <c r="A1747" s="3">
        <v>90</v>
      </c>
      <c r="B1747" s="3" t="s">
        <v>355</v>
      </c>
      <c r="C1747" s="3" t="s">
        <v>2832</v>
      </c>
      <c r="D1747" s="3"/>
    </row>
    <row r="1748" spans="1:4">
      <c r="A1748" s="2">
        <v>90</v>
      </c>
      <c r="B1748" s="2" t="s">
        <v>355</v>
      </c>
      <c r="C1748" s="2" t="s">
        <v>2833</v>
      </c>
      <c r="D1748" s="2"/>
    </row>
    <row r="1749" spans="1:4">
      <c r="A1749" s="3">
        <v>90</v>
      </c>
      <c r="B1749" s="3" t="s">
        <v>355</v>
      </c>
      <c r="C1749" s="3" t="s">
        <v>2834</v>
      </c>
      <c r="D1749" s="3"/>
    </row>
    <row r="1750" spans="1:4">
      <c r="A1750" s="2">
        <v>90</v>
      </c>
      <c r="B1750" s="2" t="s">
        <v>355</v>
      </c>
      <c r="C1750" s="2" t="s">
        <v>2835</v>
      </c>
      <c r="D1750" s="2"/>
    </row>
    <row r="1751" spans="1:4">
      <c r="A1751" s="3">
        <v>90</v>
      </c>
      <c r="B1751" s="3" t="s">
        <v>355</v>
      </c>
      <c r="C1751" s="3" t="s">
        <v>2836</v>
      </c>
      <c r="D1751" s="3"/>
    </row>
    <row r="1752" spans="1:4">
      <c r="A1752" s="2">
        <v>90</v>
      </c>
      <c r="B1752" s="2" t="s">
        <v>355</v>
      </c>
      <c r="C1752" s="2" t="s">
        <v>2837</v>
      </c>
      <c r="D1752" s="2"/>
    </row>
    <row r="1753" spans="1:4">
      <c r="A1753" s="3">
        <v>90</v>
      </c>
      <c r="B1753" s="3" t="s">
        <v>355</v>
      </c>
      <c r="C1753" s="3" t="s">
        <v>2838</v>
      </c>
      <c r="D1753" s="3"/>
    </row>
    <row r="1754" spans="1:4">
      <c r="A1754" s="2">
        <v>90</v>
      </c>
      <c r="B1754" s="2" t="s">
        <v>355</v>
      </c>
      <c r="C1754" s="2" t="s">
        <v>2839</v>
      </c>
      <c r="D1754" s="2"/>
    </row>
    <row r="1755" spans="1:4">
      <c r="A1755" s="3">
        <v>90</v>
      </c>
      <c r="B1755" s="3" t="s">
        <v>355</v>
      </c>
      <c r="C1755" s="3" t="s">
        <v>2840</v>
      </c>
      <c r="D1755" s="3"/>
    </row>
    <row r="1756" spans="1:4">
      <c r="A1756" s="2">
        <v>90</v>
      </c>
      <c r="B1756" s="2" t="s">
        <v>355</v>
      </c>
      <c r="C1756" s="2" t="s">
        <v>2841</v>
      </c>
      <c r="D1756" s="2"/>
    </row>
    <row r="1757" spans="1:4">
      <c r="A1757" s="3">
        <v>90</v>
      </c>
      <c r="B1757" s="3" t="s">
        <v>355</v>
      </c>
      <c r="C1757" s="3" t="s">
        <v>2842</v>
      </c>
      <c r="D1757" s="3"/>
    </row>
    <row r="1758" spans="1:4">
      <c r="A1758" s="2">
        <v>90</v>
      </c>
      <c r="B1758" s="2" t="s">
        <v>355</v>
      </c>
      <c r="C1758" s="2" t="s">
        <v>2843</v>
      </c>
      <c r="D1758" s="2"/>
    </row>
    <row r="1759" spans="1:4">
      <c r="A1759" s="3">
        <v>90</v>
      </c>
      <c r="B1759" s="3" t="s">
        <v>355</v>
      </c>
      <c r="C1759" s="3" t="s">
        <v>2844</v>
      </c>
      <c r="D1759" s="3"/>
    </row>
    <row r="1760" spans="1:4">
      <c r="A1760" s="2">
        <v>90</v>
      </c>
      <c r="B1760" s="2" t="s">
        <v>355</v>
      </c>
      <c r="C1760" s="2" t="s">
        <v>2845</v>
      </c>
      <c r="D1760" s="2"/>
    </row>
    <row r="1761" spans="1:4">
      <c r="A1761" s="3">
        <v>92</v>
      </c>
      <c r="B1761" s="3" t="s">
        <v>330</v>
      </c>
      <c r="C1761" s="3" t="s">
        <v>2846</v>
      </c>
      <c r="D1761" s="3"/>
    </row>
    <row r="1762" spans="1:4">
      <c r="A1762" s="2">
        <v>92</v>
      </c>
      <c r="B1762" s="2" t="s">
        <v>330</v>
      </c>
      <c r="C1762" s="2" t="s">
        <v>2847</v>
      </c>
      <c r="D1762" s="2"/>
    </row>
    <row r="1763" spans="1:4">
      <c r="A1763" s="3">
        <v>92</v>
      </c>
      <c r="B1763" s="3" t="s">
        <v>330</v>
      </c>
      <c r="C1763" s="3" t="s">
        <v>2848</v>
      </c>
      <c r="D1763" s="3"/>
    </row>
    <row r="1764" spans="1:4">
      <c r="A1764" s="2">
        <v>92</v>
      </c>
      <c r="B1764" s="2" t="s">
        <v>330</v>
      </c>
      <c r="C1764" s="2" t="s">
        <v>2849</v>
      </c>
      <c r="D1764" s="2"/>
    </row>
    <row r="1765" spans="1:4">
      <c r="A1765" s="3">
        <v>92</v>
      </c>
      <c r="B1765" s="3" t="s">
        <v>330</v>
      </c>
      <c r="C1765" s="3" t="s">
        <v>2850</v>
      </c>
      <c r="D1765" s="3"/>
    </row>
    <row r="1766" spans="1:4">
      <c r="A1766" s="2">
        <v>92</v>
      </c>
      <c r="B1766" s="2" t="s">
        <v>330</v>
      </c>
      <c r="C1766" s="2" t="s">
        <v>2851</v>
      </c>
      <c r="D1766" s="2"/>
    </row>
    <row r="1767" spans="1:4">
      <c r="A1767" s="3">
        <v>92</v>
      </c>
      <c r="B1767" s="3" t="s">
        <v>330</v>
      </c>
      <c r="C1767" s="3" t="s">
        <v>2852</v>
      </c>
      <c r="D1767" s="3"/>
    </row>
    <row r="1768" spans="1:4">
      <c r="A1768" s="2">
        <v>92</v>
      </c>
      <c r="B1768" s="2" t="s">
        <v>330</v>
      </c>
      <c r="C1768" s="2" t="s">
        <v>2853</v>
      </c>
      <c r="D1768" s="2"/>
    </row>
    <row r="1769" spans="1:4">
      <c r="A1769" s="3">
        <v>92</v>
      </c>
      <c r="B1769" s="3" t="s">
        <v>330</v>
      </c>
      <c r="C1769" s="3" t="s">
        <v>2854</v>
      </c>
      <c r="D1769" s="3"/>
    </row>
    <row r="1770" spans="1:4">
      <c r="A1770" s="2">
        <v>92</v>
      </c>
      <c r="B1770" s="2" t="s">
        <v>330</v>
      </c>
      <c r="C1770" s="2" t="s">
        <v>2855</v>
      </c>
      <c r="D1770" s="2"/>
    </row>
    <row r="1771" spans="1:4">
      <c r="A1771" s="3">
        <v>92</v>
      </c>
      <c r="B1771" s="3" t="s">
        <v>330</v>
      </c>
      <c r="C1771" s="3" t="s">
        <v>2856</v>
      </c>
      <c r="D1771" s="3"/>
    </row>
    <row r="1772" spans="1:4">
      <c r="A1772" s="2">
        <v>92</v>
      </c>
      <c r="B1772" s="2" t="s">
        <v>330</v>
      </c>
      <c r="C1772" s="2" t="s">
        <v>2857</v>
      </c>
      <c r="D1772" s="2"/>
    </row>
    <row r="1773" spans="1:4">
      <c r="A1773" s="3">
        <v>92</v>
      </c>
      <c r="B1773" s="3" t="s">
        <v>330</v>
      </c>
      <c r="C1773" s="3" t="s">
        <v>2858</v>
      </c>
      <c r="D1773" s="3"/>
    </row>
    <row r="1774" spans="1:4">
      <c r="A1774" s="2">
        <v>92</v>
      </c>
      <c r="B1774" s="2" t="s">
        <v>330</v>
      </c>
      <c r="C1774" s="2" t="s">
        <v>2859</v>
      </c>
      <c r="D1774" s="2"/>
    </row>
    <row r="1775" spans="1:4">
      <c r="A1775" s="3">
        <v>92</v>
      </c>
      <c r="B1775" s="3" t="s">
        <v>330</v>
      </c>
      <c r="C1775" s="3" t="s">
        <v>2860</v>
      </c>
      <c r="D1775" s="3"/>
    </row>
    <row r="1776" spans="1:4">
      <c r="A1776" s="2">
        <v>92</v>
      </c>
      <c r="B1776" s="2" t="s">
        <v>330</v>
      </c>
      <c r="C1776" s="2" t="s">
        <v>2861</v>
      </c>
      <c r="D1776" s="2"/>
    </row>
    <row r="1777" spans="1:4">
      <c r="A1777" s="3">
        <v>92</v>
      </c>
      <c r="B1777" s="3" t="s">
        <v>330</v>
      </c>
      <c r="C1777" s="3" t="s">
        <v>2862</v>
      </c>
      <c r="D1777" s="3"/>
    </row>
    <row r="1778" spans="1:4">
      <c r="A1778" s="2">
        <v>92</v>
      </c>
      <c r="B1778" s="2" t="s">
        <v>330</v>
      </c>
      <c r="C1778" s="2" t="s">
        <v>2863</v>
      </c>
      <c r="D1778" s="2"/>
    </row>
    <row r="1779" spans="1:4">
      <c r="A1779" s="3">
        <v>92</v>
      </c>
      <c r="B1779" s="3" t="s">
        <v>330</v>
      </c>
      <c r="C1779" s="3" t="s">
        <v>2864</v>
      </c>
      <c r="D1779" s="3"/>
    </row>
    <row r="1780" spans="1:4">
      <c r="A1780" s="2">
        <v>92</v>
      </c>
      <c r="B1780" s="2" t="s">
        <v>330</v>
      </c>
      <c r="C1780" s="2" t="s">
        <v>2865</v>
      </c>
      <c r="D1780" s="2"/>
    </row>
    <row r="1781" spans="1:4">
      <c r="A1781" s="3">
        <v>92</v>
      </c>
      <c r="B1781" s="3" t="s">
        <v>330</v>
      </c>
      <c r="C1781" s="3" t="s">
        <v>2866</v>
      </c>
      <c r="D1781" s="3"/>
    </row>
    <row r="1782" spans="1:4">
      <c r="A1782" s="2">
        <v>92</v>
      </c>
      <c r="B1782" s="2" t="s">
        <v>330</v>
      </c>
      <c r="C1782" s="2" t="s">
        <v>2867</v>
      </c>
      <c r="D1782" s="2"/>
    </row>
    <row r="1783" spans="1:4">
      <c r="A1783" s="3">
        <v>92</v>
      </c>
      <c r="B1783" s="3" t="s">
        <v>330</v>
      </c>
      <c r="C1783" s="3" t="s">
        <v>2868</v>
      </c>
      <c r="D1783" s="3"/>
    </row>
    <row r="1784" spans="1:4">
      <c r="A1784" s="2">
        <v>92</v>
      </c>
      <c r="B1784" s="2" t="s">
        <v>330</v>
      </c>
      <c r="C1784" s="2" t="s">
        <v>2869</v>
      </c>
      <c r="D1784" s="2"/>
    </row>
    <row r="1785" spans="1:4">
      <c r="A1785" s="3">
        <v>92</v>
      </c>
      <c r="B1785" s="3" t="s">
        <v>330</v>
      </c>
      <c r="C1785" s="3" t="s">
        <v>2870</v>
      </c>
      <c r="D1785" s="3"/>
    </row>
    <row r="1786" spans="1:4">
      <c r="A1786" s="2">
        <v>92</v>
      </c>
      <c r="B1786" s="2" t="s">
        <v>330</v>
      </c>
      <c r="C1786" s="2" t="s">
        <v>2871</v>
      </c>
      <c r="D1786" s="2"/>
    </row>
    <row r="1787" spans="1:4">
      <c r="A1787" s="3">
        <v>92</v>
      </c>
      <c r="B1787" s="3" t="s">
        <v>330</v>
      </c>
      <c r="C1787" s="3" t="s">
        <v>2872</v>
      </c>
      <c r="D1787" s="3"/>
    </row>
    <row r="1788" spans="1:4">
      <c r="A1788" s="2">
        <v>92</v>
      </c>
      <c r="B1788" s="2" t="s">
        <v>330</v>
      </c>
      <c r="C1788" s="2" t="s">
        <v>2873</v>
      </c>
      <c r="D1788" s="2"/>
    </row>
    <row r="1789" spans="1:4">
      <c r="A1789" s="3">
        <v>92</v>
      </c>
      <c r="B1789" s="3" t="s">
        <v>330</v>
      </c>
      <c r="C1789" s="3" t="s">
        <v>2874</v>
      </c>
      <c r="D1789" s="3"/>
    </row>
    <row r="1790" spans="1:4">
      <c r="A1790" s="2">
        <v>92</v>
      </c>
      <c r="B1790" s="2" t="s">
        <v>330</v>
      </c>
      <c r="C1790" s="2" t="s">
        <v>2875</v>
      </c>
      <c r="D1790" s="2"/>
    </row>
    <row r="1791" spans="1:4">
      <c r="A1791" s="3">
        <v>92</v>
      </c>
      <c r="B1791" s="3" t="s">
        <v>330</v>
      </c>
      <c r="C1791" s="3" t="s">
        <v>2876</v>
      </c>
      <c r="D1791" s="3"/>
    </row>
    <row r="1792" spans="1:4">
      <c r="A1792" s="2">
        <v>92</v>
      </c>
      <c r="B1792" s="2" t="s">
        <v>330</v>
      </c>
      <c r="C1792" s="2" t="s">
        <v>2877</v>
      </c>
      <c r="D1792" s="2"/>
    </row>
    <row r="1793" spans="1:4">
      <c r="A1793" s="3">
        <v>92</v>
      </c>
      <c r="B1793" s="3" t="s">
        <v>330</v>
      </c>
      <c r="C1793" s="3" t="s">
        <v>2878</v>
      </c>
      <c r="D1793" s="3"/>
    </row>
    <row r="1794" spans="1:4">
      <c r="A1794" s="2">
        <v>92</v>
      </c>
      <c r="B1794" s="2" t="s">
        <v>330</v>
      </c>
      <c r="C1794" s="2" t="s">
        <v>2879</v>
      </c>
      <c r="D1794" s="2"/>
    </row>
    <row r="1795" spans="1:4">
      <c r="A1795" s="3">
        <v>92</v>
      </c>
      <c r="B1795" s="3" t="s">
        <v>330</v>
      </c>
      <c r="C1795" s="3" t="s">
        <v>2880</v>
      </c>
      <c r="D1795" s="3"/>
    </row>
    <row r="1796" spans="1:4">
      <c r="A1796" s="2">
        <v>92</v>
      </c>
      <c r="B1796" s="2" t="s">
        <v>330</v>
      </c>
      <c r="C1796" s="2" t="s">
        <v>2881</v>
      </c>
      <c r="D1796" s="2"/>
    </row>
    <row r="1797" spans="1:4">
      <c r="A1797" s="3">
        <v>92</v>
      </c>
      <c r="B1797" s="3" t="s">
        <v>330</v>
      </c>
      <c r="C1797" s="3" t="s">
        <v>2882</v>
      </c>
      <c r="D1797" s="3"/>
    </row>
    <row r="1798" spans="1:4">
      <c r="A1798" s="2">
        <v>92</v>
      </c>
      <c r="B1798" s="2" t="s">
        <v>330</v>
      </c>
      <c r="C1798" s="2" t="s">
        <v>2883</v>
      </c>
      <c r="D1798" s="2"/>
    </row>
    <row r="1799" spans="1:4">
      <c r="A1799" s="3">
        <v>92</v>
      </c>
      <c r="B1799" s="3" t="s">
        <v>330</v>
      </c>
      <c r="C1799" s="3" t="s">
        <v>2884</v>
      </c>
      <c r="D1799" s="3"/>
    </row>
    <row r="1800" spans="1:4">
      <c r="A1800" s="2">
        <v>92</v>
      </c>
      <c r="B1800" s="2" t="s">
        <v>330</v>
      </c>
      <c r="C1800" s="2" t="s">
        <v>2885</v>
      </c>
      <c r="D1800" s="2"/>
    </row>
    <row r="1801" spans="1:4">
      <c r="A1801" s="3">
        <v>92</v>
      </c>
      <c r="B1801" s="3" t="s">
        <v>330</v>
      </c>
      <c r="C1801" s="3" t="s">
        <v>2886</v>
      </c>
      <c r="D1801" s="3"/>
    </row>
    <row r="1802" spans="1:4">
      <c r="A1802" s="2">
        <v>92</v>
      </c>
      <c r="B1802" s="2" t="s">
        <v>330</v>
      </c>
      <c r="C1802" s="2" t="s">
        <v>2887</v>
      </c>
      <c r="D1802" s="2"/>
    </row>
    <row r="1803" spans="1:4">
      <c r="A1803" s="3">
        <v>92</v>
      </c>
      <c r="B1803" s="3" t="s">
        <v>330</v>
      </c>
      <c r="C1803" s="3" t="s">
        <v>2888</v>
      </c>
      <c r="D1803" s="3"/>
    </row>
    <row r="1804" spans="1:4">
      <c r="A1804" s="2">
        <v>92</v>
      </c>
      <c r="B1804" s="2" t="s">
        <v>330</v>
      </c>
      <c r="C1804" s="2" t="s">
        <v>2889</v>
      </c>
      <c r="D1804" s="2"/>
    </row>
    <row r="1805" spans="1:4">
      <c r="A1805" s="3">
        <v>92</v>
      </c>
      <c r="B1805" s="3" t="s">
        <v>330</v>
      </c>
      <c r="C1805" s="3" t="s">
        <v>2890</v>
      </c>
      <c r="D1805" s="3"/>
    </row>
    <row r="1806" spans="1:4">
      <c r="A1806" s="2">
        <v>92</v>
      </c>
      <c r="B1806" s="2" t="s">
        <v>330</v>
      </c>
      <c r="C1806" s="2" t="s">
        <v>2891</v>
      </c>
      <c r="D1806" s="2"/>
    </row>
    <row r="1807" spans="1:4">
      <c r="A1807" s="3">
        <v>92</v>
      </c>
      <c r="B1807" s="3" t="s">
        <v>330</v>
      </c>
      <c r="C1807" s="3" t="s">
        <v>2892</v>
      </c>
      <c r="D1807" s="3"/>
    </row>
    <row r="1808" spans="1:4">
      <c r="A1808" s="2">
        <v>92</v>
      </c>
      <c r="B1808" s="2" t="s">
        <v>330</v>
      </c>
      <c r="C1808" s="2" t="s">
        <v>2893</v>
      </c>
      <c r="D1808" s="2"/>
    </row>
    <row r="1809" spans="1:4">
      <c r="A1809" s="3">
        <v>92</v>
      </c>
      <c r="B1809" s="3" t="s">
        <v>330</v>
      </c>
      <c r="C1809" s="3" t="s">
        <v>2894</v>
      </c>
      <c r="D1809" s="3"/>
    </row>
    <row r="1810" spans="1:4">
      <c r="A1810" s="2">
        <v>92</v>
      </c>
      <c r="B1810" s="2" t="s">
        <v>330</v>
      </c>
      <c r="C1810" s="2" t="s">
        <v>2895</v>
      </c>
      <c r="D1810" s="2"/>
    </row>
    <row r="1811" spans="1:4">
      <c r="A1811" s="3">
        <v>93</v>
      </c>
      <c r="B1811" s="3" t="s">
        <v>351</v>
      </c>
      <c r="C1811" s="3" t="s">
        <v>2896</v>
      </c>
      <c r="D1811" s="3"/>
    </row>
    <row r="1812" spans="1:4">
      <c r="A1812" s="2">
        <v>93</v>
      </c>
      <c r="B1812" s="2" t="s">
        <v>351</v>
      </c>
      <c r="C1812" s="2" t="s">
        <v>2897</v>
      </c>
      <c r="D1812" s="2"/>
    </row>
    <row r="1813" spans="1:4">
      <c r="A1813" s="3">
        <v>93</v>
      </c>
      <c r="B1813" s="3" t="s">
        <v>351</v>
      </c>
      <c r="C1813" s="3" t="s">
        <v>2898</v>
      </c>
      <c r="D1813" s="3"/>
    </row>
    <row r="1814" spans="1:4">
      <c r="A1814" s="2">
        <v>93</v>
      </c>
      <c r="B1814" s="2" t="s">
        <v>351</v>
      </c>
      <c r="C1814" s="2" t="s">
        <v>2899</v>
      </c>
      <c r="D1814" s="2"/>
    </row>
    <row r="1815" spans="1:4">
      <c r="A1815" s="3">
        <v>93</v>
      </c>
      <c r="B1815" s="3" t="s">
        <v>351</v>
      </c>
      <c r="C1815" s="3" t="s">
        <v>2900</v>
      </c>
      <c r="D1815" s="3"/>
    </row>
    <row r="1816" spans="1:4">
      <c r="A1816" s="2">
        <v>93</v>
      </c>
      <c r="B1816" s="2" t="s">
        <v>351</v>
      </c>
      <c r="C1816" s="2" t="s">
        <v>2901</v>
      </c>
      <c r="D1816" s="2"/>
    </row>
    <row r="1817" spans="1:4">
      <c r="A1817" s="3">
        <v>93</v>
      </c>
      <c r="B1817" s="3" t="s">
        <v>351</v>
      </c>
      <c r="C1817" s="3" t="s">
        <v>2902</v>
      </c>
      <c r="D1817" s="3"/>
    </row>
    <row r="1818" spans="1:4">
      <c r="A1818" s="2">
        <v>93</v>
      </c>
      <c r="B1818" s="2" t="s">
        <v>351</v>
      </c>
      <c r="C1818" s="2" t="s">
        <v>2903</v>
      </c>
      <c r="D1818" s="2"/>
    </row>
    <row r="1819" spans="1:4">
      <c r="A1819" s="3">
        <v>94</v>
      </c>
      <c r="B1819" s="3" t="s">
        <v>316</v>
      </c>
      <c r="C1819" s="3" t="s">
        <v>2904</v>
      </c>
      <c r="D1819" s="3"/>
    </row>
    <row r="1820" spans="1:4">
      <c r="A1820" s="2">
        <v>94</v>
      </c>
      <c r="B1820" s="2" t="s">
        <v>316</v>
      </c>
      <c r="C1820" s="2" t="s">
        <v>2905</v>
      </c>
      <c r="D1820" s="2"/>
    </row>
    <row r="1821" spans="1:4">
      <c r="A1821" s="3">
        <v>94</v>
      </c>
      <c r="B1821" s="3" t="s">
        <v>316</v>
      </c>
      <c r="C1821" s="3" t="s">
        <v>2906</v>
      </c>
      <c r="D1821" s="3"/>
    </row>
    <row r="1822" spans="1:4">
      <c r="A1822" s="2">
        <v>94</v>
      </c>
      <c r="B1822" s="2" t="s">
        <v>316</v>
      </c>
      <c r="C1822" s="2" t="s">
        <v>2907</v>
      </c>
      <c r="D1822" s="2"/>
    </row>
    <row r="1823" spans="1:4">
      <c r="A1823" s="3">
        <v>94</v>
      </c>
      <c r="B1823" s="3" t="s">
        <v>316</v>
      </c>
      <c r="C1823" s="3" t="s">
        <v>2908</v>
      </c>
      <c r="D1823" s="3"/>
    </row>
    <row r="1824" spans="1:4">
      <c r="A1824" s="2">
        <v>94</v>
      </c>
      <c r="B1824" s="2" t="s">
        <v>316</v>
      </c>
      <c r="C1824" s="2" t="s">
        <v>2909</v>
      </c>
      <c r="D1824" s="2"/>
    </row>
    <row r="1825" spans="1:4">
      <c r="A1825" s="3">
        <v>94</v>
      </c>
      <c r="B1825" s="3" t="s">
        <v>316</v>
      </c>
      <c r="C1825" s="3" t="s">
        <v>2910</v>
      </c>
      <c r="D1825" s="3"/>
    </row>
    <row r="1826" spans="1:4">
      <c r="A1826" s="2">
        <v>94</v>
      </c>
      <c r="B1826" s="2" t="s">
        <v>316</v>
      </c>
      <c r="C1826" s="2" t="s">
        <v>2911</v>
      </c>
      <c r="D1826" s="2"/>
    </row>
    <row r="1827" spans="1:4">
      <c r="A1827" s="3">
        <v>94</v>
      </c>
      <c r="B1827" s="3" t="s">
        <v>316</v>
      </c>
      <c r="C1827" s="3" t="s">
        <v>2912</v>
      </c>
      <c r="D1827" s="3"/>
    </row>
    <row r="1828" spans="1:4">
      <c r="A1828" s="2">
        <v>94</v>
      </c>
      <c r="B1828" s="2" t="s">
        <v>316</v>
      </c>
      <c r="C1828" s="2" t="s">
        <v>2913</v>
      </c>
      <c r="D1828" s="2"/>
    </row>
    <row r="1829" spans="1:4">
      <c r="A1829" s="3">
        <v>94</v>
      </c>
      <c r="B1829" s="3" t="s">
        <v>316</v>
      </c>
      <c r="C1829" s="3" t="s">
        <v>2914</v>
      </c>
      <c r="D1829" s="3"/>
    </row>
    <row r="1830" spans="1:4">
      <c r="A1830" s="2">
        <v>94</v>
      </c>
      <c r="B1830" s="2" t="s">
        <v>316</v>
      </c>
      <c r="C1830" s="2" t="s">
        <v>2915</v>
      </c>
      <c r="D1830" s="2"/>
    </row>
    <row r="1831" spans="1:4">
      <c r="A1831" s="3">
        <v>94</v>
      </c>
      <c r="B1831" s="3" t="s">
        <v>316</v>
      </c>
      <c r="C1831" s="3" t="s">
        <v>2916</v>
      </c>
      <c r="D1831" s="3"/>
    </row>
    <row r="1832" spans="1:4">
      <c r="A1832" s="2">
        <v>94</v>
      </c>
      <c r="B1832" s="2" t="s">
        <v>316</v>
      </c>
      <c r="C1832" s="2" t="s">
        <v>2917</v>
      </c>
      <c r="D1832" s="2"/>
    </row>
    <row r="1833" spans="1:4">
      <c r="A1833" s="3">
        <v>94</v>
      </c>
      <c r="B1833" s="3" t="s">
        <v>316</v>
      </c>
      <c r="C1833" s="3" t="s">
        <v>2918</v>
      </c>
      <c r="D1833" s="3"/>
    </row>
    <row r="1834" spans="1:4">
      <c r="A1834" s="2">
        <v>94</v>
      </c>
      <c r="B1834" s="2" t="s">
        <v>316</v>
      </c>
      <c r="C1834" s="2" t="s">
        <v>2919</v>
      </c>
      <c r="D1834" s="2"/>
    </row>
    <row r="1835" spans="1:4">
      <c r="A1835" s="3">
        <v>94</v>
      </c>
      <c r="B1835" s="3" t="s">
        <v>316</v>
      </c>
      <c r="C1835" s="3" t="s">
        <v>2920</v>
      </c>
      <c r="D1835" s="3"/>
    </row>
    <row r="1836" spans="1:4">
      <c r="A1836" s="2">
        <v>94</v>
      </c>
      <c r="B1836" s="2" t="s">
        <v>316</v>
      </c>
      <c r="C1836" s="2" t="s">
        <v>2921</v>
      </c>
      <c r="D1836" s="2"/>
    </row>
    <row r="1837" spans="1:4">
      <c r="A1837" s="3">
        <v>94</v>
      </c>
      <c r="B1837" s="3" t="s">
        <v>316</v>
      </c>
      <c r="C1837" s="3" t="s">
        <v>2922</v>
      </c>
      <c r="D1837" s="3"/>
    </row>
    <row r="1838" spans="1:4">
      <c r="A1838" s="2">
        <v>94</v>
      </c>
      <c r="B1838" s="2" t="s">
        <v>316</v>
      </c>
      <c r="C1838" s="2" t="s">
        <v>2923</v>
      </c>
      <c r="D1838" s="2"/>
    </row>
    <row r="1839" spans="1:4">
      <c r="A1839" s="3">
        <v>94</v>
      </c>
      <c r="B1839" s="3" t="s">
        <v>316</v>
      </c>
      <c r="C1839" s="3" t="s">
        <v>2924</v>
      </c>
      <c r="D1839" s="3"/>
    </row>
    <row r="1840" spans="1:4">
      <c r="A1840" s="2">
        <v>94</v>
      </c>
      <c r="B1840" s="2" t="s">
        <v>316</v>
      </c>
      <c r="C1840" s="2" t="s">
        <v>2925</v>
      </c>
      <c r="D1840" s="2"/>
    </row>
    <row r="1841" spans="1:4">
      <c r="A1841" s="3">
        <v>94</v>
      </c>
      <c r="B1841" s="3" t="s">
        <v>316</v>
      </c>
      <c r="C1841" s="3" t="s">
        <v>2926</v>
      </c>
      <c r="D1841" s="3"/>
    </row>
    <row r="1842" spans="1:4">
      <c r="A1842" s="2">
        <v>94</v>
      </c>
      <c r="B1842" s="2" t="s">
        <v>316</v>
      </c>
      <c r="C1842" s="2" t="s">
        <v>2927</v>
      </c>
      <c r="D1842" s="2"/>
    </row>
    <row r="1843" spans="1:4">
      <c r="A1843" s="3">
        <v>94</v>
      </c>
      <c r="B1843" s="3" t="s">
        <v>316</v>
      </c>
      <c r="C1843" s="3" t="s">
        <v>2928</v>
      </c>
      <c r="D1843" s="3"/>
    </row>
    <row r="1844" spans="1:4">
      <c r="A1844" s="2">
        <v>94</v>
      </c>
      <c r="B1844" s="2" t="s">
        <v>316</v>
      </c>
      <c r="C1844" s="2">
        <f>0·δBdS.</f>
        <v>0</v>
      </c>
      <c r="D1844" s="2"/>
    </row>
    <row r="1845" spans="1:4">
      <c r="A1845" s="3">
        <v>94</v>
      </c>
      <c r="B1845" s="3" t="s">
        <v>316</v>
      </c>
      <c r="C1845" s="3" t="s">
        <v>2929</v>
      </c>
      <c r="D1845" s="3"/>
    </row>
    <row r="1846" spans="1:4">
      <c r="A1846" s="2">
        <v>94</v>
      </c>
      <c r="B1846" s="2" t="s">
        <v>316</v>
      </c>
      <c r="C1846" s="2" t="s">
        <v>2930</v>
      </c>
      <c r="D1846" s="2"/>
    </row>
    <row r="1847" spans="1:4">
      <c r="A1847" s="3">
        <v>94</v>
      </c>
      <c r="B1847" s="3" t="s">
        <v>316</v>
      </c>
      <c r="C1847" s="3" t="s">
        <v>2931</v>
      </c>
      <c r="D1847" s="3"/>
    </row>
    <row r="1848" spans="1:4">
      <c r="A1848" s="2">
        <v>94</v>
      </c>
      <c r="B1848" s="2" t="s">
        <v>316</v>
      </c>
      <c r="C1848" s="2" t="s">
        <v>2932</v>
      </c>
      <c r="D1848" s="2"/>
    </row>
    <row r="1849" spans="1:4">
      <c r="A1849" s="3">
        <v>94</v>
      </c>
      <c r="B1849" s="3" t="s">
        <v>316</v>
      </c>
      <c r="C1849" s="3" t="s">
        <v>2933</v>
      </c>
      <c r="D1849" s="3"/>
    </row>
    <row r="1850" spans="1:4">
      <c r="A1850" s="2">
        <v>94</v>
      </c>
      <c r="B1850" s="2" t="s">
        <v>316</v>
      </c>
      <c r="C1850" s="2" t="s">
        <v>2934</v>
      </c>
      <c r="D1850" s="2"/>
    </row>
    <row r="1851" spans="1:4">
      <c r="A1851" s="3">
        <v>94</v>
      </c>
      <c r="B1851" s="3" t="s">
        <v>316</v>
      </c>
      <c r="C1851" s="3" t="s">
        <v>2935</v>
      </c>
      <c r="D1851" s="3"/>
    </row>
    <row r="1852" spans="1:4">
      <c r="A1852" s="2">
        <v>94</v>
      </c>
      <c r="B1852" s="2" t="s">
        <v>316</v>
      </c>
      <c r="C1852" s="2" t="s">
        <v>2936</v>
      </c>
      <c r="D1852" s="2"/>
    </row>
    <row r="1853" spans="1:4">
      <c r="A1853" s="3">
        <v>94</v>
      </c>
      <c r="B1853" s="3" t="s">
        <v>316</v>
      </c>
      <c r="C1853" s="3" t="s">
        <v>2937</v>
      </c>
      <c r="D1853" s="3"/>
    </row>
    <row r="1854" spans="1:4">
      <c r="A1854" s="2">
        <v>94</v>
      </c>
      <c r="B1854" s="2" t="s">
        <v>316</v>
      </c>
      <c r="C1854" s="2" t="s">
        <v>2938</v>
      </c>
      <c r="D1854" s="2"/>
    </row>
    <row r="1855" spans="1:4">
      <c r="A1855" s="3">
        <v>94</v>
      </c>
      <c r="B1855" s="3" t="s">
        <v>316</v>
      </c>
      <c r="C1855" s="3" t="s">
        <v>2939</v>
      </c>
      <c r="D1855" s="3"/>
    </row>
    <row r="1856" spans="1:4">
      <c r="A1856" s="2">
        <v>94</v>
      </c>
      <c r="B1856" s="2" t="s">
        <v>316</v>
      </c>
      <c r="C1856" s="2" t="s">
        <v>2940</v>
      </c>
      <c r="D1856" s="2"/>
    </row>
    <row r="1857" spans="1:4">
      <c r="A1857" s="3">
        <v>94</v>
      </c>
      <c r="B1857" s="3" t="s">
        <v>316</v>
      </c>
      <c r="C1857" s="3" t="s">
        <v>2941</v>
      </c>
      <c r="D1857" s="3"/>
    </row>
    <row r="1858" spans="1:4">
      <c r="A1858" s="2">
        <v>94</v>
      </c>
      <c r="B1858" s="2" t="s">
        <v>316</v>
      </c>
      <c r="C1858" s="2" t="s">
        <v>2942</v>
      </c>
      <c r="D1858" s="2"/>
    </row>
    <row r="1859" spans="1:4">
      <c r="A1859" s="3">
        <v>94</v>
      </c>
      <c r="B1859" s="3" t="s">
        <v>316</v>
      </c>
      <c r="C1859" s="3" t="s">
        <v>2943</v>
      </c>
      <c r="D1859" s="3"/>
    </row>
    <row r="1860" spans="1:4">
      <c r="A1860" s="2">
        <v>94</v>
      </c>
      <c r="B1860" s="2" t="s">
        <v>316</v>
      </c>
      <c r="C1860" s="2" t="s">
        <v>2944</v>
      </c>
      <c r="D1860" s="2"/>
    </row>
    <row r="1861" spans="1:4">
      <c r="A1861" s="3">
        <v>94</v>
      </c>
      <c r="B1861" s="3" t="s">
        <v>316</v>
      </c>
      <c r="C1861" s="3" t="s">
        <v>2945</v>
      </c>
      <c r="D1861" s="3"/>
    </row>
    <row r="1862" spans="1:4">
      <c r="A1862" s="2">
        <v>94</v>
      </c>
      <c r="B1862" s="2" t="s">
        <v>316</v>
      </c>
      <c r="C1862" s="2" t="s">
        <v>2946</v>
      </c>
      <c r="D1862" s="2"/>
    </row>
    <row r="1863" spans="1:4">
      <c r="A1863" s="3">
        <v>94</v>
      </c>
      <c r="B1863" s="3" t="s">
        <v>316</v>
      </c>
      <c r="C1863" s="3" t="s">
        <v>2947</v>
      </c>
      <c r="D1863" s="3"/>
    </row>
    <row r="1864" spans="1:4">
      <c r="A1864" s="2">
        <v>94</v>
      </c>
      <c r="B1864" s="2" t="s">
        <v>316</v>
      </c>
      <c r="C1864" s="2" t="s">
        <v>2948</v>
      </c>
      <c r="D1864" s="2"/>
    </row>
    <row r="1865" spans="1:4">
      <c r="A1865" s="3">
        <v>94</v>
      </c>
      <c r="B1865" s="3" t="s">
        <v>316</v>
      </c>
      <c r="C1865" s="3" t="s">
        <v>2949</v>
      </c>
      <c r="D1865" s="3"/>
    </row>
    <row r="1866" spans="1:4">
      <c r="A1866" s="2">
        <v>94</v>
      </c>
      <c r="B1866" s="2" t="s">
        <v>316</v>
      </c>
      <c r="C1866" s="2" t="s">
        <v>2949</v>
      </c>
      <c r="D1866" s="2"/>
    </row>
    <row r="1867" spans="1:4">
      <c r="A1867" s="3">
        <v>94</v>
      </c>
      <c r="B1867" s="3" t="s">
        <v>316</v>
      </c>
      <c r="C1867" s="3" t="s">
        <v>2950</v>
      </c>
      <c r="D1867" s="3"/>
    </row>
    <row r="1868" spans="1:4">
      <c r="A1868" s="2">
        <v>94</v>
      </c>
      <c r="B1868" s="2" t="s">
        <v>316</v>
      </c>
      <c r="C1868" s="2" t="s">
        <v>2951</v>
      </c>
      <c r="D1868" s="2"/>
    </row>
    <row r="1869" spans="1:4">
      <c r="A1869" s="3">
        <v>95</v>
      </c>
      <c r="B1869" s="3" t="s">
        <v>342</v>
      </c>
      <c r="C1869" s="3" t="s">
        <v>2952</v>
      </c>
      <c r="D1869" s="3"/>
    </row>
    <row r="1870" spans="1:4">
      <c r="A1870" s="2">
        <v>95</v>
      </c>
      <c r="B1870" s="2" t="s">
        <v>342</v>
      </c>
      <c r="C1870" s="2" t="s">
        <v>2953</v>
      </c>
      <c r="D1870" s="2"/>
    </row>
    <row r="1871" spans="1:4">
      <c r="A1871" s="3">
        <v>95</v>
      </c>
      <c r="B1871" s="3" t="s">
        <v>342</v>
      </c>
      <c r="C1871" s="3" t="s">
        <v>2954</v>
      </c>
      <c r="D1871" s="3"/>
    </row>
    <row r="1872" spans="1:4">
      <c r="A1872" s="2">
        <v>95</v>
      </c>
      <c r="B1872" s="2" t="s">
        <v>342</v>
      </c>
      <c r="C1872" s="2">
        <f> −ρ v (4)</f>
        <v>0</v>
      </c>
      <c r="D1872" s="2"/>
    </row>
    <row r="1873" spans="1:4">
      <c r="A1873" s="3">
        <v>95</v>
      </c>
      <c r="B1873" s="3" t="s">
        <v>342</v>
      </c>
      <c r="C1873" s="3" t="s">
        <v>2955</v>
      </c>
      <c r="D1873" s="3"/>
    </row>
    <row r="1874" spans="1:4">
      <c r="A1874" s="2">
        <v>95</v>
      </c>
      <c r="B1874" s="2" t="s">
        <v>342</v>
      </c>
      <c r="C1874" s="2" t="s">
        <v>2956</v>
      </c>
      <c r="D1874" s="2"/>
    </row>
    <row r="1875" spans="1:4">
      <c r="A1875" s="3">
        <v>95</v>
      </c>
      <c r="B1875" s="3" t="s">
        <v>342</v>
      </c>
      <c r="C1875" s="3" t="s">
        <v>2957</v>
      </c>
      <c r="D1875" s="3"/>
    </row>
    <row r="1876" spans="1:4">
      <c r="A1876" s="2">
        <v>95</v>
      </c>
      <c r="B1876" s="2" t="s">
        <v>342</v>
      </c>
      <c r="C1876" s="2" t="s">
        <v>2958</v>
      </c>
      <c r="D1876" s="2"/>
    </row>
    <row r="1877" spans="1:4">
      <c r="A1877" s="3">
        <v>95</v>
      </c>
      <c r="B1877" s="3" t="s">
        <v>342</v>
      </c>
      <c r="C1877" s="3" t="s">
        <v>2959</v>
      </c>
      <c r="D1877" s="3"/>
    </row>
    <row r="1878" spans="1:4">
      <c r="A1878" s="2">
        <v>95</v>
      </c>
      <c r="B1878" s="2" t="s">
        <v>342</v>
      </c>
      <c r="C1878" s="2" t="s">
        <v>2960</v>
      </c>
      <c r="D1878" s="2"/>
    </row>
    <row r="1879" spans="1:4">
      <c r="A1879" s="3">
        <v>95</v>
      </c>
      <c r="B1879" s="3" t="s">
        <v>342</v>
      </c>
      <c r="C1879" s="3" t="s">
        <v>2961</v>
      </c>
      <c r="D1879" s="3"/>
    </row>
    <row r="1880" spans="1:4">
      <c r="A1880" s="2">
        <v>95</v>
      </c>
      <c r="B1880" s="2" t="s">
        <v>342</v>
      </c>
      <c r="C1880" s="2" t="s">
        <v>2962</v>
      </c>
      <c r="D1880" s="2"/>
    </row>
    <row r="1881" spans="1:4">
      <c r="A1881" s="3">
        <v>95</v>
      </c>
      <c r="B1881" s="3" t="s">
        <v>342</v>
      </c>
      <c r="C1881" s="3" t="s">
        <v>2963</v>
      </c>
      <c r="D1881" s="3"/>
    </row>
    <row r="1882" spans="1:4">
      <c r="A1882" s="2">
        <v>95</v>
      </c>
      <c r="B1882" s="2" t="s">
        <v>342</v>
      </c>
      <c r="C1882" s="2" t="s">
        <v>2964</v>
      </c>
      <c r="D1882" s="2"/>
    </row>
    <row r="1883" spans="1:4">
      <c r="A1883" s="3">
        <v>95</v>
      </c>
      <c r="B1883" s="3" t="s">
        <v>342</v>
      </c>
      <c r="C1883" s="3" t="s">
        <v>2965</v>
      </c>
      <c r="D1883" s="3"/>
    </row>
    <row r="1884" spans="1:4">
      <c r="A1884" s="2">
        <v>95</v>
      </c>
      <c r="B1884" s="2" t="s">
        <v>342</v>
      </c>
      <c r="C1884" s="2" t="s">
        <v>2966</v>
      </c>
      <c r="D1884" s="2"/>
    </row>
    <row r="1885" spans="1:4">
      <c r="A1885" s="3">
        <v>95</v>
      </c>
      <c r="B1885" s="3" t="s">
        <v>342</v>
      </c>
      <c r="C1885" s="3" t="s">
        <v>2967</v>
      </c>
      <c r="D1885" s="3"/>
    </row>
    <row r="1886" spans="1:4">
      <c r="A1886" s="2">
        <v>95</v>
      </c>
      <c r="B1886" s="2" t="s">
        <v>342</v>
      </c>
      <c r="C1886" s="2" t="s">
        <v>2968</v>
      </c>
      <c r="D1886" s="2"/>
    </row>
    <row r="1887" spans="1:4">
      <c r="A1887" s="3">
        <v>95</v>
      </c>
      <c r="B1887" s="3" t="s">
        <v>342</v>
      </c>
      <c r="C1887" s="3" t="s">
        <v>2969</v>
      </c>
      <c r="D1887" s="3"/>
    </row>
    <row r="1888" spans="1:4">
      <c r="A1888" s="2">
        <v>95</v>
      </c>
      <c r="B1888" s="2" t="s">
        <v>342</v>
      </c>
      <c r="C1888" s="2" t="s">
        <v>2970</v>
      </c>
      <c r="D1888" s="2"/>
    </row>
    <row r="1889" spans="1:4">
      <c r="A1889" s="3">
        <v>95</v>
      </c>
      <c r="B1889" s="3" t="s">
        <v>342</v>
      </c>
      <c r="C1889" s="3" t="s">
        <v>2971</v>
      </c>
      <c r="D1889" s="3"/>
    </row>
    <row r="1890" spans="1:4">
      <c r="A1890" s="2">
        <v>95</v>
      </c>
      <c r="B1890" s="2" t="s">
        <v>342</v>
      </c>
      <c r="C1890" s="2" t="s">
        <v>2972</v>
      </c>
      <c r="D1890" s="2"/>
    </row>
    <row r="1891" spans="1:4">
      <c r="A1891" s="3">
        <v>95</v>
      </c>
      <c r="B1891" s="3" t="s">
        <v>342</v>
      </c>
      <c r="C1891" s="3" t="s">
        <v>2973</v>
      </c>
      <c r="D1891" s="3"/>
    </row>
    <row r="1892" spans="1:4">
      <c r="A1892" s="2">
        <v>95</v>
      </c>
      <c r="B1892" s="2" t="s">
        <v>342</v>
      </c>
      <c r="C1892" s="2" t="s">
        <v>2974</v>
      </c>
      <c r="D1892" s="2"/>
    </row>
    <row r="1893" spans="1:4">
      <c r="A1893" s="3">
        <v>95</v>
      </c>
      <c r="B1893" s="3" t="s">
        <v>342</v>
      </c>
      <c r="C1893" s="3" t="s">
        <v>2975</v>
      </c>
      <c r="D1893" s="3"/>
    </row>
    <row r="1894" spans="1:4">
      <c r="A1894" s="2">
        <v>95</v>
      </c>
      <c r="B1894" s="2" t="s">
        <v>342</v>
      </c>
      <c r="C1894" s="2" t="s">
        <v>2976</v>
      </c>
      <c r="D1894" s="2"/>
    </row>
    <row r="1895" spans="1:4">
      <c r="A1895" s="3">
        <v>95</v>
      </c>
      <c r="B1895" s="3" t="s">
        <v>342</v>
      </c>
      <c r="C1895" s="3" t="s">
        <v>2977</v>
      </c>
      <c r="D1895" s="3"/>
    </row>
    <row r="1896" spans="1:4">
      <c r="A1896" s="2">
        <v>95</v>
      </c>
      <c r="B1896" s="2" t="s">
        <v>342</v>
      </c>
      <c r="C1896" s="2" t="s">
        <v>2978</v>
      </c>
      <c r="D1896" s="2"/>
    </row>
    <row r="1897" spans="1:4">
      <c r="A1897" s="3">
        <v>95</v>
      </c>
      <c r="B1897" s="3" t="s">
        <v>342</v>
      </c>
      <c r="C1897" s="3" t="s">
        <v>2979</v>
      </c>
      <c r="D1897" s="3"/>
    </row>
    <row r="1898" spans="1:4">
      <c r="A1898" s="2">
        <v>95</v>
      </c>
      <c r="B1898" s="2" t="s">
        <v>342</v>
      </c>
      <c r="C1898" s="2" t="s">
        <v>2980</v>
      </c>
      <c r="D1898" s="2"/>
    </row>
    <row r="1899" spans="1:4">
      <c r="A1899" s="3">
        <v>95</v>
      </c>
      <c r="B1899" s="3" t="s">
        <v>342</v>
      </c>
      <c r="C1899" s="3" t="s">
        <v>2981</v>
      </c>
      <c r="D1899" s="3"/>
    </row>
    <row r="1900" spans="1:4">
      <c r="A1900" s="2">
        <v>95</v>
      </c>
      <c r="B1900" s="2" t="s">
        <v>342</v>
      </c>
      <c r="C1900" s="2" t="s">
        <v>2982</v>
      </c>
      <c r="D1900" s="2"/>
    </row>
    <row r="1901" spans="1:4">
      <c r="A1901" s="3">
        <v>95</v>
      </c>
      <c r="B1901" s="3" t="s">
        <v>342</v>
      </c>
      <c r="C1901" s="3" t="s">
        <v>2983</v>
      </c>
      <c r="D1901" s="3"/>
    </row>
    <row r="1902" spans="1:4">
      <c r="A1902" s="2">
        <v>95</v>
      </c>
      <c r="B1902" s="2" t="s">
        <v>342</v>
      </c>
      <c r="C1902" s="2" t="s">
        <v>2984</v>
      </c>
      <c r="D1902" s="2"/>
    </row>
    <row r="1903" spans="1:4">
      <c r="A1903" s="3">
        <v>95</v>
      </c>
      <c r="B1903" s="3" t="s">
        <v>342</v>
      </c>
      <c r="C1903" s="3" t="s">
        <v>2985</v>
      </c>
      <c r="D1903" s="3"/>
    </row>
    <row r="1904" spans="1:4">
      <c r="A1904" s="2">
        <v>95</v>
      </c>
      <c r="B1904" s="2" t="s">
        <v>342</v>
      </c>
      <c r="C1904" s="2" t="s">
        <v>2986</v>
      </c>
      <c r="D1904" s="2"/>
    </row>
    <row r="1905" spans="1:4">
      <c r="A1905" s="3">
        <v>95</v>
      </c>
      <c r="B1905" s="3" t="s">
        <v>342</v>
      </c>
      <c r="C1905" s="3" t="s">
        <v>2987</v>
      </c>
      <c r="D1905" s="3"/>
    </row>
    <row r="1906" spans="1:4">
      <c r="A1906" s="2">
        <v>96</v>
      </c>
      <c r="B1906" s="2" t="s">
        <v>359</v>
      </c>
      <c r="C1906" s="2" t="s">
        <v>2988</v>
      </c>
      <c r="D1906" s="2"/>
    </row>
    <row r="1907" spans="1:4">
      <c r="A1907" s="3">
        <v>96</v>
      </c>
      <c r="B1907" s="3" t="s">
        <v>359</v>
      </c>
      <c r="C1907" s="3" t="s">
        <v>2989</v>
      </c>
      <c r="D1907" s="3"/>
    </row>
    <row r="1908" spans="1:4">
      <c r="A1908" s="2">
        <v>96</v>
      </c>
      <c r="B1908" s="2" t="s">
        <v>359</v>
      </c>
      <c r="C1908" s="2">
        <f>6r2(dr/dt )2−3α2I2−4Rt</f>
        <v>0</v>
      </c>
      <c r="D1908" s="2"/>
    </row>
    <row r="1909" spans="1:4">
      <c r="A1909" s="3">
        <v>96</v>
      </c>
      <c r="B1909" s="3" t="s">
        <v>359</v>
      </c>
      <c r="C1909" s="3" t="s">
        <v>2990</v>
      </c>
      <c r="D1909" s="3"/>
    </row>
    <row r="1910" spans="1:4">
      <c r="A1910" s="2">
        <v>96</v>
      </c>
      <c r="B1910" s="2" t="s">
        <v>359</v>
      </c>
      <c r="C1910" s="2" t="s">
        <v>2991</v>
      </c>
      <c r="D1910" s="2"/>
    </row>
    <row r="1911" spans="1:4">
      <c r="A1911" s="3">
        <v>96</v>
      </c>
      <c r="B1911" s="3" t="s">
        <v>359</v>
      </c>
      <c r="C1911" s="3" t="s">
        <v>2992</v>
      </c>
      <c r="D1911" s="3"/>
    </row>
    <row r="1912" spans="1:4">
      <c r="A1912" s="2">
        <v>96</v>
      </c>
      <c r="B1912" s="2" t="s">
        <v>359</v>
      </c>
      <c r="C1912" s="2" t="s">
        <v>2993</v>
      </c>
      <c r="D1912" s="2"/>
    </row>
    <row r="1913" spans="1:4">
      <c r="A1913" s="3">
        <v>96</v>
      </c>
      <c r="B1913" s="3" t="s">
        <v>359</v>
      </c>
      <c r="C1913" s="3" t="s">
        <v>2994</v>
      </c>
      <c r="D1913" s="3"/>
    </row>
    <row r="1914" spans="1:4">
      <c r="A1914" s="2">
        <v>96</v>
      </c>
      <c r="B1914" s="2" t="s">
        <v>359</v>
      </c>
      <c r="C1914" s="2" t="s">
        <v>2995</v>
      </c>
      <c r="D1914" s="2"/>
    </row>
    <row r="1915" spans="1:4">
      <c r="A1915" s="3">
        <v>96</v>
      </c>
      <c r="B1915" s="3" t="s">
        <v>359</v>
      </c>
      <c r="C1915" s="3">
        <f>2r2(dr/dt )2−α2I2</f>
        <v>0</v>
      </c>
      <c r="D1915" s="3"/>
    </row>
    <row r="1916" spans="1:4">
      <c r="A1916" s="2">
        <v>96</v>
      </c>
      <c r="B1916" s="2" t="s">
        <v>359</v>
      </c>
      <c r="C1916" s="2" t="s">
        <v>2996</v>
      </c>
      <c r="D1916" s="2"/>
    </row>
    <row r="1917" spans="1:4">
      <c r="A1917" s="3">
        <v>96</v>
      </c>
      <c r="B1917" s="3" t="s">
        <v>359</v>
      </c>
      <c r="C1917" s="3" t="s">
        <v>2997</v>
      </c>
      <c r="D1917" s="3"/>
    </row>
    <row r="1918" spans="1:4">
      <c r="A1918" s="2">
        <v>96</v>
      </c>
      <c r="B1918" s="2" t="s">
        <v>359</v>
      </c>
      <c r="C1918" s="2" t="s">
        <v>2998</v>
      </c>
      <c r="D1918" s="2"/>
    </row>
    <row r="1919" spans="1:4">
      <c r="A1919" s="3">
        <v>96</v>
      </c>
      <c r="B1919" s="3" t="s">
        <v>359</v>
      </c>
      <c r="C1919" s="3" t="s">
        <v>2999</v>
      </c>
      <c r="D1919" s="3"/>
    </row>
    <row r="1920" spans="1:4">
      <c r="A1920" s="2">
        <v>97</v>
      </c>
      <c r="B1920" s="2" t="s">
        <v>457</v>
      </c>
      <c r="C1920" s="2" t="s">
        <v>3000</v>
      </c>
      <c r="D1920" s="2"/>
    </row>
    <row r="1921" spans="1:4">
      <c r="A1921" s="3">
        <v>97</v>
      </c>
      <c r="B1921" s="3" t="s">
        <v>457</v>
      </c>
      <c r="C1921" s="3" t="s">
        <v>3001</v>
      </c>
      <c r="D1921" s="3"/>
    </row>
    <row r="1922" spans="1:4">
      <c r="A1922" s="2">
        <v>97</v>
      </c>
      <c r="B1922" s="2" t="s">
        <v>457</v>
      </c>
      <c r="C1922" s="2" t="s">
        <v>3002</v>
      </c>
      <c r="D1922" s="2"/>
    </row>
    <row r="1923" spans="1:4">
      <c r="A1923" s="3">
        <v>97</v>
      </c>
      <c r="B1923" s="3" t="s">
        <v>457</v>
      </c>
      <c r="C1923" s="3" t="s">
        <v>3003</v>
      </c>
      <c r="D1923" s="3"/>
    </row>
    <row r="1924" spans="1:4">
      <c r="A1924" s="2">
        <v>97</v>
      </c>
      <c r="B1924" s="2" t="s">
        <v>457</v>
      </c>
      <c r="C1924" s="2" t="s">
        <v>3004</v>
      </c>
      <c r="D1924" s="2"/>
    </row>
    <row r="1925" spans="1:4">
      <c r="A1925" s="3">
        <v>97</v>
      </c>
      <c r="B1925" s="3" t="s">
        <v>457</v>
      </c>
      <c r="C1925" s="3" t="s">
        <v>3005</v>
      </c>
      <c r="D1925" s="3"/>
    </row>
    <row r="1926" spans="1:4">
      <c r="A1926" s="2">
        <v>97</v>
      </c>
      <c r="B1926" s="2" t="s">
        <v>457</v>
      </c>
      <c r="C1926" s="2" t="s">
        <v>3006</v>
      </c>
      <c r="D1926" s="2"/>
    </row>
    <row r="1927" spans="1:4">
      <c r="A1927" s="3">
        <v>97</v>
      </c>
      <c r="B1927" s="3" t="s">
        <v>457</v>
      </c>
      <c r="C1927" s="3" t="s">
        <v>3007</v>
      </c>
      <c r="D1927" s="3"/>
    </row>
    <row r="1928" spans="1:4">
      <c r="A1928" s="2">
        <v>97</v>
      </c>
      <c r="B1928" s="2" t="s">
        <v>457</v>
      </c>
      <c r="C1928" s="2" t="s">
        <v>3008</v>
      </c>
      <c r="D1928" s="2"/>
    </row>
    <row r="1929" spans="1:4">
      <c r="A1929" s="3">
        <v>97</v>
      </c>
      <c r="B1929" s="3" t="s">
        <v>457</v>
      </c>
      <c r="C1929" s="3" t="s">
        <v>3009</v>
      </c>
      <c r="D1929" s="3"/>
    </row>
    <row r="1930" spans="1:4">
      <c r="A1930" s="2">
        <v>97</v>
      </c>
      <c r="B1930" s="2" t="s">
        <v>457</v>
      </c>
      <c r="C1930" s="2" t="s">
        <v>3010</v>
      </c>
      <c r="D1930" s="2"/>
    </row>
    <row r="1931" spans="1:4">
      <c r="A1931" s="3">
        <v>99</v>
      </c>
      <c r="B1931" s="3" t="s">
        <v>446</v>
      </c>
      <c r="C1931" s="3" t="s">
        <v>3011</v>
      </c>
      <c r="D1931" s="3"/>
    </row>
    <row r="1932" spans="1:4">
      <c r="A1932" s="2">
        <v>99</v>
      </c>
      <c r="B1932" s="2" t="s">
        <v>446</v>
      </c>
      <c r="C1932" s="2" t="s">
        <v>3012</v>
      </c>
      <c r="D1932" s="2"/>
    </row>
    <row r="1933" spans="1:4">
      <c r="A1933" s="3">
        <v>101</v>
      </c>
      <c r="B1933" s="3" t="s">
        <v>395</v>
      </c>
      <c r="C1933" s="3" t="s">
        <v>3013</v>
      </c>
      <c r="D1933" s="3"/>
    </row>
    <row r="1934" spans="1:4">
      <c r="A1934" s="2">
        <v>101</v>
      </c>
      <c r="B1934" s="2" t="s">
        <v>395</v>
      </c>
      <c r="C1934" s="2" t="s">
        <v>3014</v>
      </c>
      <c r="D1934" s="2"/>
    </row>
    <row r="1935" spans="1:4">
      <c r="A1935" s="3">
        <v>101</v>
      </c>
      <c r="B1935" s="3" t="s">
        <v>395</v>
      </c>
      <c r="C1935" s="3" t="s">
        <v>3015</v>
      </c>
      <c r="D1935" s="3"/>
    </row>
    <row r="1936" spans="1:4">
      <c r="A1936" s="2">
        <v>101</v>
      </c>
      <c r="B1936" s="2" t="s">
        <v>395</v>
      </c>
      <c r="C1936" s="2" t="s">
        <v>3016</v>
      </c>
      <c r="D1936" s="2"/>
    </row>
    <row r="1937" spans="1:4">
      <c r="A1937" s="3">
        <v>101</v>
      </c>
      <c r="B1937" s="3" t="s">
        <v>395</v>
      </c>
      <c r="C1937" s="3" t="s">
        <v>3017</v>
      </c>
      <c r="D1937" s="3"/>
    </row>
    <row r="1938" spans="1:4">
      <c r="A1938" s="2">
        <v>101</v>
      </c>
      <c r="B1938" s="2" t="s">
        <v>395</v>
      </c>
      <c r="C1938" s="2" t="s">
        <v>3018</v>
      </c>
      <c r="D1938" s="2"/>
    </row>
    <row r="1939" spans="1:4">
      <c r="A1939" s="3">
        <v>101</v>
      </c>
      <c r="B1939" s="3" t="s">
        <v>395</v>
      </c>
      <c r="C1939" s="3" t="s">
        <v>3019</v>
      </c>
      <c r="D1939" s="3"/>
    </row>
    <row r="1940" spans="1:4">
      <c r="A1940" s="2">
        <v>101</v>
      </c>
      <c r="B1940" s="2" t="s">
        <v>395</v>
      </c>
      <c r="C1940" s="2" t="s">
        <v>3020</v>
      </c>
      <c r="D1940" s="2"/>
    </row>
    <row r="1941" spans="1:4">
      <c r="A1941" s="3">
        <v>101</v>
      </c>
      <c r="B1941" s="3" t="s">
        <v>395</v>
      </c>
      <c r="C1941" s="3" t="s">
        <v>3021</v>
      </c>
      <c r="D1941" s="3"/>
    </row>
    <row r="1942" spans="1:4">
      <c r="A1942" s="2">
        <v>101</v>
      </c>
      <c r="B1942" s="2" t="s">
        <v>395</v>
      </c>
      <c r="C1942" s="2" t="s">
        <v>3022</v>
      </c>
      <c r="D1942" s="2"/>
    </row>
    <row r="1943" spans="1:4">
      <c r="A1943" s="3">
        <v>101</v>
      </c>
      <c r="B1943" s="3" t="s">
        <v>395</v>
      </c>
      <c r="C1943" s="3" t="s">
        <v>3023</v>
      </c>
      <c r="D1943" s="3"/>
    </row>
    <row r="1944" spans="1:4">
      <c r="A1944" s="2">
        <v>101</v>
      </c>
      <c r="B1944" s="2" t="s">
        <v>395</v>
      </c>
      <c r="C1944" s="2" t="s">
        <v>3024</v>
      </c>
      <c r="D1944" s="2"/>
    </row>
    <row r="1945" spans="1:4">
      <c r="A1945" s="3">
        <v>101</v>
      </c>
      <c r="B1945" s="3" t="s">
        <v>395</v>
      </c>
      <c r="C1945" s="3" t="s">
        <v>3025</v>
      </c>
      <c r="D1945" s="3"/>
    </row>
    <row r="1946" spans="1:4">
      <c r="A1946" s="2">
        <v>101</v>
      </c>
      <c r="B1946" s="2" t="s">
        <v>395</v>
      </c>
      <c r="C1946" s="2" t="s">
        <v>3026</v>
      </c>
      <c r="D1946" s="2"/>
    </row>
    <row r="1947" spans="1:4">
      <c r="A1947" s="3">
        <v>101</v>
      </c>
      <c r="B1947" s="3" t="s">
        <v>395</v>
      </c>
      <c r="C1947" s="3" t="s">
        <v>3027</v>
      </c>
      <c r="D1947" s="3"/>
    </row>
    <row r="1948" spans="1:4">
      <c r="A1948" s="2">
        <v>101</v>
      </c>
      <c r="B1948" s="2" t="s">
        <v>395</v>
      </c>
      <c r="C1948" s="2" t="s">
        <v>3028</v>
      </c>
      <c r="D1948" s="2"/>
    </row>
    <row r="1949" spans="1:4">
      <c r="A1949" s="3">
        <v>101</v>
      </c>
      <c r="B1949" s="3" t="s">
        <v>395</v>
      </c>
      <c r="C1949" s="3" t="s">
        <v>3029</v>
      </c>
      <c r="D1949" s="3"/>
    </row>
    <row r="1950" spans="1:4">
      <c r="A1950" s="2">
        <v>101</v>
      </c>
      <c r="B1950" s="2" t="s">
        <v>395</v>
      </c>
      <c r="C1950" s="2" t="s">
        <v>3030</v>
      </c>
      <c r="D1950" s="2"/>
    </row>
    <row r="1951" spans="1:4">
      <c r="A1951" s="3">
        <v>101</v>
      </c>
      <c r="B1951" s="3" t="s">
        <v>395</v>
      </c>
      <c r="C1951" s="3" t="s">
        <v>3031</v>
      </c>
      <c r="D1951" s="3"/>
    </row>
    <row r="1952" spans="1:4">
      <c r="A1952" s="2">
        <v>101</v>
      </c>
      <c r="B1952" s="2" t="s">
        <v>395</v>
      </c>
      <c r="C1952" s="2" t="s">
        <v>3032</v>
      </c>
      <c r="D1952" s="2"/>
    </row>
    <row r="1953" spans="1:4">
      <c r="A1953" s="3">
        <v>101</v>
      </c>
      <c r="B1953" s="3" t="s">
        <v>395</v>
      </c>
      <c r="C1953" s="3" t="s">
        <v>3033</v>
      </c>
      <c r="D1953" s="3"/>
    </row>
    <row r="1954" spans="1:4">
      <c r="A1954" s="2">
        <v>101</v>
      </c>
      <c r="B1954" s="2" t="s">
        <v>395</v>
      </c>
      <c r="C1954" s="2" t="s">
        <v>3034</v>
      </c>
      <c r="D1954" s="2"/>
    </row>
    <row r="1955" spans="1:4">
      <c r="A1955" s="3">
        <v>101</v>
      </c>
      <c r="B1955" s="3" t="s">
        <v>395</v>
      </c>
      <c r="C1955" s="3" t="s">
        <v>3035</v>
      </c>
      <c r="D1955" s="3"/>
    </row>
    <row r="1956" spans="1:4">
      <c r="A1956" s="2">
        <v>101</v>
      </c>
      <c r="B1956" s="2" t="s">
        <v>395</v>
      </c>
      <c r="C1956" s="2" t="s">
        <v>3036</v>
      </c>
      <c r="D1956" s="2"/>
    </row>
    <row r="1957" spans="1:4">
      <c r="A1957" s="3">
        <v>101</v>
      </c>
      <c r="B1957" s="3" t="s">
        <v>395</v>
      </c>
      <c r="C1957" s="3" t="s">
        <v>3037</v>
      </c>
      <c r="D1957" s="3"/>
    </row>
    <row r="1958" spans="1:4">
      <c r="A1958" s="2">
        <v>101</v>
      </c>
      <c r="B1958" s="2" t="s">
        <v>395</v>
      </c>
      <c r="C1958" s="2" t="s">
        <v>3038</v>
      </c>
      <c r="D1958" s="2"/>
    </row>
    <row r="1959" spans="1:4">
      <c r="A1959" s="3">
        <v>101</v>
      </c>
      <c r="B1959" s="3" t="s">
        <v>395</v>
      </c>
      <c r="C1959" s="3" t="s">
        <v>3039</v>
      </c>
      <c r="D1959" s="3"/>
    </row>
    <row r="1960" spans="1:4">
      <c r="A1960" s="2">
        <v>101</v>
      </c>
      <c r="B1960" s="2" t="s">
        <v>395</v>
      </c>
      <c r="C1960" s="2" t="s">
        <v>3040</v>
      </c>
      <c r="D1960" s="2"/>
    </row>
    <row r="1961" spans="1:4">
      <c r="A1961" s="3">
        <v>101</v>
      </c>
      <c r="B1961" s="3" t="s">
        <v>395</v>
      </c>
      <c r="C1961" s="3" t="s">
        <v>3041</v>
      </c>
      <c r="D1961" s="3"/>
    </row>
    <row r="1962" spans="1:4">
      <c r="A1962" s="2">
        <v>101</v>
      </c>
      <c r="B1962" s="2" t="s">
        <v>395</v>
      </c>
      <c r="C1962" s="2" t="s">
        <v>3042</v>
      </c>
      <c r="D1962" s="2"/>
    </row>
    <row r="1963" spans="1:4">
      <c r="A1963" s="3">
        <v>101</v>
      </c>
      <c r="B1963" s="3" t="s">
        <v>395</v>
      </c>
      <c r="C1963" s="3" t="s">
        <v>3043</v>
      </c>
      <c r="D1963" s="3"/>
    </row>
    <row r="1964" spans="1:4">
      <c r="A1964" s="2">
        <v>101</v>
      </c>
      <c r="B1964" s="2" t="s">
        <v>395</v>
      </c>
      <c r="C1964" s="2" t="s">
        <v>3044</v>
      </c>
      <c r="D1964" s="2"/>
    </row>
    <row r="1965" spans="1:4">
      <c r="A1965" s="3">
        <v>101</v>
      </c>
      <c r="B1965" s="3" t="s">
        <v>395</v>
      </c>
      <c r="C1965" s="3" t="s">
        <v>3045</v>
      </c>
      <c r="D1965" s="3"/>
    </row>
    <row r="1966" spans="1:4">
      <c r="A1966" s="2">
        <v>101</v>
      </c>
      <c r="B1966" s="2" t="s">
        <v>395</v>
      </c>
      <c r="C1966" s="2" t="s">
        <v>3046</v>
      </c>
      <c r="D1966" s="2"/>
    </row>
    <row r="1967" spans="1:4">
      <c r="A1967" s="3">
        <v>101</v>
      </c>
      <c r="B1967" s="3" t="s">
        <v>395</v>
      </c>
      <c r="C1967" s="3" t="s">
        <v>3047</v>
      </c>
      <c r="D1967" s="3"/>
    </row>
    <row r="1968" spans="1:4">
      <c r="A1968" s="2">
        <v>101</v>
      </c>
      <c r="B1968" s="2" t="s">
        <v>395</v>
      </c>
      <c r="C1968" s="2" t="s">
        <v>3048</v>
      </c>
      <c r="D1968" s="2"/>
    </row>
    <row r="1969" spans="1:4">
      <c r="A1969" s="3">
        <v>101</v>
      </c>
      <c r="B1969" s="3" t="s">
        <v>395</v>
      </c>
      <c r="C1969" s="3" t="s">
        <v>3049</v>
      </c>
      <c r="D1969" s="3"/>
    </row>
    <row r="1970" spans="1:4">
      <c r="A1970" s="2">
        <v>101</v>
      </c>
      <c r="B1970" s="2" t="s">
        <v>395</v>
      </c>
      <c r="C1970" s="2" t="s">
        <v>3050</v>
      </c>
      <c r="D1970" s="2"/>
    </row>
    <row r="1971" spans="1:4">
      <c r="A1971" s="3">
        <v>101</v>
      </c>
      <c r="B1971" s="3" t="s">
        <v>395</v>
      </c>
      <c r="C1971" s="3" t="s">
        <v>3051</v>
      </c>
      <c r="D1971" s="3"/>
    </row>
    <row r="1972" spans="1:4">
      <c r="A1972" s="2">
        <v>101</v>
      </c>
      <c r="B1972" s="2" t="s">
        <v>395</v>
      </c>
      <c r="C1972" s="2" t="s">
        <v>3052</v>
      </c>
      <c r="D1972" s="2"/>
    </row>
    <row r="1973" spans="1:4">
      <c r="A1973" s="3">
        <v>101</v>
      </c>
      <c r="B1973" s="3" t="s">
        <v>395</v>
      </c>
      <c r="C1973" s="3" t="s">
        <v>3053</v>
      </c>
      <c r="D1973" s="3"/>
    </row>
    <row r="1974" spans="1:4">
      <c r="A1974" s="2">
        <v>101</v>
      </c>
      <c r="B1974" s="2" t="s">
        <v>395</v>
      </c>
      <c r="C1974" s="2" t="s">
        <v>3054</v>
      </c>
      <c r="D1974" s="2"/>
    </row>
    <row r="1975" spans="1:4">
      <c r="A1975" s="3">
        <v>101</v>
      </c>
      <c r="B1975" s="3" t="s">
        <v>395</v>
      </c>
      <c r="C1975" s="3" t="s">
        <v>3055</v>
      </c>
      <c r="D1975" s="3"/>
    </row>
    <row r="1976" spans="1:4">
      <c r="A1976" s="2">
        <v>101</v>
      </c>
      <c r="B1976" s="2" t="s">
        <v>395</v>
      </c>
      <c r="C1976" s="2" t="s">
        <v>3056</v>
      </c>
      <c r="D1976" s="2"/>
    </row>
    <row r="1977" spans="1:4">
      <c r="A1977" s="3">
        <v>101</v>
      </c>
      <c r="B1977" s="3" t="s">
        <v>395</v>
      </c>
      <c r="C1977" s="3" t="s">
        <v>3057</v>
      </c>
      <c r="D1977" s="3"/>
    </row>
    <row r="1978" spans="1:4">
      <c r="A1978" s="2">
        <v>101</v>
      </c>
      <c r="B1978" s="2" t="s">
        <v>395</v>
      </c>
      <c r="C1978" s="2" t="s">
        <v>3058</v>
      </c>
      <c r="D1978" s="2"/>
    </row>
    <row r="1979" spans="1:4">
      <c r="A1979" s="3">
        <v>101</v>
      </c>
      <c r="B1979" s="3" t="s">
        <v>395</v>
      </c>
      <c r="C1979" s="3" t="s">
        <v>3059</v>
      </c>
      <c r="D1979" s="3"/>
    </row>
    <row r="1980" spans="1:4">
      <c r="A1980" s="2">
        <v>101</v>
      </c>
      <c r="B1980" s="2" t="s">
        <v>395</v>
      </c>
      <c r="C1980" s="2" t="s">
        <v>3060</v>
      </c>
      <c r="D1980" s="2"/>
    </row>
    <row r="1981" spans="1:4">
      <c r="A1981" s="3">
        <v>101</v>
      </c>
      <c r="B1981" s="3" t="s">
        <v>395</v>
      </c>
      <c r="C1981" s="3" t="s">
        <v>3061</v>
      </c>
      <c r="D1981" s="3"/>
    </row>
    <row r="1982" spans="1:4">
      <c r="A1982" s="2">
        <v>101</v>
      </c>
      <c r="B1982" s="2" t="s">
        <v>395</v>
      </c>
      <c r="C1982" s="2" t="s">
        <v>3062</v>
      </c>
      <c r="D1982" s="2"/>
    </row>
    <row r="1983" spans="1:4">
      <c r="A1983" s="3">
        <v>102</v>
      </c>
      <c r="B1983" s="3" t="s">
        <v>540</v>
      </c>
      <c r="C1983" s="3" t="s">
        <v>3063</v>
      </c>
      <c r="D1983" s="3"/>
    </row>
    <row r="1984" spans="1:4">
      <c r="A1984" s="2">
        <v>102</v>
      </c>
      <c r="B1984" s="2" t="s">
        <v>540</v>
      </c>
      <c r="C1984" s="2" t="s">
        <v>3064</v>
      </c>
      <c r="D1984" s="2"/>
    </row>
    <row r="1985" spans="1:4">
      <c r="A1985" s="3">
        <v>102</v>
      </c>
      <c r="B1985" s="3" t="s">
        <v>540</v>
      </c>
      <c r="C1985" s="3" t="s">
        <v>3065</v>
      </c>
      <c r="D1985" s="3"/>
    </row>
    <row r="1986" spans="1:4">
      <c r="A1986" s="2">
        <v>102</v>
      </c>
      <c r="B1986" s="2" t="s">
        <v>540</v>
      </c>
      <c r="C1986" s="2" t="s">
        <v>3066</v>
      </c>
      <c r="D1986" s="2"/>
    </row>
    <row r="1987" spans="1:4">
      <c r="A1987" s="3">
        <v>102</v>
      </c>
      <c r="B1987" s="3" t="s">
        <v>540</v>
      </c>
      <c r="C1987" s="3" t="s">
        <v>3067</v>
      </c>
      <c r="D1987" s="3"/>
    </row>
    <row r="1988" spans="1:4">
      <c r="A1988" s="2">
        <v>102</v>
      </c>
      <c r="B1988" s="2" t="s">
        <v>540</v>
      </c>
      <c r="C1988" s="2" t="s">
        <v>3068</v>
      </c>
      <c r="D1988" s="2"/>
    </row>
    <row r="1989" spans="1:4">
      <c r="A1989" s="3">
        <v>102</v>
      </c>
      <c r="B1989" s="3" t="s">
        <v>540</v>
      </c>
      <c r="C1989" s="3" t="s">
        <v>3069</v>
      </c>
      <c r="D1989" s="3"/>
    </row>
    <row r="1990" spans="1:4">
      <c r="A1990" s="2">
        <v>102</v>
      </c>
      <c r="B1990" s="2" t="s">
        <v>540</v>
      </c>
      <c r="C1990" s="2" t="s">
        <v>3070</v>
      </c>
      <c r="D1990" s="2"/>
    </row>
    <row r="1991" spans="1:4">
      <c r="A1991" s="3">
        <v>102</v>
      </c>
      <c r="B1991" s="3" t="s">
        <v>540</v>
      </c>
      <c r="C1991" s="3" t="s">
        <v>3071</v>
      </c>
      <c r="D1991" s="3"/>
    </row>
    <row r="1992" spans="1:4">
      <c r="A1992" s="2">
        <v>102</v>
      </c>
      <c r="B1992" s="2" t="s">
        <v>540</v>
      </c>
      <c r="C1992" s="2" t="s">
        <v>3072</v>
      </c>
      <c r="D1992" s="2"/>
    </row>
    <row r="1993" spans="1:4">
      <c r="A1993" s="3">
        <v>102</v>
      </c>
      <c r="B1993" s="3" t="s">
        <v>540</v>
      </c>
      <c r="C1993" s="3" t="s">
        <v>3073</v>
      </c>
      <c r="D1993" s="3"/>
    </row>
    <row r="1994" spans="1:4">
      <c r="A1994" s="2">
        <v>102</v>
      </c>
      <c r="B1994" s="2" t="s">
        <v>540</v>
      </c>
      <c r="C1994" s="2" t="s">
        <v>3074</v>
      </c>
      <c r="D1994" s="2"/>
    </row>
    <row r="1995" spans="1:4">
      <c r="A1995" s="3">
        <v>102</v>
      </c>
      <c r="B1995" s="3" t="s">
        <v>540</v>
      </c>
      <c r="C1995" s="3" t="s">
        <v>3075</v>
      </c>
      <c r="D1995" s="3"/>
    </row>
    <row r="1996" spans="1:4">
      <c r="A1996" s="2">
        <v>103</v>
      </c>
      <c r="B1996" s="2" t="s">
        <v>384</v>
      </c>
      <c r="C1996" s="2" t="s">
        <v>3076</v>
      </c>
      <c r="D1996" s="2"/>
    </row>
    <row r="1997" spans="1:4">
      <c r="A1997" s="3">
        <v>103</v>
      </c>
      <c r="B1997" s="3" t="s">
        <v>384</v>
      </c>
      <c r="C1997" s="3" t="s">
        <v>3077</v>
      </c>
      <c r="D1997" s="3"/>
    </row>
    <row r="1998" spans="1:4">
      <c r="A1998" s="2">
        <v>103</v>
      </c>
      <c r="B1998" s="2" t="s">
        <v>384</v>
      </c>
      <c r="C1998" s="2" t="s">
        <v>3078</v>
      </c>
      <c r="D1998" s="2"/>
    </row>
    <row r="1999" spans="1:4">
      <c r="A1999" s="3">
        <v>103</v>
      </c>
      <c r="B1999" s="3" t="s">
        <v>384</v>
      </c>
      <c r="C1999" s="3" t="s">
        <v>3079</v>
      </c>
      <c r="D1999" s="3"/>
    </row>
    <row r="2000" spans="1:4">
      <c r="A2000" s="2">
        <v>103</v>
      </c>
      <c r="B2000" s="2" t="s">
        <v>384</v>
      </c>
      <c r="C2000" s="2" t="s">
        <v>3080</v>
      </c>
      <c r="D2000" s="2"/>
    </row>
    <row r="2001" spans="1:4">
      <c r="A2001" s="3">
        <v>103</v>
      </c>
      <c r="B2001" s="3" t="s">
        <v>384</v>
      </c>
      <c r="C2001" s="3" t="s">
        <v>3081</v>
      </c>
      <c r="D2001" s="3"/>
    </row>
    <row r="2002" spans="1:4">
      <c r="A2002" s="2">
        <v>103</v>
      </c>
      <c r="B2002" s="2" t="s">
        <v>384</v>
      </c>
      <c r="C2002" s="2" t="s">
        <v>3082</v>
      </c>
      <c r="D2002" s="2"/>
    </row>
    <row r="2003" spans="1:4">
      <c r="A2003" s="3">
        <v>103</v>
      </c>
      <c r="B2003" s="3" t="s">
        <v>384</v>
      </c>
      <c r="C2003" s="3" t="s">
        <v>3083</v>
      </c>
      <c r="D2003" s="3"/>
    </row>
    <row r="2004" spans="1:4">
      <c r="A2004" s="2">
        <v>103</v>
      </c>
      <c r="B2004" s="2" t="s">
        <v>384</v>
      </c>
      <c r="C2004" s="2" t="s">
        <v>3078</v>
      </c>
      <c r="D2004" s="2"/>
    </row>
    <row r="2005" spans="1:4">
      <c r="A2005" s="3">
        <v>103</v>
      </c>
      <c r="B2005" s="3" t="s">
        <v>384</v>
      </c>
      <c r="C2005" s="3" t="s">
        <v>3084</v>
      </c>
      <c r="D2005" s="3"/>
    </row>
    <row r="2006" spans="1:4">
      <c r="A2006" s="2">
        <v>103</v>
      </c>
      <c r="B2006" s="2" t="s">
        <v>384</v>
      </c>
      <c r="C2006" s="2" t="s">
        <v>3085</v>
      </c>
      <c r="D2006" s="2"/>
    </row>
    <row r="2007" spans="1:4">
      <c r="A2007" s="3">
        <v>103</v>
      </c>
      <c r="B2007" s="3" t="s">
        <v>384</v>
      </c>
      <c r="C2007" s="3" t="s">
        <v>3086</v>
      </c>
      <c r="D2007" s="3"/>
    </row>
    <row r="2008" spans="1:4">
      <c r="A2008" s="2">
        <v>103</v>
      </c>
      <c r="B2008" s="2" t="s">
        <v>384</v>
      </c>
      <c r="C2008" s="2" t="s">
        <v>3078</v>
      </c>
      <c r="D2008" s="2"/>
    </row>
    <row r="2009" spans="1:4">
      <c r="A2009" s="3">
        <v>103</v>
      </c>
      <c r="B2009" s="3" t="s">
        <v>384</v>
      </c>
      <c r="C2009" s="3" t="s">
        <v>3087</v>
      </c>
      <c r="D2009" s="3"/>
    </row>
    <row r="2010" spans="1:4">
      <c r="A2010" s="2">
        <v>103</v>
      </c>
      <c r="B2010" s="2" t="s">
        <v>384</v>
      </c>
      <c r="C2010" s="2" t="s">
        <v>3088</v>
      </c>
      <c r="D2010" s="2"/>
    </row>
    <row r="2011" spans="1:4">
      <c r="A2011" s="3">
        <v>103</v>
      </c>
      <c r="B2011" s="3" t="s">
        <v>384</v>
      </c>
      <c r="C2011" s="3" t="s">
        <v>3078</v>
      </c>
      <c r="D2011" s="3"/>
    </row>
    <row r="2012" spans="1:4">
      <c r="A2012" s="2">
        <v>103</v>
      </c>
      <c r="B2012" s="2" t="s">
        <v>384</v>
      </c>
      <c r="C2012" s="2" t="s">
        <v>3089</v>
      </c>
      <c r="D2012" s="2"/>
    </row>
    <row r="2013" spans="1:4">
      <c r="A2013" s="3">
        <v>103</v>
      </c>
      <c r="B2013" s="3" t="s">
        <v>384</v>
      </c>
      <c r="C2013" s="3" t="s">
        <v>3090</v>
      </c>
      <c r="D2013" s="3"/>
    </row>
    <row r="2014" spans="1:4">
      <c r="A2014" s="2">
        <v>103</v>
      </c>
      <c r="B2014" s="2" t="s">
        <v>384</v>
      </c>
      <c r="C2014" s="2" t="s">
        <v>3091</v>
      </c>
      <c r="D2014" s="2"/>
    </row>
    <row r="2015" spans="1:4">
      <c r="A2015" s="3">
        <v>103</v>
      </c>
      <c r="B2015" s="3" t="s">
        <v>384</v>
      </c>
      <c r="C2015" s="3" t="s">
        <v>3078</v>
      </c>
      <c r="D2015" s="3"/>
    </row>
    <row r="2016" spans="1:4">
      <c r="A2016" s="2">
        <v>103</v>
      </c>
      <c r="B2016" s="2" t="s">
        <v>384</v>
      </c>
      <c r="C2016" s="2" t="s">
        <v>3092</v>
      </c>
      <c r="D2016" s="2"/>
    </row>
    <row r="2017" spans="1:4">
      <c r="A2017" s="3">
        <v>104</v>
      </c>
      <c r="B2017" s="3" t="s">
        <v>493</v>
      </c>
      <c r="C2017" s="3" t="s">
        <v>3093</v>
      </c>
      <c r="D2017" s="3"/>
    </row>
    <row r="2018" spans="1:4">
      <c r="A2018" s="2">
        <v>104</v>
      </c>
      <c r="B2018" s="2" t="s">
        <v>493</v>
      </c>
      <c r="C2018" s="2" t="s">
        <v>3094</v>
      </c>
      <c r="D2018" s="2"/>
    </row>
    <row r="2019" spans="1:4">
      <c r="A2019" s="3">
        <v>104</v>
      </c>
      <c r="B2019" s="3" t="s">
        <v>493</v>
      </c>
      <c r="C2019" s="3" t="s">
        <v>3095</v>
      </c>
      <c r="D2019" s="3"/>
    </row>
    <row r="2020" spans="1:4">
      <c r="A2020" s="2">
        <v>104</v>
      </c>
      <c r="B2020" s="2" t="s">
        <v>493</v>
      </c>
      <c r="C2020" s="2" t="s">
        <v>3096</v>
      </c>
      <c r="D2020" s="2"/>
    </row>
    <row r="2021" spans="1:4">
      <c r="A2021" s="3">
        <v>105</v>
      </c>
      <c r="B2021" s="3" t="s">
        <v>582</v>
      </c>
      <c r="C2021" s="3" t="s">
        <v>3097</v>
      </c>
      <c r="D2021" s="3"/>
    </row>
    <row r="2022" spans="1:4">
      <c r="A2022" s="2">
        <v>105</v>
      </c>
      <c r="B2022" s="2" t="s">
        <v>582</v>
      </c>
      <c r="C2022" s="2" t="s">
        <v>3098</v>
      </c>
      <c r="D2022" s="2"/>
    </row>
    <row r="2023" spans="1:4">
      <c r="A2023" s="3">
        <v>105</v>
      </c>
      <c r="B2023" s="3" t="s">
        <v>582</v>
      </c>
      <c r="C2023" s="3" t="s">
        <v>3099</v>
      </c>
      <c r="D2023" s="3"/>
    </row>
    <row r="2024" spans="1:4">
      <c r="A2024" s="2">
        <v>105</v>
      </c>
      <c r="B2024" s="2" t="s">
        <v>582</v>
      </c>
      <c r="C2024" s="2" t="s">
        <v>3100</v>
      </c>
      <c r="D2024" s="2"/>
    </row>
    <row r="2025" spans="1:4">
      <c r="A2025" s="3">
        <v>105</v>
      </c>
      <c r="B2025" s="3" t="s">
        <v>582</v>
      </c>
      <c r="C2025" s="3" t="s">
        <v>3101</v>
      </c>
      <c r="D2025" s="3"/>
    </row>
    <row r="2026" spans="1:4">
      <c r="A2026" s="2">
        <v>105</v>
      </c>
      <c r="B2026" s="2" t="s">
        <v>582</v>
      </c>
      <c r="C2026" s="2" t="s">
        <v>3102</v>
      </c>
      <c r="D2026" s="2"/>
    </row>
    <row r="2027" spans="1:4">
      <c r="A2027" s="3">
        <v>105</v>
      </c>
      <c r="B2027" s="3" t="s">
        <v>582</v>
      </c>
      <c r="C2027" s="3" t="s">
        <v>3103</v>
      </c>
      <c r="D2027" s="3"/>
    </row>
    <row r="2028" spans="1:4">
      <c r="A2028" s="2">
        <v>105</v>
      </c>
      <c r="B2028" s="2" t="s">
        <v>582</v>
      </c>
      <c r="C2028" s="2" t="s">
        <v>3104</v>
      </c>
      <c r="D2028" s="2"/>
    </row>
    <row r="2029" spans="1:4">
      <c r="A2029" s="3">
        <v>105</v>
      </c>
      <c r="B2029" s="3" t="s">
        <v>582</v>
      </c>
      <c r="C2029" s="3" t="s">
        <v>3105</v>
      </c>
      <c r="D2029" s="3"/>
    </row>
    <row r="2030" spans="1:4">
      <c r="A2030" s="2">
        <v>105</v>
      </c>
      <c r="B2030" s="2" t="s">
        <v>582</v>
      </c>
      <c r="C2030" s="2" t="s">
        <v>3106</v>
      </c>
      <c r="D2030" s="2"/>
    </row>
    <row r="2031" spans="1:4">
      <c r="A2031" s="3">
        <v>105</v>
      </c>
      <c r="B2031" s="3" t="s">
        <v>582</v>
      </c>
      <c r="C2031" s="3" t="s">
        <v>3107</v>
      </c>
      <c r="D2031" s="3"/>
    </row>
    <row r="2032" spans="1:4">
      <c r="A2032" s="2">
        <v>106</v>
      </c>
      <c r="B2032" s="2" t="s">
        <v>404</v>
      </c>
      <c r="C2032" s="2" t="s">
        <v>3108</v>
      </c>
      <c r="D2032" s="2"/>
    </row>
    <row r="2033" spans="1:4">
      <c r="A2033" s="3">
        <v>106</v>
      </c>
      <c r="B2033" s="3" t="s">
        <v>404</v>
      </c>
      <c r="C2033" s="3" t="s">
        <v>3109</v>
      </c>
      <c r="D2033" s="3"/>
    </row>
    <row r="2034" spans="1:4">
      <c r="A2034" s="2">
        <v>106</v>
      </c>
      <c r="B2034" s="2" t="s">
        <v>404</v>
      </c>
      <c r="C2034" s="2" t="s">
        <v>3110</v>
      </c>
      <c r="D2034" s="2"/>
    </row>
    <row r="2035" spans="1:4">
      <c r="A2035" s="3">
        <v>106</v>
      </c>
      <c r="B2035" s="3" t="s">
        <v>404</v>
      </c>
      <c r="C2035" s="3" t="s">
        <v>3111</v>
      </c>
      <c r="D2035" s="3"/>
    </row>
    <row r="2036" spans="1:4">
      <c r="A2036" s="2">
        <v>106</v>
      </c>
      <c r="B2036" s="2" t="s">
        <v>404</v>
      </c>
      <c r="C2036" s="2" t="s">
        <v>3112</v>
      </c>
      <c r="D2036" s="2"/>
    </row>
    <row r="2037" spans="1:4">
      <c r="A2037" s="3">
        <v>106</v>
      </c>
      <c r="B2037" s="3" t="s">
        <v>404</v>
      </c>
      <c r="C2037" s="3" t="s">
        <v>3113</v>
      </c>
      <c r="D2037" s="3"/>
    </row>
    <row r="2038" spans="1:4">
      <c r="A2038" s="2">
        <v>106</v>
      </c>
      <c r="B2038" s="2" t="s">
        <v>404</v>
      </c>
      <c r="C2038" s="2" t="s">
        <v>3114</v>
      </c>
      <c r="D2038" s="2"/>
    </row>
    <row r="2039" spans="1:4">
      <c r="A2039" s="3">
        <v>106</v>
      </c>
      <c r="B2039" s="3" t="s">
        <v>404</v>
      </c>
      <c r="C2039" s="3" t="s">
        <v>3115</v>
      </c>
      <c r="D2039" s="3"/>
    </row>
    <row r="2040" spans="1:4">
      <c r="A2040" s="2">
        <v>106</v>
      </c>
      <c r="B2040" s="2" t="s">
        <v>404</v>
      </c>
      <c r="C2040" s="2" t="s">
        <v>3116</v>
      </c>
      <c r="D2040" s="2"/>
    </row>
    <row r="2041" spans="1:4">
      <c r="A2041" s="3">
        <v>106</v>
      </c>
      <c r="B2041" s="3" t="s">
        <v>404</v>
      </c>
      <c r="C2041" s="3" t="s">
        <v>3117</v>
      </c>
      <c r="D2041" s="3"/>
    </row>
    <row r="2042" spans="1:4">
      <c r="A2042" s="2">
        <v>106</v>
      </c>
      <c r="B2042" s="2" t="s">
        <v>404</v>
      </c>
      <c r="C2042" s="2" t="s">
        <v>3118</v>
      </c>
      <c r="D2042" s="2"/>
    </row>
    <row r="2043" spans="1:4">
      <c r="A2043" s="3">
        <v>106</v>
      </c>
      <c r="B2043" s="3" t="s">
        <v>404</v>
      </c>
      <c r="C2043" s="3" t="s">
        <v>3119</v>
      </c>
      <c r="D2043" s="3"/>
    </row>
    <row r="2044" spans="1:4">
      <c r="A2044" s="2">
        <v>106</v>
      </c>
      <c r="B2044" s="2" t="s">
        <v>404</v>
      </c>
      <c r="C2044" s="2">
        <f>z−1I(z)+ω2</f>
        <v>0</v>
      </c>
      <c r="D2044" s="2"/>
    </row>
    <row r="2045" spans="1:4">
      <c r="A2045" s="3">
        <v>106</v>
      </c>
      <c r="B2045" s="3" t="s">
        <v>404</v>
      </c>
      <c r="C2045" s="3" t="s">
        <v>3120</v>
      </c>
      <c r="D2045" s="3"/>
    </row>
    <row r="2046" spans="1:4">
      <c r="A2046" s="2">
        <v>106</v>
      </c>
      <c r="B2046" s="2" t="s">
        <v>404</v>
      </c>
      <c r="C2046" s="2">
        <f>exp(−νc1t)z−1S(z)−1tω2</f>
        <v>0</v>
      </c>
      <c r="D2046" s="2"/>
    </row>
    <row r="2047" spans="1:4">
      <c r="A2047" s="3">
        <v>106</v>
      </c>
      <c r="B2047" s="3" t="s">
        <v>404</v>
      </c>
      <c r="C2047" s="3" t="s">
        <v>3121</v>
      </c>
      <c r="D2047" s="3"/>
    </row>
    <row r="2048" spans="1:4">
      <c r="A2048" s="2">
        <v>106</v>
      </c>
      <c r="B2048" s="2" t="s">
        <v>404</v>
      </c>
      <c r="C2048" s="2">
        <f>ε0ε∞E(z)+ε0z−1I(z)+ε0ω2</f>
        <v>0</v>
      </c>
      <c r="D2048" s="2"/>
    </row>
    <row r="2049" spans="1:4">
      <c r="A2049" s="3">
        <v>106</v>
      </c>
      <c r="B2049" s="3" t="s">
        <v>404</v>
      </c>
      <c r="C2049" s="3">
        <f>ε0ε∞E(z)+ε0z−1I(z)+ε0exp(−νc1t)z−1S(z)</f>
        <v>0</v>
      </c>
      <c r="D2049" s="3"/>
    </row>
    <row r="2050" spans="1:4">
      <c r="A2050" s="2">
        <v>106</v>
      </c>
      <c r="B2050" s="2" t="s">
        <v>404</v>
      </c>
      <c r="C2050" s="2" t="s">
        <v>3122</v>
      </c>
      <c r="D2050" s="2"/>
    </row>
    <row r="2051" spans="1:4">
      <c r="A2051" s="3">
        <v>106</v>
      </c>
      <c r="B2051" s="3" t="s">
        <v>404</v>
      </c>
      <c r="C2051" s="3" t="s">
        <v>3123</v>
      </c>
      <c r="D2051" s="3"/>
    </row>
    <row r="2052" spans="1:4">
      <c r="A2052" s="2">
        <v>106</v>
      </c>
      <c r="B2052" s="2" t="s">
        <v>404</v>
      </c>
      <c r="C2052" s="2">
        <f>ε0(1+ω2</f>
        <v>0</v>
      </c>
      <c r="D2052" s="2"/>
    </row>
    <row r="2053" spans="1:4">
      <c r="A2053" s="3">
        <v>106</v>
      </c>
      <c r="B2053" s="3" t="s">
        <v>404</v>
      </c>
      <c r="C2053" s="3">
        <f>jωε0E(ω)+ω2</f>
        <v>0</v>
      </c>
      <c r="D2053" s="3"/>
    </row>
    <row r="2054" spans="1:4">
      <c r="A2054" s="2">
        <v>106</v>
      </c>
      <c r="B2054" s="2" t="s">
        <v>404</v>
      </c>
      <c r="C2054" s="2">
        <f>jωε0E(ω)+J(ω) (12)</f>
        <v>0</v>
      </c>
      <c r="D2054" s="2"/>
    </row>
    <row r="2055" spans="1:4">
      <c r="A2055" s="3">
        <v>106</v>
      </c>
      <c r="B2055" s="3" t="s">
        <v>404</v>
      </c>
      <c r="C2055" s="3" t="s">
        <v>3124</v>
      </c>
      <c r="D2055" s="3"/>
    </row>
    <row r="2056" spans="1:4">
      <c r="A2056" s="2">
        <v>106</v>
      </c>
      <c r="B2056" s="2" t="s">
        <v>404</v>
      </c>
      <c r="C2056" s="2" t="s">
        <v>3125</v>
      </c>
      <c r="D2056" s="2"/>
    </row>
    <row r="2057" spans="1:4">
      <c r="A2057" s="3">
        <v>106</v>
      </c>
      <c r="B2057" s="3" t="s">
        <v>404</v>
      </c>
      <c r="C2057" s="3" t="s">
        <v>3126</v>
      </c>
      <c r="D2057" s="3"/>
    </row>
    <row r="2058" spans="1:4">
      <c r="A2058" s="2">
        <v>106</v>
      </c>
      <c r="B2058" s="2" t="s">
        <v>404</v>
      </c>
      <c r="C2058" s="2" t="s">
        <v>3127</v>
      </c>
      <c r="D2058" s="2"/>
    </row>
    <row r="2059" spans="1:4">
      <c r="A2059" s="3">
        <v>106</v>
      </c>
      <c r="B2059" s="3" t="s">
        <v>404</v>
      </c>
      <c r="C2059" s="3" t="s">
        <v>3128</v>
      </c>
      <c r="D2059" s="3"/>
    </row>
    <row r="2060" spans="1:4">
      <c r="A2060" s="2">
        <v>106</v>
      </c>
      <c r="B2060" s="2" t="s">
        <v>404</v>
      </c>
      <c r="C2060" s="2" t="s">
        <v>3129</v>
      </c>
      <c r="D2060" s="2"/>
    </row>
    <row r="2061" spans="1:4">
      <c r="A2061" s="3">
        <v>106</v>
      </c>
      <c r="B2061" s="3" t="s">
        <v>404</v>
      </c>
      <c r="C2061" s="3" t="s">
        <v>3130</v>
      </c>
      <c r="D2061" s="3"/>
    </row>
    <row r="2062" spans="1:4">
      <c r="A2062" s="2">
        <v>106</v>
      </c>
      <c r="B2062" s="2" t="s">
        <v>404</v>
      </c>
      <c r="C2062" s="2" t="s">
        <v>3131</v>
      </c>
      <c r="D2062" s="2"/>
    </row>
    <row r="2063" spans="1:4">
      <c r="A2063" s="3">
        <v>106</v>
      </c>
      <c r="B2063" s="3" t="s">
        <v>404</v>
      </c>
      <c r="C2063" s="3" t="s">
        <v>3132</v>
      </c>
      <c r="D2063" s="3"/>
    </row>
    <row r="2064" spans="1:4">
      <c r="A2064" s="2">
        <v>106</v>
      </c>
      <c r="B2064" s="2" t="s">
        <v>404</v>
      </c>
      <c r="C2064" s="2" t="s">
        <v>3133</v>
      </c>
      <c r="D2064" s="2"/>
    </row>
    <row r="2065" spans="1:4">
      <c r="A2065" s="3">
        <v>106</v>
      </c>
      <c r="B2065" s="3" t="s">
        <v>404</v>
      </c>
      <c r="C2065" s="3" t="s">
        <v>3134</v>
      </c>
      <c r="D2065" s="3"/>
    </row>
    <row r="2066" spans="1:4">
      <c r="A2066" s="2">
        <v>106</v>
      </c>
      <c r="B2066" s="2" t="s">
        <v>404</v>
      </c>
      <c r="C2066" s="2" t="s">
        <v>3135</v>
      </c>
      <c r="D2066" s="2"/>
    </row>
    <row r="2067" spans="1:4">
      <c r="A2067" s="3">
        <v>106</v>
      </c>
      <c r="B2067" s="3" t="s">
        <v>404</v>
      </c>
      <c r="C2067" s="3" t="s">
        <v>3136</v>
      </c>
      <c r="D2067" s="3"/>
    </row>
    <row r="2068" spans="1:4">
      <c r="A2068" s="2">
        <v>106</v>
      </c>
      <c r="B2068" s="2" t="s">
        <v>404</v>
      </c>
      <c r="C2068" s="2" t="s">
        <v>3137</v>
      </c>
      <c r="D2068" s="2"/>
    </row>
    <row r="2069" spans="1:4">
      <c r="A2069" s="3">
        <v>106</v>
      </c>
      <c r="B2069" s="3" t="s">
        <v>404</v>
      </c>
      <c r="C2069" s="3" t="s">
        <v>3138</v>
      </c>
      <c r="D2069" s="3"/>
    </row>
    <row r="2070" spans="1:4">
      <c r="A2070" s="2">
        <v>107</v>
      </c>
      <c r="B2070" s="2" t="s">
        <v>536</v>
      </c>
      <c r="C2070" s="2" t="s">
        <v>3139</v>
      </c>
      <c r="D2070" s="2"/>
    </row>
    <row r="2071" spans="1:4">
      <c r="A2071" s="3">
        <v>107</v>
      </c>
      <c r="B2071" s="3" t="s">
        <v>536</v>
      </c>
      <c r="C2071" s="3" t="s">
        <v>3140</v>
      </c>
      <c r="D2071" s="3"/>
    </row>
    <row r="2072" spans="1:4">
      <c r="A2072" s="2">
        <v>107</v>
      </c>
      <c r="B2072" s="2" t="s">
        <v>536</v>
      </c>
      <c r="C2072" s="2" t="s">
        <v>3141</v>
      </c>
      <c r="D2072" s="2"/>
    </row>
    <row r="2073" spans="1:4">
      <c r="A2073" s="3">
        <v>107</v>
      </c>
      <c r="B2073" s="3" t="s">
        <v>536</v>
      </c>
      <c r="C2073" s="3" t="s">
        <v>3142</v>
      </c>
      <c r="D2073" s="3"/>
    </row>
    <row r="2074" spans="1:4">
      <c r="A2074" s="2">
        <v>107</v>
      </c>
      <c r="B2074" s="2" t="s">
        <v>536</v>
      </c>
      <c r="C2074" s="2">
        <f>2 ms, the dominant plasma ﬂuctuations have many compo-nents within a broad peak with frequency spread comparableto its central frequency f=70 kHz. It also observed that this</f>
        <v>0</v>
      </c>
      <c r="D2074" s="2"/>
    </row>
    <row r="2075" spans="1:4">
      <c r="A2075" s="3">
        <v>107</v>
      </c>
      <c r="B2075" s="3" t="s">
        <v>536</v>
      </c>
      <c r="C2075" s="3">
        <f>8 can be identiﬁed. In the two-dimensional Fourier trans-form, results show that the data are turbulent in the fre-quency domain yet low dimensional in space, deﬁned withonly two different mode numbers. There is an m=0 mode</f>
        <v>0</v>
      </c>
      <c r="D2075" s="3"/>
    </row>
    <row r="2076" spans="1:4">
      <c r="A2076" s="2">
        <v>107</v>
      </c>
      <c r="B2076" s="2" t="s">
        <v>536</v>
      </c>
      <c r="C2076" s="2" t="s">
        <v>3143</v>
      </c>
      <c r="D2076" s="2"/>
    </row>
    <row r="2077" spans="1:4">
      <c r="A2077" s="3">
        <v>107</v>
      </c>
      <c r="B2077" s="3" t="s">
        <v>536</v>
      </c>
      <c r="C2077" s="3" t="s">
        <v>3144</v>
      </c>
      <c r="D2077" s="3"/>
    </row>
    <row r="2078" spans="1:4">
      <c r="A2078" s="2">
        <v>107</v>
      </c>
      <c r="B2078" s="2" t="s">
        <v>536</v>
      </c>
      <c r="C2078" s="2" t="s">
        <v>3145</v>
      </c>
      <c r="D2078" s="2"/>
    </row>
    <row r="2079" spans="1:4">
      <c r="A2079" s="3">
        <v>107</v>
      </c>
      <c r="B2079" s="3" t="s">
        <v>536</v>
      </c>
      <c r="C2079" s="3" t="s">
        <v>3146</v>
      </c>
      <c r="D2079" s="3"/>
    </row>
    <row r="2080" spans="1:4">
      <c r="A2080" s="2">
        <v>107</v>
      </c>
      <c r="B2080" s="2" t="s">
        <v>536</v>
      </c>
      <c r="C2080" s="2" t="s">
        <v>3147</v>
      </c>
      <c r="D2080" s="2"/>
    </row>
    <row r="2081" spans="1:4">
      <c r="A2081" s="3">
        <v>107</v>
      </c>
      <c r="B2081" s="3" t="s">
        <v>536</v>
      </c>
      <c r="C2081" s="3" t="s">
        <v>3148</v>
      </c>
      <c r="D2081" s="3"/>
    </row>
    <row r="2082" spans="1:4">
      <c r="A2082" s="2">
        <v>107</v>
      </c>
      <c r="B2082" s="2" t="s">
        <v>536</v>
      </c>
      <c r="C2082" s="2" t="s">
        <v>3149</v>
      </c>
      <c r="D2082" s="2"/>
    </row>
    <row r="2083" spans="1:4">
      <c r="A2083" s="3">
        <v>107</v>
      </c>
      <c r="B2083" s="3" t="s">
        <v>536</v>
      </c>
      <c r="C2083" s="3" t="s">
        <v>3150</v>
      </c>
      <c r="D2083" s="3"/>
    </row>
    <row r="2084" spans="1:4">
      <c r="A2084" s="2">
        <v>107</v>
      </c>
      <c r="B2084" s="2" t="s">
        <v>536</v>
      </c>
      <c r="C2084" s="2">
        <f>0.2 T, a=0.15 m. The number of grid points chosen for the</f>
        <v>0</v>
      </c>
      <c r="D2084" s="2"/>
    </row>
    <row r="2085" spans="1:4">
      <c r="A2085" s="3">
        <v>107</v>
      </c>
      <c r="B2085" s="3" t="s">
        <v>536</v>
      </c>
      <c r="C2085" s="3" t="s">
        <v>3151</v>
      </c>
      <c r="D2085" s="3"/>
    </row>
    <row r="2086" spans="1:4">
      <c r="A2086" s="2">
        <v>107</v>
      </c>
      <c r="B2086" s="2" t="s">
        <v>536</v>
      </c>
      <c r="C2086" s="2" t="s">
        <v>3152</v>
      </c>
      <c r="D2086" s="2"/>
    </row>
    <row r="2087" spans="1:4">
      <c r="A2087" s="3">
        <v>107</v>
      </c>
      <c r="B2087" s="3" t="s">
        <v>536</v>
      </c>
      <c r="C2087" s="3" t="s">
        <v>3153</v>
      </c>
      <c r="D2087" s="3"/>
    </row>
    <row r="2088" spans="1:4">
      <c r="A2088" s="2">
        <v>107</v>
      </c>
      <c r="B2088" s="2" t="s">
        <v>536</v>
      </c>
      <c r="C2088" s="2" t="s">
        <v>3154</v>
      </c>
      <c r="D2088" s="2"/>
    </row>
    <row r="2089" spans="1:4">
      <c r="A2089" s="3">
        <v>107</v>
      </c>
      <c r="B2089" s="3" t="s">
        <v>536</v>
      </c>
      <c r="C2089" s="3" t="s">
        <v>3155</v>
      </c>
      <c r="D2089" s="3"/>
    </row>
    <row r="2090" spans="1:4">
      <c r="A2090" s="2">
        <v>107</v>
      </c>
      <c r="B2090" s="2" t="s">
        <v>536</v>
      </c>
      <c r="C2090" s="2" t="s">
        <v>3156</v>
      </c>
      <c r="D2090" s="2"/>
    </row>
    <row r="2091" spans="1:4">
      <c r="A2091" s="3">
        <v>107</v>
      </c>
      <c r="B2091" s="3" t="s">
        <v>536</v>
      </c>
      <c r="C2091" s="3" t="s">
        <v>3157</v>
      </c>
      <c r="D2091" s="3"/>
    </row>
    <row r="2092" spans="1:4">
      <c r="A2092" s="2">
        <v>107</v>
      </c>
      <c r="B2092" s="2" t="s">
        <v>536</v>
      </c>
      <c r="C2092" s="2" t="s">
        <v>3158</v>
      </c>
      <c r="D2092" s="2"/>
    </row>
    <row r="2093" spans="1:4">
      <c r="A2093" s="3">
        <v>107</v>
      </c>
      <c r="B2093" s="3" t="s">
        <v>536</v>
      </c>
      <c r="C2093" s="3" t="s">
        <v>3159</v>
      </c>
      <c r="D2093" s="3"/>
    </row>
    <row r="2094" spans="1:4">
      <c r="A2094" s="2">
        <v>107</v>
      </c>
      <c r="B2094" s="2" t="s">
        <v>536</v>
      </c>
      <c r="C2094" s="2" t="s">
        <v>3160</v>
      </c>
      <c r="D2094" s="2"/>
    </row>
    <row r="2095" spans="1:4">
      <c r="A2095" s="3">
        <v>107</v>
      </c>
      <c r="B2095" s="3" t="s">
        <v>536</v>
      </c>
      <c r="C2095" s="3" t="s">
        <v>3161</v>
      </c>
      <c r="D2095" s="3"/>
    </row>
    <row r="2096" spans="1:4">
      <c r="A2096" s="2">
        <v>107</v>
      </c>
      <c r="B2096" s="2" t="s">
        <v>536</v>
      </c>
      <c r="C2096" s="2" t="s">
        <v>3162</v>
      </c>
      <c r="D2096" s="2"/>
    </row>
    <row r="2097" spans="1:4">
      <c r="A2097" s="3">
        <v>107</v>
      </c>
      <c r="B2097" s="3" t="s">
        <v>536</v>
      </c>
      <c r="C2097" s="3" t="s">
        <v>3163</v>
      </c>
      <c r="D2097" s="3"/>
    </row>
    <row r="2098" spans="1:4">
      <c r="A2098" s="2">
        <v>107</v>
      </c>
      <c r="B2098" s="2" t="s">
        <v>536</v>
      </c>
      <c r="C2098" s="2" t="s">
        <v>3164</v>
      </c>
      <c r="D2098" s="2"/>
    </row>
    <row r="2099" spans="1:4">
      <c r="A2099" s="3">
        <v>107</v>
      </c>
      <c r="B2099" s="3" t="s">
        <v>536</v>
      </c>
      <c r="C2099" s="3" t="s">
        <v>3165</v>
      </c>
      <c r="D2099" s="3"/>
    </row>
    <row r="2100" spans="1:4">
      <c r="A2100" s="2">
        <v>107</v>
      </c>
      <c r="B2100" s="2" t="s">
        <v>536</v>
      </c>
      <c r="C2100" s="2" t="s">
        <v>3166</v>
      </c>
      <c r="D2100" s="2"/>
    </row>
    <row r="2101" spans="1:4">
      <c r="A2101" s="3">
        <v>107</v>
      </c>
      <c r="B2101" s="3" t="s">
        <v>536</v>
      </c>
      <c r="C2101" s="3" t="s">
        <v>3167</v>
      </c>
      <c r="D2101" s="3"/>
    </row>
    <row r="2102" spans="1:4">
      <c r="A2102" s="2">
        <v>107</v>
      </c>
      <c r="B2102" s="2" t="s">
        <v>536</v>
      </c>
      <c r="C2102" s="2" t="s">
        <v>3168</v>
      </c>
      <c r="D2102" s="2"/>
    </row>
    <row r="2103" spans="1:4">
      <c r="A2103" s="3">
        <v>107</v>
      </c>
      <c r="B2103" s="3" t="s">
        <v>536</v>
      </c>
      <c r="C2103" s="3" t="s">
        <v>3169</v>
      </c>
      <c r="D2103" s="3"/>
    </row>
    <row r="2104" spans="1:4">
      <c r="A2104" s="2">
        <v>107</v>
      </c>
      <c r="B2104" s="2" t="s">
        <v>536</v>
      </c>
      <c r="C2104" s="2" t="s">
        <v>3170</v>
      </c>
      <c r="D2104" s="2"/>
    </row>
    <row r="2105" spans="1:4">
      <c r="A2105" s="3">
        <v>107</v>
      </c>
      <c r="B2105" s="3" t="s">
        <v>536</v>
      </c>
      <c r="C2105" s="3" t="s">
        <v>3171</v>
      </c>
      <c r="D2105" s="3"/>
    </row>
    <row r="2106" spans="1:4">
      <c r="A2106" s="2">
        <v>107</v>
      </c>
      <c r="B2106" s="2" t="s">
        <v>536</v>
      </c>
      <c r="C2106" s="2">
        <f>2 modes leads to the broadband frequency spectrum ob-served for the m=2 mode. The simulation data, however,</f>
        <v>0</v>
      </c>
      <c r="D2106" s="2"/>
    </row>
    <row r="2107" spans="1:4">
      <c r="A2107" s="3">
        <v>107</v>
      </c>
      <c r="B2107" s="3" t="s">
        <v>536</v>
      </c>
      <c r="C2107" s="3" t="s">
        <v>3172</v>
      </c>
      <c r="D2107" s="3"/>
    </row>
    <row r="2108" spans="1:4">
      <c r="A2108" s="2">
        <v>108</v>
      </c>
      <c r="B2108" s="2" t="s">
        <v>548</v>
      </c>
      <c r="C2108" s="2" t="s">
        <v>1470</v>
      </c>
      <c r="D2108" s="2"/>
    </row>
    <row r="2109" spans="1:4">
      <c r="A2109" s="3">
        <v>108</v>
      </c>
      <c r="B2109" s="3" t="s">
        <v>548</v>
      </c>
      <c r="C2109" s="3" t="s">
        <v>3173</v>
      </c>
      <c r="D2109" s="3"/>
    </row>
    <row r="2110" spans="1:4">
      <c r="A2110" s="2">
        <v>108</v>
      </c>
      <c r="B2110" s="2" t="s">
        <v>548</v>
      </c>
      <c r="C2110" s="2" t="s">
        <v>3174</v>
      </c>
      <c r="D2110" s="2"/>
    </row>
    <row r="2111" spans="1:4">
      <c r="A2111" s="3">
        <v>108</v>
      </c>
      <c r="B2111" s="3" t="s">
        <v>548</v>
      </c>
      <c r="C2111" s="3" t="s">
        <v>3175</v>
      </c>
      <c r="D2111" s="3"/>
    </row>
    <row r="2112" spans="1:4">
      <c r="A2112" s="2">
        <v>108</v>
      </c>
      <c r="B2112" s="2" t="s">
        <v>548</v>
      </c>
      <c r="C2112" s="2" t="s">
        <v>3176</v>
      </c>
      <c r="D2112" s="2"/>
    </row>
    <row r="2113" spans="1:4">
      <c r="A2113" s="3">
        <v>108</v>
      </c>
      <c r="B2113" s="3" t="s">
        <v>548</v>
      </c>
      <c r="C2113" s="3" t="s">
        <v>3177</v>
      </c>
      <c r="D2113" s="3"/>
    </row>
    <row r="2114" spans="1:4">
      <c r="A2114" s="2">
        <v>108</v>
      </c>
      <c r="B2114" s="2" t="s">
        <v>548</v>
      </c>
      <c r="C2114" s="2" t="s">
        <v>3178</v>
      </c>
      <c r="D2114" s="2"/>
    </row>
    <row r="2115" spans="1:4">
      <c r="A2115" s="3">
        <v>108</v>
      </c>
      <c r="B2115" s="3" t="s">
        <v>548</v>
      </c>
      <c r="C2115" s="3" t="s">
        <v>3179</v>
      </c>
      <c r="D2115" s="3"/>
    </row>
    <row r="2116" spans="1:4">
      <c r="A2116" s="2">
        <v>108</v>
      </c>
      <c r="B2116" s="2" t="s">
        <v>548</v>
      </c>
      <c r="C2116" s="2" t="s">
        <v>3180</v>
      </c>
      <c r="D2116" s="2"/>
    </row>
    <row r="2117" spans="1:4">
      <c r="A2117" s="3">
        <v>109</v>
      </c>
      <c r="B2117" s="3" t="s">
        <v>489</v>
      </c>
      <c r="C2117" s="3" t="s">
        <v>3181</v>
      </c>
      <c r="D2117" s="3"/>
    </row>
    <row r="2118" spans="1:4">
      <c r="A2118" s="2">
        <v>109</v>
      </c>
      <c r="B2118" s="2" t="s">
        <v>489</v>
      </c>
      <c r="C2118" s="2" t="s">
        <v>3182</v>
      </c>
      <c r="D2118" s="2"/>
    </row>
    <row r="2119" spans="1:4">
      <c r="A2119" s="3">
        <v>109</v>
      </c>
      <c r="B2119" s="3" t="s">
        <v>489</v>
      </c>
      <c r="C2119" s="3" t="s">
        <v>3183</v>
      </c>
      <c r="D2119" s="3"/>
    </row>
    <row r="2120" spans="1:4">
      <c r="A2120" s="2">
        <v>109</v>
      </c>
      <c r="B2120" s="2" t="s">
        <v>489</v>
      </c>
      <c r="C2120" s="2" t="s">
        <v>3184</v>
      </c>
      <c r="D2120" s="2"/>
    </row>
    <row r="2121" spans="1:4">
      <c r="A2121" s="3">
        <v>109</v>
      </c>
      <c r="B2121" s="3" t="s">
        <v>489</v>
      </c>
      <c r="C2121" s="3" t="s">
        <v>3185</v>
      </c>
      <c r="D2121" s="3"/>
    </row>
    <row r="2122" spans="1:4">
      <c r="A2122" s="2">
        <v>109</v>
      </c>
      <c r="B2122" s="2" t="s">
        <v>489</v>
      </c>
      <c r="C2122" s="2" t="s">
        <v>3186</v>
      </c>
      <c r="D2122" s="2"/>
    </row>
    <row r="2123" spans="1:4">
      <c r="A2123" s="3">
        <v>109</v>
      </c>
      <c r="B2123" s="3" t="s">
        <v>489</v>
      </c>
      <c r="C2123" s="3" t="s">
        <v>3187</v>
      </c>
      <c r="D2123" s="3"/>
    </row>
    <row r="2124" spans="1:4">
      <c r="A2124" s="2">
        <v>109</v>
      </c>
      <c r="B2124" s="2" t="s">
        <v>489</v>
      </c>
      <c r="C2124" s="2" t="s">
        <v>3188</v>
      </c>
      <c r="D2124" s="2"/>
    </row>
    <row r="2125" spans="1:4">
      <c r="A2125" s="3">
        <v>109</v>
      </c>
      <c r="B2125" s="3" t="s">
        <v>489</v>
      </c>
      <c r="C2125" s="3" t="s">
        <v>3189</v>
      </c>
      <c r="D2125" s="3"/>
    </row>
    <row r="2126" spans="1:4">
      <c r="A2126" s="2">
        <v>109</v>
      </c>
      <c r="B2126" s="2" t="s">
        <v>489</v>
      </c>
      <c r="C2126" s="2" t="s">
        <v>3190</v>
      </c>
      <c r="D2126" s="2"/>
    </row>
    <row r="2127" spans="1:4">
      <c r="A2127" s="3">
        <v>109</v>
      </c>
      <c r="B2127" s="3" t="s">
        <v>489</v>
      </c>
      <c r="C2127" s="3" t="s">
        <v>3191</v>
      </c>
      <c r="D2127" s="3"/>
    </row>
    <row r="2128" spans="1:4">
      <c r="A2128" s="2">
        <v>109</v>
      </c>
      <c r="B2128" s="2" t="s">
        <v>489</v>
      </c>
      <c r="C2128" s="2" t="s">
        <v>3192</v>
      </c>
      <c r="D2128" s="2"/>
    </row>
    <row r="2129" spans="1:4">
      <c r="A2129" s="3">
        <v>109</v>
      </c>
      <c r="B2129" s="3" t="s">
        <v>489</v>
      </c>
      <c r="C2129" s="3" t="s">
        <v>3193</v>
      </c>
      <c r="D2129" s="3"/>
    </row>
    <row r="2130" spans="1:4">
      <c r="A2130" s="2">
        <v>109</v>
      </c>
      <c r="B2130" s="2" t="s">
        <v>489</v>
      </c>
      <c r="C2130" s="2" t="s">
        <v>3194</v>
      </c>
      <c r="D2130" s="2"/>
    </row>
    <row r="2131" spans="1:4">
      <c r="A2131" s="3">
        <v>109</v>
      </c>
      <c r="B2131" s="3" t="s">
        <v>489</v>
      </c>
      <c r="C2131" s="3" t="s">
        <v>3195</v>
      </c>
      <c r="D2131" s="3"/>
    </row>
    <row r="2132" spans="1:4">
      <c r="A2132" s="2">
        <v>109</v>
      </c>
      <c r="B2132" s="2" t="s">
        <v>489</v>
      </c>
      <c r="C2132" s="2" t="s">
        <v>3196</v>
      </c>
      <c r="D2132" s="2"/>
    </row>
    <row r="2133" spans="1:4">
      <c r="A2133" s="3">
        <v>109</v>
      </c>
      <c r="B2133" s="3" t="s">
        <v>489</v>
      </c>
      <c r="C2133" s="3" t="s">
        <v>3197</v>
      </c>
      <c r="D2133" s="3"/>
    </row>
    <row r="2134" spans="1:4">
      <c r="A2134" s="2">
        <v>109</v>
      </c>
      <c r="B2134" s="2" t="s">
        <v>489</v>
      </c>
      <c r="C2134" s="2" t="s">
        <v>3198</v>
      </c>
      <c r="D2134" s="2"/>
    </row>
    <row r="2135" spans="1:4">
      <c r="A2135" s="3">
        <v>109</v>
      </c>
      <c r="B2135" s="3" t="s">
        <v>489</v>
      </c>
      <c r="C2135" s="3" t="s">
        <v>3199</v>
      </c>
      <c r="D2135" s="3"/>
    </row>
    <row r="2136" spans="1:4">
      <c r="A2136" s="2">
        <v>109</v>
      </c>
      <c r="B2136" s="2" t="s">
        <v>489</v>
      </c>
      <c r="C2136" s="2" t="s">
        <v>3200</v>
      </c>
      <c r="D2136" s="2"/>
    </row>
    <row r="2137" spans="1:4">
      <c r="A2137" s="3">
        <v>109</v>
      </c>
      <c r="B2137" s="3" t="s">
        <v>489</v>
      </c>
      <c r="C2137" s="3" t="s">
        <v>3201</v>
      </c>
      <c r="D2137" s="3"/>
    </row>
    <row r="2138" spans="1:4">
      <c r="A2138" s="2">
        <v>109</v>
      </c>
      <c r="B2138" s="2" t="s">
        <v>489</v>
      </c>
      <c r="C2138" s="2" t="s">
        <v>3202</v>
      </c>
      <c r="D2138" s="2"/>
    </row>
    <row r="2139" spans="1:4">
      <c r="A2139" s="3">
        <v>109</v>
      </c>
      <c r="B2139" s="3" t="s">
        <v>489</v>
      </c>
      <c r="C2139" s="3" t="s">
        <v>3203</v>
      </c>
      <c r="D2139" s="3"/>
    </row>
    <row r="2140" spans="1:4">
      <c r="A2140" s="2">
        <v>109</v>
      </c>
      <c r="B2140" s="2" t="s">
        <v>489</v>
      </c>
      <c r="C2140" s="2" t="s">
        <v>3204</v>
      </c>
      <c r="D2140" s="2"/>
    </row>
    <row r="2141" spans="1:4">
      <c r="A2141" s="3">
        <v>109</v>
      </c>
      <c r="B2141" s="3" t="s">
        <v>489</v>
      </c>
      <c r="C2141" s="3" t="s">
        <v>3205</v>
      </c>
      <c r="D2141" s="3"/>
    </row>
    <row r="2142" spans="1:4">
      <c r="A2142" s="2">
        <v>109</v>
      </c>
      <c r="B2142" s="2" t="s">
        <v>489</v>
      </c>
      <c r="C2142" s="2" t="s">
        <v>3206</v>
      </c>
      <c r="D2142" s="2"/>
    </row>
    <row r="2143" spans="1:4">
      <c r="A2143" s="3">
        <v>109</v>
      </c>
      <c r="B2143" s="3" t="s">
        <v>489</v>
      </c>
      <c r="C2143" s="3" t="s">
        <v>3207</v>
      </c>
      <c r="D2143" s="3"/>
    </row>
    <row r="2144" spans="1:4">
      <c r="A2144" s="2">
        <v>109</v>
      </c>
      <c r="B2144" s="2" t="s">
        <v>489</v>
      </c>
      <c r="C2144" s="2" t="s">
        <v>3208</v>
      </c>
      <c r="D2144" s="2"/>
    </row>
    <row r="2145" spans="1:4">
      <c r="A2145" s="3">
        <v>109</v>
      </c>
      <c r="B2145" s="3" t="s">
        <v>489</v>
      </c>
      <c r="C2145" s="3" t="s">
        <v>3209</v>
      </c>
      <c r="D2145" s="3"/>
    </row>
    <row r="2146" spans="1:4">
      <c r="A2146" s="2">
        <v>109</v>
      </c>
      <c r="B2146" s="2" t="s">
        <v>489</v>
      </c>
      <c r="C2146" s="2" t="s">
        <v>3210</v>
      </c>
      <c r="D2146" s="2"/>
    </row>
    <row r="2147" spans="1:4">
      <c r="A2147" s="3">
        <v>109</v>
      </c>
      <c r="B2147" s="3" t="s">
        <v>489</v>
      </c>
      <c r="C2147" s="3" t="s">
        <v>3203</v>
      </c>
      <c r="D2147" s="3"/>
    </row>
    <row r="2148" spans="1:4">
      <c r="A2148" s="2">
        <v>109</v>
      </c>
      <c r="B2148" s="2" t="s">
        <v>489</v>
      </c>
      <c r="C2148" s="2" t="s">
        <v>3211</v>
      </c>
      <c r="D2148" s="2"/>
    </row>
    <row r="2149" spans="1:4">
      <c r="A2149" s="3">
        <v>109</v>
      </c>
      <c r="B2149" s="3" t="s">
        <v>489</v>
      </c>
      <c r="C2149" s="3" t="s">
        <v>3212</v>
      </c>
      <c r="D2149" s="3"/>
    </row>
    <row r="2150" spans="1:4">
      <c r="A2150" s="2">
        <v>109</v>
      </c>
      <c r="B2150" s="2" t="s">
        <v>489</v>
      </c>
      <c r="C2150" s="2" t="s">
        <v>3213</v>
      </c>
      <c r="D2150" s="2"/>
    </row>
    <row r="2151" spans="1:4">
      <c r="A2151" s="3">
        <v>109</v>
      </c>
      <c r="B2151" s="3" t="s">
        <v>489</v>
      </c>
      <c r="C2151" s="3" t="s">
        <v>3214</v>
      </c>
      <c r="D2151" s="3"/>
    </row>
    <row r="2152" spans="1:4">
      <c r="A2152" s="2">
        <v>109</v>
      </c>
      <c r="B2152" s="2" t="s">
        <v>489</v>
      </c>
      <c r="C2152" s="2" t="s">
        <v>3202</v>
      </c>
      <c r="D2152" s="2"/>
    </row>
    <row r="2153" spans="1:4">
      <c r="A2153" s="3">
        <v>109</v>
      </c>
      <c r="B2153" s="3" t="s">
        <v>489</v>
      </c>
      <c r="C2153" s="3" t="s">
        <v>3203</v>
      </c>
      <c r="D2153" s="3"/>
    </row>
    <row r="2154" spans="1:4">
      <c r="A2154" s="2">
        <v>109</v>
      </c>
      <c r="B2154" s="2" t="s">
        <v>489</v>
      </c>
      <c r="C2154" s="2" t="s">
        <v>3215</v>
      </c>
      <c r="D2154" s="2"/>
    </row>
    <row r="2155" spans="1:4">
      <c r="A2155" s="3">
        <v>109</v>
      </c>
      <c r="B2155" s="3" t="s">
        <v>489</v>
      </c>
      <c r="C2155" s="3" t="s">
        <v>3216</v>
      </c>
      <c r="D2155" s="3"/>
    </row>
    <row r="2156" spans="1:4">
      <c r="A2156" s="2">
        <v>109</v>
      </c>
      <c r="B2156" s="2" t="s">
        <v>489</v>
      </c>
      <c r="C2156" s="2" t="s">
        <v>3217</v>
      </c>
      <c r="D2156" s="2"/>
    </row>
    <row r="2157" spans="1:4">
      <c r="A2157" s="3">
        <v>109</v>
      </c>
      <c r="B2157" s="3" t="s">
        <v>489</v>
      </c>
      <c r="C2157" s="3" t="s">
        <v>3218</v>
      </c>
      <c r="D2157" s="3"/>
    </row>
    <row r="2158" spans="1:4">
      <c r="A2158" s="2">
        <v>109</v>
      </c>
      <c r="B2158" s="2" t="s">
        <v>489</v>
      </c>
      <c r="C2158" s="2" t="s">
        <v>3219</v>
      </c>
      <c r="D2158" s="2"/>
    </row>
    <row r="2159" spans="1:4">
      <c r="A2159" s="3">
        <v>109</v>
      </c>
      <c r="B2159" s="3" t="s">
        <v>489</v>
      </c>
      <c r="C2159" s="3" t="s">
        <v>3220</v>
      </c>
      <c r="D2159" s="3"/>
    </row>
    <row r="2160" spans="1:4">
      <c r="A2160" s="2">
        <v>109</v>
      </c>
      <c r="B2160" s="2" t="s">
        <v>489</v>
      </c>
      <c r="C2160" s="2" t="s">
        <v>3210</v>
      </c>
      <c r="D2160" s="2"/>
    </row>
    <row r="2161" spans="1:4">
      <c r="A2161" s="3">
        <v>109</v>
      </c>
      <c r="B2161" s="3" t="s">
        <v>489</v>
      </c>
      <c r="C2161" s="3" t="s">
        <v>3203</v>
      </c>
      <c r="D2161" s="3"/>
    </row>
    <row r="2162" spans="1:4">
      <c r="A2162" s="2">
        <v>109</v>
      </c>
      <c r="B2162" s="2" t="s">
        <v>489</v>
      </c>
      <c r="C2162" s="2" t="s">
        <v>3221</v>
      </c>
      <c r="D2162" s="2"/>
    </row>
    <row r="2163" spans="1:4">
      <c r="A2163" s="3">
        <v>109</v>
      </c>
      <c r="B2163" s="3" t="s">
        <v>489</v>
      </c>
      <c r="C2163" s="3" t="s">
        <v>3212</v>
      </c>
      <c r="D2163" s="3"/>
    </row>
    <row r="2164" spans="1:4">
      <c r="A2164" s="2">
        <v>110</v>
      </c>
      <c r="B2164" s="2" t="s">
        <v>363</v>
      </c>
      <c r="C2164" s="2" t="s">
        <v>3222</v>
      </c>
      <c r="D2164" s="2"/>
    </row>
    <row r="2165" spans="1:4">
      <c r="A2165" s="3">
        <v>110</v>
      </c>
      <c r="B2165" s="3" t="s">
        <v>363</v>
      </c>
      <c r="C2165" s="3" t="s">
        <v>3223</v>
      </c>
      <c r="D2165" s="3"/>
    </row>
    <row r="2166" spans="1:4">
      <c r="A2166" s="2">
        <v>110</v>
      </c>
      <c r="B2166" s="2" t="s">
        <v>363</v>
      </c>
      <c r="C2166" s="2" t="s">
        <v>3224</v>
      </c>
      <c r="D2166" s="2"/>
    </row>
    <row r="2167" spans="1:4">
      <c r="A2167" s="3">
        <v>110</v>
      </c>
      <c r="B2167" s="3" t="s">
        <v>363</v>
      </c>
      <c r="C2167" s="3" t="s">
        <v>3225</v>
      </c>
      <c r="D2167" s="3"/>
    </row>
    <row r="2168" spans="1:4">
      <c r="A2168" s="2">
        <v>110</v>
      </c>
      <c r="B2168" s="2" t="s">
        <v>363</v>
      </c>
      <c r="C2168" s="2" t="s">
        <v>3226</v>
      </c>
      <c r="D2168" s="2"/>
    </row>
    <row r="2169" spans="1:4">
      <c r="A2169" s="3">
        <v>110</v>
      </c>
      <c r="B2169" s="3" t="s">
        <v>363</v>
      </c>
      <c r="C2169" s="3" t="s">
        <v>3227</v>
      </c>
      <c r="D2169" s="3"/>
    </row>
    <row r="2170" spans="1:4">
      <c r="A2170" s="2">
        <v>110</v>
      </c>
      <c r="B2170" s="2" t="s">
        <v>363</v>
      </c>
      <c r="C2170" s="2" t="s">
        <v>3228</v>
      </c>
      <c r="D2170" s="2"/>
    </row>
    <row r="2171" spans="1:4">
      <c r="A2171" s="3">
        <v>110</v>
      </c>
      <c r="B2171" s="3" t="s">
        <v>363</v>
      </c>
      <c r="C2171" s="3" t="s">
        <v>3229</v>
      </c>
      <c r="D2171" s="3"/>
    </row>
    <row r="2172" spans="1:4">
      <c r="A2172" s="2">
        <v>110</v>
      </c>
      <c r="B2172" s="2" t="s">
        <v>363</v>
      </c>
      <c r="C2172" s="2" t="s">
        <v>3230</v>
      </c>
      <c r="D2172" s="2"/>
    </row>
    <row r="2173" spans="1:4">
      <c r="A2173" s="3">
        <v>110</v>
      </c>
      <c r="B2173" s="3" t="s">
        <v>363</v>
      </c>
      <c r="C2173" s="3" t="s">
        <v>3231</v>
      </c>
      <c r="D2173" s="3"/>
    </row>
    <row r="2174" spans="1:4">
      <c r="A2174" s="2">
        <v>110</v>
      </c>
      <c r="B2174" s="2" t="s">
        <v>363</v>
      </c>
      <c r="C2174" s="2" t="s">
        <v>3232</v>
      </c>
      <c r="D2174" s="2"/>
    </row>
    <row r="2175" spans="1:4">
      <c r="A2175" s="3">
        <v>110</v>
      </c>
      <c r="B2175" s="3" t="s">
        <v>363</v>
      </c>
      <c r="C2175" s="3" t="s">
        <v>3233</v>
      </c>
      <c r="D2175" s="3"/>
    </row>
    <row r="2176" spans="1:4">
      <c r="A2176" s="2">
        <v>111</v>
      </c>
      <c r="B2176" s="2" t="s">
        <v>407</v>
      </c>
      <c r="C2176" s="2" t="s">
        <v>3234</v>
      </c>
      <c r="D2176" s="2"/>
    </row>
    <row r="2177" spans="1:4">
      <c r="A2177" s="3">
        <v>111</v>
      </c>
      <c r="B2177" s="3" t="s">
        <v>407</v>
      </c>
      <c r="C2177" s="3" t="s">
        <v>3235</v>
      </c>
      <c r="D2177" s="3"/>
    </row>
    <row r="2178" spans="1:4">
      <c r="A2178" s="2">
        <v>112</v>
      </c>
      <c r="B2178" s="2" t="s">
        <v>517</v>
      </c>
      <c r="C2178" s="2" t="s">
        <v>3236</v>
      </c>
      <c r="D2178" s="2"/>
    </row>
    <row r="2179" spans="1:4">
      <c r="A2179" s="3">
        <v>112</v>
      </c>
      <c r="B2179" s="3" t="s">
        <v>517</v>
      </c>
      <c r="C2179" s="3" t="s">
        <v>3237</v>
      </c>
      <c r="D2179" s="3"/>
    </row>
    <row r="2180" spans="1:4">
      <c r="A2180" s="2">
        <v>112</v>
      </c>
      <c r="B2180" s="2" t="s">
        <v>517</v>
      </c>
      <c r="C2180" s="2" t="s">
        <v>3238</v>
      </c>
      <c r="D2180" s="2"/>
    </row>
    <row r="2181" spans="1:4">
      <c r="A2181" s="3">
        <v>112</v>
      </c>
      <c r="B2181" s="3" t="s">
        <v>517</v>
      </c>
      <c r="C2181" s="3" t="s">
        <v>3239</v>
      </c>
      <c r="D2181" s="3"/>
    </row>
    <row r="2182" spans="1:4">
      <c r="A2182" s="2">
        <v>112</v>
      </c>
      <c r="B2182" s="2" t="s">
        <v>517</v>
      </c>
      <c r="C2182" s="2" t="s">
        <v>3240</v>
      </c>
      <c r="D2182" s="2"/>
    </row>
    <row r="2183" spans="1:4">
      <c r="A2183" s="3">
        <v>112</v>
      </c>
      <c r="B2183" s="3" t="s">
        <v>517</v>
      </c>
      <c r="C2183" s="3" t="s">
        <v>3241</v>
      </c>
      <c r="D2183" s="3"/>
    </row>
    <row r="2184" spans="1:4">
      <c r="A2184" s="2">
        <v>112</v>
      </c>
      <c r="B2184" s="2" t="s">
        <v>517</v>
      </c>
      <c r="C2184" s="2" t="s">
        <v>3242</v>
      </c>
      <c r="D2184" s="2"/>
    </row>
    <row r="2185" spans="1:4">
      <c r="A2185" s="3">
        <v>112</v>
      </c>
      <c r="B2185" s="3" t="s">
        <v>517</v>
      </c>
      <c r="C2185" s="3" t="s">
        <v>3243</v>
      </c>
      <c r="D2185" s="3"/>
    </row>
    <row r="2186" spans="1:4">
      <c r="A2186" s="2">
        <v>112</v>
      </c>
      <c r="B2186" s="2" t="s">
        <v>517</v>
      </c>
      <c r="C2186" s="2" t="s">
        <v>3244</v>
      </c>
      <c r="D2186" s="2"/>
    </row>
    <row r="2187" spans="1:4">
      <c r="A2187" s="3">
        <v>112</v>
      </c>
      <c r="B2187" s="3" t="s">
        <v>517</v>
      </c>
      <c r="C2187" s="3" t="s">
        <v>3245</v>
      </c>
      <c r="D2187" s="3"/>
    </row>
    <row r="2188" spans="1:4">
      <c r="A2188" s="2">
        <v>112</v>
      </c>
      <c r="B2188" s="2" t="s">
        <v>517</v>
      </c>
      <c r="C2188" s="2" t="s">
        <v>3246</v>
      </c>
      <c r="D2188" s="2"/>
    </row>
    <row r="2189" spans="1:4">
      <c r="A2189" s="3">
        <v>112</v>
      </c>
      <c r="B2189" s="3" t="s">
        <v>517</v>
      </c>
      <c r="C2189" s="3" t="s">
        <v>3247</v>
      </c>
      <c r="D2189" s="3"/>
    </row>
    <row r="2190" spans="1:4">
      <c r="A2190" s="2">
        <v>113</v>
      </c>
      <c r="B2190" s="2" t="s">
        <v>595</v>
      </c>
      <c r="C2190" s="2" t="s">
        <v>3248</v>
      </c>
      <c r="D2190" s="2"/>
    </row>
    <row r="2191" spans="1:4">
      <c r="A2191" s="3">
        <v>113</v>
      </c>
      <c r="B2191" s="3" t="s">
        <v>595</v>
      </c>
      <c r="C2191" s="3" t="s">
        <v>3249</v>
      </c>
      <c r="D2191" s="3"/>
    </row>
    <row r="2192" spans="1:4">
      <c r="A2192" s="2">
        <v>113</v>
      </c>
      <c r="B2192" s="2" t="s">
        <v>595</v>
      </c>
      <c r="C2192" s="2" t="s">
        <v>3250</v>
      </c>
      <c r="D2192" s="2"/>
    </row>
    <row r="2193" spans="1:4">
      <c r="A2193" s="3">
        <v>113</v>
      </c>
      <c r="B2193" s="3" t="s">
        <v>595</v>
      </c>
      <c r="C2193" s="3" t="s">
        <v>3251</v>
      </c>
      <c r="D2193" s="3"/>
    </row>
    <row r="2194" spans="1:4">
      <c r="A2194" s="2">
        <v>113</v>
      </c>
      <c r="B2194" s="2" t="s">
        <v>595</v>
      </c>
      <c r="C2194" s="2" t="s">
        <v>3252</v>
      </c>
      <c r="D2194" s="2"/>
    </row>
    <row r="2195" spans="1:4">
      <c r="A2195" s="3">
        <v>113</v>
      </c>
      <c r="B2195" s="3" t="s">
        <v>595</v>
      </c>
      <c r="C2195" s="3" t="s">
        <v>3253</v>
      </c>
      <c r="D2195" s="3"/>
    </row>
    <row r="2196" spans="1:4">
      <c r="A2196" s="2">
        <v>113</v>
      </c>
      <c r="B2196" s="2" t="s">
        <v>595</v>
      </c>
      <c r="C2196" s="2" t="s">
        <v>3254</v>
      </c>
      <c r="D2196" s="2"/>
    </row>
    <row r="2197" spans="1:4">
      <c r="A2197" s="3">
        <v>113</v>
      </c>
      <c r="B2197" s="3" t="s">
        <v>595</v>
      </c>
      <c r="C2197" s="3" t="s">
        <v>3255</v>
      </c>
      <c r="D2197" s="3"/>
    </row>
    <row r="2198" spans="1:4">
      <c r="A2198" s="2">
        <v>114</v>
      </c>
      <c r="B2198" s="2" t="s">
        <v>461</v>
      </c>
      <c r="C2198" s="2" t="s">
        <v>3256</v>
      </c>
      <c r="D2198" s="2"/>
    </row>
    <row r="2199" spans="1:4">
      <c r="A2199" s="3">
        <v>114</v>
      </c>
      <c r="B2199" s="3" t="s">
        <v>461</v>
      </c>
      <c r="C2199" s="3" t="s">
        <v>3257</v>
      </c>
      <c r="D2199" s="3"/>
    </row>
    <row r="2200" spans="1:4">
      <c r="A2200" s="2">
        <v>114</v>
      </c>
      <c r="B2200" s="2" t="s">
        <v>461</v>
      </c>
      <c r="C2200" s="2" t="s">
        <v>3258</v>
      </c>
      <c r="D2200" s="2"/>
    </row>
    <row r="2201" spans="1:4">
      <c r="A2201" s="3">
        <v>114</v>
      </c>
      <c r="B2201" s="3" t="s">
        <v>461</v>
      </c>
      <c r="C2201" s="3" t="s">
        <v>3259</v>
      </c>
      <c r="D2201" s="3"/>
    </row>
    <row r="2202" spans="1:4">
      <c r="A2202" s="2">
        <v>114</v>
      </c>
      <c r="B2202" s="2" t="s">
        <v>461</v>
      </c>
      <c r="C2202" s="2" t="s">
        <v>3228</v>
      </c>
      <c r="D2202" s="2"/>
    </row>
    <row r="2203" spans="1:4">
      <c r="A2203" s="3">
        <v>114</v>
      </c>
      <c r="B2203" s="3" t="s">
        <v>461</v>
      </c>
      <c r="C2203" s="3" t="s">
        <v>3260</v>
      </c>
      <c r="D2203" s="3"/>
    </row>
    <row r="2204" spans="1:4">
      <c r="A2204" s="2">
        <v>114</v>
      </c>
      <c r="B2204" s="2" t="s">
        <v>461</v>
      </c>
      <c r="C2204" s="2" t="s">
        <v>3261</v>
      </c>
      <c r="D2204" s="2"/>
    </row>
    <row r="2205" spans="1:4">
      <c r="A2205" s="3">
        <v>114</v>
      </c>
      <c r="B2205" s="3" t="s">
        <v>461</v>
      </c>
      <c r="C2205" s="3" t="s">
        <v>3262</v>
      </c>
      <c r="D2205" s="3"/>
    </row>
    <row r="2206" spans="1:4">
      <c r="A2206" s="2">
        <v>114</v>
      </c>
      <c r="B2206" s="2" t="s">
        <v>461</v>
      </c>
      <c r="C2206" s="2" t="s">
        <v>3263</v>
      </c>
      <c r="D2206" s="2"/>
    </row>
    <row r="2207" spans="1:4">
      <c r="A2207" s="3">
        <v>114</v>
      </c>
      <c r="B2207" s="3" t="s">
        <v>461</v>
      </c>
      <c r="C2207" s="3" t="s">
        <v>3264</v>
      </c>
      <c r="D2207" s="3"/>
    </row>
    <row r="2208" spans="1:4">
      <c r="A2208" s="2">
        <v>114</v>
      </c>
      <c r="B2208" s="2" t="s">
        <v>461</v>
      </c>
      <c r="C2208" s="2" t="s">
        <v>3265</v>
      </c>
      <c r="D2208" s="2"/>
    </row>
    <row r="2209" spans="1:4">
      <c r="A2209" s="3">
        <v>114</v>
      </c>
      <c r="B2209" s="3" t="s">
        <v>461</v>
      </c>
      <c r="C2209" s="3" t="s">
        <v>3266</v>
      </c>
      <c r="D2209" s="3"/>
    </row>
    <row r="2210" spans="1:4">
      <c r="A2210" s="2">
        <v>114</v>
      </c>
      <c r="B2210" s="2" t="s">
        <v>461</v>
      </c>
      <c r="C2210" s="2" t="s">
        <v>3267</v>
      </c>
      <c r="D2210" s="2"/>
    </row>
    <row r="2211" spans="1:4">
      <c r="A2211" s="3">
        <v>114</v>
      </c>
      <c r="B2211" s="3" t="s">
        <v>461</v>
      </c>
      <c r="C2211" s="3" t="s">
        <v>3268</v>
      </c>
      <c r="D2211" s="3"/>
    </row>
    <row r="2212" spans="1:4">
      <c r="A2212" s="2">
        <v>114</v>
      </c>
      <c r="B2212" s="2" t="s">
        <v>461</v>
      </c>
      <c r="C2212" s="2" t="s">
        <v>3269</v>
      </c>
      <c r="D2212" s="2"/>
    </row>
    <row r="2213" spans="1:4">
      <c r="A2213" s="3">
        <v>114</v>
      </c>
      <c r="B2213" s="3" t="s">
        <v>461</v>
      </c>
      <c r="C2213" s="3" t="s">
        <v>3270</v>
      </c>
      <c r="D2213" s="3"/>
    </row>
    <row r="2214" spans="1:4">
      <c r="A2214" s="2">
        <v>114</v>
      </c>
      <c r="B2214" s="2" t="s">
        <v>461</v>
      </c>
      <c r="C2214" s="2" t="s">
        <v>3271</v>
      </c>
      <c r="D2214" s="2"/>
    </row>
    <row r="2215" spans="1:4">
      <c r="A2215" s="3">
        <v>114</v>
      </c>
      <c r="B2215" s="3" t="s">
        <v>461</v>
      </c>
      <c r="C2215" s="3" t="s">
        <v>3272</v>
      </c>
      <c r="D2215" s="3"/>
    </row>
    <row r="2216" spans="1:4">
      <c r="A2216" s="2">
        <v>114</v>
      </c>
      <c r="B2216" s="2" t="s">
        <v>461</v>
      </c>
      <c r="C2216" s="2" t="s">
        <v>3273</v>
      </c>
      <c r="D2216" s="2"/>
    </row>
    <row r="2217" spans="1:4">
      <c r="A2217" s="3">
        <v>114</v>
      </c>
      <c r="B2217" s="3" t="s">
        <v>461</v>
      </c>
      <c r="C2217" s="3" t="s">
        <v>3274</v>
      </c>
      <c r="D2217" s="3"/>
    </row>
    <row r="2218" spans="1:4">
      <c r="A2218" s="2">
        <v>114</v>
      </c>
      <c r="B2218" s="2" t="s">
        <v>461</v>
      </c>
      <c r="C2218" s="2" t="s">
        <v>3275</v>
      </c>
      <c r="D2218" s="2"/>
    </row>
    <row r="2219" spans="1:4">
      <c r="A2219" s="3">
        <v>114</v>
      </c>
      <c r="B2219" s="3" t="s">
        <v>461</v>
      </c>
      <c r="C2219" s="3" t="s">
        <v>3276</v>
      </c>
      <c r="D2219" s="3"/>
    </row>
    <row r="2220" spans="1:4">
      <c r="A2220" s="2">
        <v>114</v>
      </c>
      <c r="B2220" s="2" t="s">
        <v>461</v>
      </c>
      <c r="C2220" s="2" t="s">
        <v>3277</v>
      </c>
      <c r="D2220" s="2"/>
    </row>
    <row r="2221" spans="1:4">
      <c r="A2221" s="3">
        <v>114</v>
      </c>
      <c r="B2221" s="3" t="s">
        <v>461</v>
      </c>
      <c r="C2221" s="3" t="s">
        <v>3278</v>
      </c>
      <c r="D2221" s="3"/>
    </row>
    <row r="2222" spans="1:4">
      <c r="A2222" s="2">
        <v>114</v>
      </c>
      <c r="B2222" s="2" t="s">
        <v>461</v>
      </c>
      <c r="C2222" s="2" t="s">
        <v>3279</v>
      </c>
      <c r="D2222" s="2"/>
    </row>
    <row r="2223" spans="1:4">
      <c r="A2223" s="3">
        <v>114</v>
      </c>
      <c r="B2223" s="3" t="s">
        <v>461</v>
      </c>
      <c r="C2223" s="3" t="s">
        <v>3280</v>
      </c>
      <c r="D2223" s="3"/>
    </row>
    <row r="2224" spans="1:4">
      <c r="A2224" s="2">
        <v>114</v>
      </c>
      <c r="B2224" s="2" t="s">
        <v>461</v>
      </c>
      <c r="C2224" s="2" t="s">
        <v>3281</v>
      </c>
      <c r="D2224" s="2"/>
    </row>
    <row r="2225" spans="1:4">
      <c r="A2225" s="3">
        <v>114</v>
      </c>
      <c r="B2225" s="3" t="s">
        <v>461</v>
      </c>
      <c r="C2225" s="3" t="s">
        <v>3282</v>
      </c>
      <c r="D2225" s="3"/>
    </row>
    <row r="2226" spans="1:4">
      <c r="A2226" s="2">
        <v>114</v>
      </c>
      <c r="B2226" s="2" t="s">
        <v>461</v>
      </c>
      <c r="C2226" s="2" t="s">
        <v>3283</v>
      </c>
      <c r="D2226" s="2"/>
    </row>
    <row r="2227" spans="1:4">
      <c r="A2227" s="3">
        <v>114</v>
      </c>
      <c r="B2227" s="3" t="s">
        <v>461</v>
      </c>
      <c r="C2227" s="3" t="s">
        <v>3284</v>
      </c>
      <c r="D2227" s="3"/>
    </row>
    <row r="2228" spans="1:4">
      <c r="A2228" s="2">
        <v>114</v>
      </c>
      <c r="B2228" s="2" t="s">
        <v>461</v>
      </c>
      <c r="C2228" s="2" t="s">
        <v>3285</v>
      </c>
      <c r="D2228" s="2"/>
    </row>
    <row r="2229" spans="1:4">
      <c r="A2229" s="3">
        <v>114</v>
      </c>
      <c r="B2229" s="3" t="s">
        <v>461</v>
      </c>
      <c r="C2229" s="3" t="s">
        <v>3286</v>
      </c>
      <c r="D2229" s="3"/>
    </row>
    <row r="2230" spans="1:4">
      <c r="A2230" s="2">
        <v>115</v>
      </c>
      <c r="B2230" s="2" t="s">
        <v>476</v>
      </c>
      <c r="C2230" s="2" t="s">
        <v>3287</v>
      </c>
      <c r="D2230" s="2"/>
    </row>
    <row r="2231" spans="1:4">
      <c r="A2231" s="3">
        <v>115</v>
      </c>
      <c r="B2231" s="3" t="s">
        <v>476</v>
      </c>
      <c r="C2231" s="3" t="s">
        <v>3288</v>
      </c>
      <c r="D2231" s="3"/>
    </row>
    <row r="2232" spans="1:4">
      <c r="A2232" s="2">
        <v>115</v>
      </c>
      <c r="B2232" s="2" t="s">
        <v>476</v>
      </c>
      <c r="C2232" s="2" t="s">
        <v>3289</v>
      </c>
      <c r="D2232" s="2"/>
    </row>
    <row r="2233" spans="1:4">
      <c r="A2233" s="3">
        <v>115</v>
      </c>
      <c r="B2233" s="3" t="s">
        <v>476</v>
      </c>
      <c r="C2233" s="3" t="s">
        <v>3290</v>
      </c>
      <c r="D2233" s="3"/>
    </row>
    <row r="2234" spans="1:4">
      <c r="A2234" s="2">
        <v>116</v>
      </c>
      <c r="B2234" s="2" t="s">
        <v>584</v>
      </c>
      <c r="C2234" s="2" t="s">
        <v>3291</v>
      </c>
      <c r="D2234" s="2"/>
    </row>
    <row r="2235" spans="1:4">
      <c r="A2235" s="3">
        <v>116</v>
      </c>
      <c r="B2235" s="3" t="s">
        <v>584</v>
      </c>
      <c r="C2235" s="3" t="s">
        <v>3292</v>
      </c>
      <c r="D2235" s="3"/>
    </row>
    <row r="2236" spans="1:4">
      <c r="A2236" s="2">
        <v>116</v>
      </c>
      <c r="B2236" s="2" t="s">
        <v>584</v>
      </c>
      <c r="C2236" s="2" t="s">
        <v>3293</v>
      </c>
      <c r="D2236" s="2"/>
    </row>
    <row r="2237" spans="1:4">
      <c r="A2237" s="3">
        <v>116</v>
      </c>
      <c r="B2237" s="3" t="s">
        <v>584</v>
      </c>
      <c r="C2237" s="3" t="s">
        <v>3294</v>
      </c>
      <c r="D2237" s="3"/>
    </row>
    <row r="2238" spans="1:4">
      <c r="A2238" s="2">
        <v>116</v>
      </c>
      <c r="B2238" s="2" t="s">
        <v>584</v>
      </c>
      <c r="C2238" s="2" t="s">
        <v>3295</v>
      </c>
      <c r="D2238" s="2"/>
    </row>
    <row r="2239" spans="1:4">
      <c r="A2239" s="3">
        <v>116</v>
      </c>
      <c r="B2239" s="3" t="s">
        <v>584</v>
      </c>
      <c r="C2239" s="3" t="s">
        <v>3296</v>
      </c>
      <c r="D2239" s="3"/>
    </row>
    <row r="2240" spans="1:4">
      <c r="A2240" s="2">
        <v>116</v>
      </c>
      <c r="B2240" s="2" t="s">
        <v>584</v>
      </c>
      <c r="C2240" s="2" t="s">
        <v>3297</v>
      </c>
      <c r="D2240" s="2"/>
    </row>
    <row r="2241" spans="1:4">
      <c r="A2241" s="3">
        <v>116</v>
      </c>
      <c r="B2241" s="3" t="s">
        <v>584</v>
      </c>
      <c r="C2241" s="3" t="s">
        <v>3298</v>
      </c>
      <c r="D2241" s="3"/>
    </row>
    <row r="2242" spans="1:4">
      <c r="A2242" s="2">
        <v>116</v>
      </c>
      <c r="B2242" s="2" t="s">
        <v>584</v>
      </c>
      <c r="C2242" s="2" t="s">
        <v>3299</v>
      </c>
      <c r="D2242" s="2"/>
    </row>
    <row r="2243" spans="1:4">
      <c r="A2243" s="3">
        <v>116</v>
      </c>
      <c r="B2243" s="3" t="s">
        <v>584</v>
      </c>
      <c r="C2243" s="3" t="s">
        <v>3300</v>
      </c>
      <c r="D2243" s="3"/>
    </row>
    <row r="2244" spans="1:4">
      <c r="A2244" s="2">
        <v>116</v>
      </c>
      <c r="B2244" s="2" t="s">
        <v>584</v>
      </c>
      <c r="C2244" s="2" t="s">
        <v>3301</v>
      </c>
      <c r="D2244" s="2"/>
    </row>
    <row r="2245" spans="1:4">
      <c r="A2245" s="3">
        <v>116</v>
      </c>
      <c r="B2245" s="3" t="s">
        <v>584</v>
      </c>
      <c r="C2245" s="3" t="s">
        <v>3302</v>
      </c>
      <c r="D2245" s="3"/>
    </row>
    <row r="2246" spans="1:4">
      <c r="A2246" s="2">
        <v>116</v>
      </c>
      <c r="B2246" s="2" t="s">
        <v>584</v>
      </c>
      <c r="C2246" s="2" t="s">
        <v>3303</v>
      </c>
      <c r="D2246" s="2"/>
    </row>
    <row r="2247" spans="1:4">
      <c r="A2247" s="3">
        <v>116</v>
      </c>
      <c r="B2247" s="3" t="s">
        <v>584</v>
      </c>
      <c r="C2247" s="3" t="s">
        <v>3304</v>
      </c>
      <c r="D2247" s="3"/>
    </row>
    <row r="2248" spans="1:4">
      <c r="A2248" s="2">
        <v>116</v>
      </c>
      <c r="B2248" s="2" t="s">
        <v>584</v>
      </c>
      <c r="C2248" s="2" t="s">
        <v>3305</v>
      </c>
      <c r="D2248" s="2"/>
    </row>
    <row r="2249" spans="1:4">
      <c r="A2249" s="3">
        <v>116</v>
      </c>
      <c r="B2249" s="3" t="s">
        <v>584</v>
      </c>
      <c r="C2249" s="3" t="s">
        <v>3306</v>
      </c>
      <c r="D2249" s="3"/>
    </row>
    <row r="2250" spans="1:4">
      <c r="A2250" s="2">
        <v>116</v>
      </c>
      <c r="B2250" s="2" t="s">
        <v>584</v>
      </c>
      <c r="C2250" s="2" t="s">
        <v>3307</v>
      </c>
      <c r="D2250" s="2"/>
    </row>
    <row r="2251" spans="1:4">
      <c r="A2251" s="3">
        <v>117</v>
      </c>
      <c r="B2251" s="3" t="s">
        <v>528</v>
      </c>
      <c r="C2251" s="3" t="s">
        <v>3308</v>
      </c>
      <c r="D2251" s="3"/>
    </row>
    <row r="2252" spans="1:4">
      <c r="A2252" s="2">
        <v>117</v>
      </c>
      <c r="B2252" s="2" t="s">
        <v>528</v>
      </c>
      <c r="C2252" s="2" t="s">
        <v>3309</v>
      </c>
      <c r="D2252" s="2"/>
    </row>
    <row r="2253" spans="1:4">
      <c r="A2253" s="3">
        <v>117</v>
      </c>
      <c r="B2253" s="3" t="s">
        <v>528</v>
      </c>
      <c r="C2253" s="3" t="s">
        <v>3310</v>
      </c>
      <c r="D2253" s="3"/>
    </row>
    <row r="2254" spans="1:4">
      <c r="A2254" s="2">
        <v>117</v>
      </c>
      <c r="B2254" s="2" t="s">
        <v>528</v>
      </c>
      <c r="C2254" s="2" t="s">
        <v>3311</v>
      </c>
      <c r="D2254" s="2"/>
    </row>
    <row r="2255" spans="1:4">
      <c r="A2255" s="3">
        <v>117</v>
      </c>
      <c r="B2255" s="3" t="s">
        <v>528</v>
      </c>
      <c r="C2255" s="3" t="s">
        <v>3312</v>
      </c>
      <c r="D2255" s="3"/>
    </row>
    <row r="2256" spans="1:4">
      <c r="A2256" s="2">
        <v>117</v>
      </c>
      <c r="B2256" s="2" t="s">
        <v>528</v>
      </c>
      <c r="C2256" s="2" t="s">
        <v>3313</v>
      </c>
      <c r="D2256" s="2"/>
    </row>
    <row r="2257" spans="1:4">
      <c r="A2257" s="3">
        <v>117</v>
      </c>
      <c r="B2257" s="3" t="s">
        <v>528</v>
      </c>
      <c r="C2257" s="3" t="s">
        <v>3314</v>
      </c>
      <c r="D2257" s="3"/>
    </row>
    <row r="2258" spans="1:4">
      <c r="A2258" s="2">
        <v>117</v>
      </c>
      <c r="B2258" s="2" t="s">
        <v>528</v>
      </c>
      <c r="C2258" s="2" t="s">
        <v>3315</v>
      </c>
      <c r="D2258" s="2"/>
    </row>
    <row r="2259" spans="1:4">
      <c r="A2259" s="3">
        <v>117</v>
      </c>
      <c r="B2259" s="3" t="s">
        <v>528</v>
      </c>
      <c r="C2259" s="3" t="s">
        <v>3316</v>
      </c>
      <c r="D2259" s="3"/>
    </row>
    <row r="2260" spans="1:4">
      <c r="A2260" s="2">
        <v>117</v>
      </c>
      <c r="B2260" s="2" t="s">
        <v>528</v>
      </c>
      <c r="C2260" s="2" t="s">
        <v>3317</v>
      </c>
      <c r="D2260" s="2"/>
    </row>
    <row r="2261" spans="1:4">
      <c r="A2261" s="3">
        <v>117</v>
      </c>
      <c r="B2261" s="3" t="s">
        <v>528</v>
      </c>
      <c r="C2261" s="3" t="s">
        <v>3318</v>
      </c>
      <c r="D2261" s="3"/>
    </row>
    <row r="2262" spans="1:4">
      <c r="A2262" s="2">
        <v>117</v>
      </c>
      <c r="B2262" s="2" t="s">
        <v>528</v>
      </c>
      <c r="C2262" s="2" t="s">
        <v>3319</v>
      </c>
      <c r="D2262" s="2"/>
    </row>
    <row r="2263" spans="1:4">
      <c r="A2263" s="3">
        <v>117</v>
      </c>
      <c r="B2263" s="3" t="s">
        <v>528</v>
      </c>
      <c r="C2263" s="3" t="s">
        <v>3320</v>
      </c>
      <c r="D2263" s="3"/>
    </row>
    <row r="2264" spans="1:4">
      <c r="A2264" s="2">
        <v>117</v>
      </c>
      <c r="B2264" s="2" t="s">
        <v>528</v>
      </c>
      <c r="C2264" s="2" t="s">
        <v>3321</v>
      </c>
      <c r="D2264" s="2"/>
    </row>
    <row r="2265" spans="1:4">
      <c r="A2265" s="3">
        <v>119</v>
      </c>
      <c r="B2265" s="3" t="s">
        <v>367</v>
      </c>
      <c r="C2265" s="3" t="s">
        <v>3322</v>
      </c>
      <c r="D2265" s="3"/>
    </row>
    <row r="2266" spans="1:4">
      <c r="A2266" s="2">
        <v>119</v>
      </c>
      <c r="B2266" s="2" t="s">
        <v>367</v>
      </c>
      <c r="C2266" s="2" t="s">
        <v>3323</v>
      </c>
      <c r="D2266" s="2"/>
    </row>
    <row r="2267" spans="1:4">
      <c r="A2267" s="3">
        <v>119</v>
      </c>
      <c r="B2267" s="3" t="s">
        <v>367</v>
      </c>
      <c r="C2267" s="3" t="s">
        <v>3324</v>
      </c>
      <c r="D2267" s="3"/>
    </row>
    <row r="2268" spans="1:4">
      <c r="A2268" s="2">
        <v>119</v>
      </c>
      <c r="B2268" s="2" t="s">
        <v>367</v>
      </c>
      <c r="C2268" s="2" t="s">
        <v>3325</v>
      </c>
      <c r="D2268" s="2"/>
    </row>
    <row r="2269" spans="1:4">
      <c r="A2269" s="3">
        <v>119</v>
      </c>
      <c r="B2269" s="3" t="s">
        <v>367</v>
      </c>
      <c r="C2269" s="3" t="s">
        <v>3326</v>
      </c>
      <c r="D2269" s="3"/>
    </row>
    <row r="2270" spans="1:4">
      <c r="A2270" s="2">
        <v>119</v>
      </c>
      <c r="B2270" s="2" t="s">
        <v>367</v>
      </c>
      <c r="C2270" s="2" t="s">
        <v>3327</v>
      </c>
      <c r="D2270" s="2"/>
    </row>
    <row r="2271" spans="1:4">
      <c r="A2271" s="3">
        <v>119</v>
      </c>
      <c r="B2271" s="3" t="s">
        <v>367</v>
      </c>
      <c r="C2271" s="3" t="s">
        <v>3328</v>
      </c>
      <c r="D2271" s="3"/>
    </row>
    <row r="2272" spans="1:4">
      <c r="A2272" s="2">
        <v>119</v>
      </c>
      <c r="B2272" s="2" t="s">
        <v>367</v>
      </c>
      <c r="C2272" s="2" t="s">
        <v>3329</v>
      </c>
      <c r="D2272" s="2"/>
    </row>
    <row r="2273" spans="1:4">
      <c r="A2273" s="3">
        <v>119</v>
      </c>
      <c r="B2273" s="3" t="s">
        <v>367</v>
      </c>
      <c r="C2273" s="3" t="s">
        <v>3330</v>
      </c>
      <c r="D2273" s="3"/>
    </row>
    <row r="2274" spans="1:4">
      <c r="A2274" s="2">
        <v>119</v>
      </c>
      <c r="B2274" s="2" t="s">
        <v>367</v>
      </c>
      <c r="C2274" s="2" t="s">
        <v>3331</v>
      </c>
      <c r="D2274" s="2"/>
    </row>
    <row r="2275" spans="1:4">
      <c r="A2275" s="3">
        <v>119</v>
      </c>
      <c r="B2275" s="3" t="s">
        <v>367</v>
      </c>
      <c r="C2275" s="3" t="s">
        <v>3332</v>
      </c>
      <c r="D2275" s="3"/>
    </row>
    <row r="2276" spans="1:4">
      <c r="A2276" s="2">
        <v>119</v>
      </c>
      <c r="B2276" s="2" t="s">
        <v>367</v>
      </c>
      <c r="C2276" s="2" t="s">
        <v>3333</v>
      </c>
      <c r="D2276" s="2"/>
    </row>
    <row r="2277" spans="1:4">
      <c r="A2277" s="3">
        <v>119</v>
      </c>
      <c r="B2277" s="3" t="s">
        <v>367</v>
      </c>
      <c r="C2277" s="3" t="s">
        <v>3334</v>
      </c>
      <c r="D2277" s="3"/>
    </row>
    <row r="2278" spans="1:4">
      <c r="A2278" s="2">
        <v>119</v>
      </c>
      <c r="B2278" s="2" t="s">
        <v>367</v>
      </c>
      <c r="C2278" s="2" t="s">
        <v>3335</v>
      </c>
      <c r="D2278" s="2"/>
    </row>
    <row r="2279" spans="1:4">
      <c r="A2279" s="3">
        <v>119</v>
      </c>
      <c r="B2279" s="3" t="s">
        <v>367</v>
      </c>
      <c r="C2279" s="3" t="s">
        <v>3336</v>
      </c>
      <c r="D2279" s="3"/>
    </row>
    <row r="2280" spans="1:4">
      <c r="A2280" s="2">
        <v>119</v>
      </c>
      <c r="B2280" s="2" t="s">
        <v>367</v>
      </c>
      <c r="C2280" s="2" t="s">
        <v>3337</v>
      </c>
      <c r="D2280" s="2"/>
    </row>
    <row r="2281" spans="1:4">
      <c r="A2281" s="3">
        <v>119</v>
      </c>
      <c r="B2281" s="3" t="s">
        <v>367</v>
      </c>
      <c r="C2281" s="3" t="s">
        <v>3338</v>
      </c>
      <c r="D2281" s="3"/>
    </row>
    <row r="2282" spans="1:4">
      <c r="A2282" s="2">
        <v>119</v>
      </c>
      <c r="B2282" s="2" t="s">
        <v>367</v>
      </c>
      <c r="C2282" s="2" t="s">
        <v>3339</v>
      </c>
      <c r="D2282" s="2"/>
    </row>
    <row r="2283" spans="1:4">
      <c r="A2283" s="3">
        <v>119</v>
      </c>
      <c r="B2283" s="3" t="s">
        <v>367</v>
      </c>
      <c r="C2283" s="3" t="s">
        <v>3340</v>
      </c>
      <c r="D2283" s="3"/>
    </row>
    <row r="2284" spans="1:4">
      <c r="A2284" s="2">
        <v>119</v>
      </c>
      <c r="B2284" s="2" t="s">
        <v>367</v>
      </c>
      <c r="C2284" s="2" t="s">
        <v>3341</v>
      </c>
      <c r="D2284" s="2"/>
    </row>
    <row r="2285" spans="1:4">
      <c r="A2285" s="3">
        <v>119</v>
      </c>
      <c r="B2285" s="3" t="s">
        <v>367</v>
      </c>
      <c r="C2285" s="3" t="s">
        <v>3342</v>
      </c>
      <c r="D2285" s="3"/>
    </row>
    <row r="2286" spans="1:4">
      <c r="A2286" s="2">
        <v>119</v>
      </c>
      <c r="B2286" s="2" t="s">
        <v>367</v>
      </c>
      <c r="C2286" s="2" t="s">
        <v>3343</v>
      </c>
      <c r="D2286" s="2"/>
    </row>
    <row r="2287" spans="1:4">
      <c r="A2287" s="3">
        <v>119</v>
      </c>
      <c r="B2287" s="3" t="s">
        <v>367</v>
      </c>
      <c r="C2287" s="3" t="s">
        <v>3344</v>
      </c>
      <c r="D2287" s="3"/>
    </row>
    <row r="2288" spans="1:4">
      <c r="A2288" s="2">
        <v>119</v>
      </c>
      <c r="B2288" s="2" t="s">
        <v>367</v>
      </c>
      <c r="C2288" s="2" t="s">
        <v>3345</v>
      </c>
      <c r="D2288" s="2"/>
    </row>
    <row r="2289" spans="1:4">
      <c r="A2289" s="3">
        <v>119</v>
      </c>
      <c r="B2289" s="3" t="s">
        <v>367</v>
      </c>
      <c r="C2289" s="3" t="s">
        <v>3346</v>
      </c>
      <c r="D2289" s="3"/>
    </row>
    <row r="2290" spans="1:4">
      <c r="A2290" s="2">
        <v>119</v>
      </c>
      <c r="B2290" s="2" t="s">
        <v>367</v>
      </c>
      <c r="C2290" s="2" t="s">
        <v>3347</v>
      </c>
      <c r="D2290" s="2"/>
    </row>
    <row r="2291" spans="1:4">
      <c r="A2291" s="3">
        <v>121</v>
      </c>
      <c r="B2291" s="3" t="s">
        <v>510</v>
      </c>
      <c r="C2291" s="3" t="s">
        <v>3348</v>
      </c>
      <c r="D2291" s="3"/>
    </row>
    <row r="2292" spans="1:4">
      <c r="A2292" s="2">
        <v>121</v>
      </c>
      <c r="B2292" s="2" t="s">
        <v>510</v>
      </c>
      <c r="C2292" s="2" t="s">
        <v>3349</v>
      </c>
      <c r="D2292" s="2"/>
    </row>
    <row r="2293" spans="1:4">
      <c r="A2293" s="3">
        <v>121</v>
      </c>
      <c r="B2293" s="3" t="s">
        <v>510</v>
      </c>
      <c r="C2293" s="3" t="s">
        <v>3350</v>
      </c>
      <c r="D2293" s="3"/>
    </row>
    <row r="2294" spans="1:4">
      <c r="A2294" s="2">
        <v>121</v>
      </c>
      <c r="B2294" s="2" t="s">
        <v>510</v>
      </c>
      <c r="C2294" s="2" t="s">
        <v>3351</v>
      </c>
      <c r="D2294" s="2"/>
    </row>
    <row r="2295" spans="1:4">
      <c r="A2295" s="3">
        <v>121</v>
      </c>
      <c r="B2295" s="3" t="s">
        <v>510</v>
      </c>
      <c r="C2295" s="3" t="s">
        <v>3352</v>
      </c>
      <c r="D2295" s="3"/>
    </row>
    <row r="2296" spans="1:4">
      <c r="A2296" s="2">
        <v>121</v>
      </c>
      <c r="B2296" s="2" t="s">
        <v>510</v>
      </c>
      <c r="C2296" s="2" t="s">
        <v>3353</v>
      </c>
      <c r="D2296" s="2"/>
    </row>
    <row r="2297" spans="1:4">
      <c r="A2297" s="3">
        <v>121</v>
      </c>
      <c r="B2297" s="3" t="s">
        <v>510</v>
      </c>
      <c r="C2297" s="3" t="s">
        <v>3354</v>
      </c>
      <c r="D2297" s="3"/>
    </row>
    <row r="2298" spans="1:4">
      <c r="A2298" s="2">
        <v>121</v>
      </c>
      <c r="B2298" s="2" t="s">
        <v>510</v>
      </c>
      <c r="C2298" s="2" t="s">
        <v>3355</v>
      </c>
      <c r="D2298" s="2"/>
    </row>
    <row r="2299" spans="1:4">
      <c r="A2299" s="3">
        <v>121</v>
      </c>
      <c r="B2299" s="3" t="s">
        <v>510</v>
      </c>
      <c r="C2299" s="3">
        <f>(γEFF/(1+γEFF))·USH+1</f>
        <v>0</v>
      </c>
      <c r="D2299" s="3"/>
    </row>
    <row r="2300" spans="1:4">
      <c r="A2300" s="2">
        <v>121</v>
      </c>
      <c r="B2300" s="2" t="s">
        <v>510</v>
      </c>
      <c r="C2300" s="2" t="s">
        <v>3356</v>
      </c>
      <c r="D2300" s="2"/>
    </row>
    <row r="2301" spans="1:4">
      <c r="A2301" s="3">
        <v>121</v>
      </c>
      <c r="B2301" s="3" t="s">
        <v>510</v>
      </c>
      <c r="C2301" s="3" t="s">
        <v>3357</v>
      </c>
      <c r="D2301" s="3"/>
    </row>
    <row r="2302" spans="1:4">
      <c r="A2302" s="2">
        <v>121</v>
      </c>
      <c r="B2302" s="2" t="s">
        <v>510</v>
      </c>
      <c r="C2302" s="2" t="s">
        <v>3358</v>
      </c>
      <c r="D2302" s="2"/>
    </row>
    <row r="2303" spans="1:4">
      <c r="A2303" s="3">
        <v>121</v>
      </c>
      <c r="B2303" s="3" t="s">
        <v>510</v>
      </c>
      <c r="C2303" s="3" t="s">
        <v>3359</v>
      </c>
      <c r="D2303" s="3"/>
    </row>
    <row r="2304" spans="1:4">
      <c r="A2304" s="2">
        <v>121</v>
      </c>
      <c r="B2304" s="2" t="s">
        <v>510</v>
      </c>
      <c r="C2304" s="2" t="s">
        <v>3360</v>
      </c>
      <c r="D2304" s="2"/>
    </row>
    <row r="2305" spans="1:4">
      <c r="A2305" s="3">
        <v>121</v>
      </c>
      <c r="B2305" s="3" t="s">
        <v>510</v>
      </c>
      <c r="C2305" s="3" t="s">
        <v>3361</v>
      </c>
      <c r="D2305" s="3"/>
    </row>
    <row r="2306" spans="1:4">
      <c r="A2306" s="2">
        <v>121</v>
      </c>
      <c r="B2306" s="2" t="s">
        <v>510</v>
      </c>
      <c r="C2306" s="2" t="s">
        <v>3362</v>
      </c>
      <c r="D2306" s="2"/>
    </row>
    <row r="2307" spans="1:4">
      <c r="A2307" s="3">
        <v>121</v>
      </c>
      <c r="B2307" s="3" t="s">
        <v>510</v>
      </c>
      <c r="C2307" s="3" t="s">
        <v>3363</v>
      </c>
      <c r="D2307" s="3"/>
    </row>
    <row r="2308" spans="1:4">
      <c r="A2308" s="2">
        <v>121</v>
      </c>
      <c r="B2308" s="2" t="s">
        <v>510</v>
      </c>
      <c r="C2308" s="2" t="s">
        <v>3364</v>
      </c>
      <c r="D2308" s="2"/>
    </row>
    <row r="2309" spans="1:4">
      <c r="A2309" s="3">
        <v>121</v>
      </c>
      <c r="B2309" s="3" t="s">
        <v>510</v>
      </c>
      <c r="C2309" s="3" t="s">
        <v>3365</v>
      </c>
      <c r="D2309" s="3"/>
    </row>
    <row r="2310" spans="1:4">
      <c r="A2310" s="2">
        <v>121</v>
      </c>
      <c r="B2310" s="2" t="s">
        <v>510</v>
      </c>
      <c r="C2310" s="2" t="s">
        <v>3366</v>
      </c>
      <c r="D2310" s="2"/>
    </row>
    <row r="2311" spans="1:4">
      <c r="A2311" s="3">
        <v>121</v>
      </c>
      <c r="B2311" s="3" t="s">
        <v>510</v>
      </c>
      <c r="C2311" s="3" t="s">
        <v>3367</v>
      </c>
      <c r="D2311" s="3"/>
    </row>
    <row r="2312" spans="1:4">
      <c r="A2312" s="2">
        <v>121</v>
      </c>
      <c r="B2312" s="2" t="s">
        <v>510</v>
      </c>
      <c r="C2312" s="2" t="s">
        <v>3368</v>
      </c>
      <c r="D2312" s="2"/>
    </row>
    <row r="2313" spans="1:4">
      <c r="A2313" s="3">
        <v>121</v>
      </c>
      <c r="B2313" s="3" t="s">
        <v>510</v>
      </c>
      <c r="C2313" s="3" t="s">
        <v>3369</v>
      </c>
      <c r="D2313" s="3"/>
    </row>
    <row r="2314" spans="1:4">
      <c r="A2314" s="2">
        <v>121</v>
      </c>
      <c r="B2314" s="2" t="s">
        <v>510</v>
      </c>
      <c r="C2314" s="2" t="s">
        <v>3370</v>
      </c>
      <c r="D2314" s="2"/>
    </row>
    <row r="2315" spans="1:4">
      <c r="A2315" s="3">
        <v>121</v>
      </c>
      <c r="B2315" s="3" t="s">
        <v>510</v>
      </c>
      <c r="C2315" s="3" t="s">
        <v>3371</v>
      </c>
      <c r="D2315" s="3"/>
    </row>
    <row r="2316" spans="1:4">
      <c r="A2316" s="2">
        <v>121</v>
      </c>
      <c r="B2316" s="2" t="s">
        <v>510</v>
      </c>
      <c r="C2316" s="2" t="s">
        <v>3372</v>
      </c>
      <c r="D2316" s="2"/>
    </row>
    <row r="2317" spans="1:4">
      <c r="A2317" s="3">
        <v>121</v>
      </c>
      <c r="B2317" s="3" t="s">
        <v>510</v>
      </c>
      <c r="C2317" s="3" t="s">
        <v>3373</v>
      </c>
      <c r="D2317" s="3"/>
    </row>
    <row r="2318" spans="1:4">
      <c r="A2318" s="2">
        <v>121</v>
      </c>
      <c r="B2318" s="2" t="s">
        <v>510</v>
      </c>
      <c r="C2318" s="2" t="s">
        <v>3374</v>
      </c>
      <c r="D2318" s="2"/>
    </row>
    <row r="2319" spans="1:4">
      <c r="A2319" s="3">
        <v>121</v>
      </c>
      <c r="B2319" s="3" t="s">
        <v>510</v>
      </c>
      <c r="C2319" s="3" t="s">
        <v>3375</v>
      </c>
      <c r="D2319" s="3"/>
    </row>
    <row r="2320" spans="1:4">
      <c r="A2320" s="2">
        <v>122</v>
      </c>
      <c r="B2320" s="2" t="s">
        <v>391</v>
      </c>
      <c r="C2320" s="2" t="s">
        <v>3376</v>
      </c>
      <c r="D2320" s="2"/>
    </row>
    <row r="2321" spans="1:4">
      <c r="A2321" s="3">
        <v>122</v>
      </c>
      <c r="B2321" s="3" t="s">
        <v>391</v>
      </c>
      <c r="C2321" s="3" t="s">
        <v>3377</v>
      </c>
      <c r="D2321" s="3"/>
    </row>
    <row r="2322" spans="1:4">
      <c r="A2322" s="2">
        <v>122</v>
      </c>
      <c r="B2322" s="2" t="s">
        <v>391</v>
      </c>
      <c r="C2322" s="2" t="s">
        <v>3378</v>
      </c>
      <c r="D2322" s="2"/>
    </row>
    <row r="2323" spans="1:4">
      <c r="A2323" s="3">
        <v>122</v>
      </c>
      <c r="B2323" s="3" t="s">
        <v>391</v>
      </c>
      <c r="C2323" s="3" t="s">
        <v>3379</v>
      </c>
      <c r="D2323" s="3"/>
    </row>
    <row r="2324" spans="1:4">
      <c r="A2324" s="2">
        <v>122</v>
      </c>
      <c r="B2324" s="2" t="s">
        <v>391</v>
      </c>
      <c r="C2324" s="2" t="s">
        <v>3380</v>
      </c>
      <c r="D2324" s="2"/>
    </row>
    <row r="2325" spans="1:4">
      <c r="A2325" s="3">
        <v>122</v>
      </c>
      <c r="B2325" s="3" t="s">
        <v>391</v>
      </c>
      <c r="C2325" s="3" t="s">
        <v>3381</v>
      </c>
      <c r="D2325" s="3"/>
    </row>
    <row r="2326" spans="1:4">
      <c r="A2326" s="2">
        <v>122</v>
      </c>
      <c r="B2326" s="2" t="s">
        <v>391</v>
      </c>
      <c r="C2326" s="2" t="s">
        <v>3382</v>
      </c>
      <c r="D2326" s="2"/>
    </row>
    <row r="2327" spans="1:4">
      <c r="A2327" s="3">
        <v>122</v>
      </c>
      <c r="B2327" s="3" t="s">
        <v>391</v>
      </c>
      <c r="C2327" s="3" t="s">
        <v>3383</v>
      </c>
      <c r="D2327" s="3"/>
    </row>
    <row r="2328" spans="1:4">
      <c r="A2328" s="2">
        <v>122</v>
      </c>
      <c r="B2328" s="2" t="s">
        <v>391</v>
      </c>
      <c r="C2328" s="2" t="s">
        <v>3384</v>
      </c>
      <c r="D2328" s="2"/>
    </row>
    <row r="2329" spans="1:4">
      <c r="A2329" s="3">
        <v>122</v>
      </c>
      <c r="B2329" s="3" t="s">
        <v>391</v>
      </c>
      <c r="C2329" s="3" t="s">
        <v>3385</v>
      </c>
      <c r="D2329" s="3"/>
    </row>
    <row r="2330" spans="1:4">
      <c r="A2330" s="2">
        <v>122</v>
      </c>
      <c r="B2330" s="2" t="s">
        <v>391</v>
      </c>
      <c r="C2330" s="2" t="s">
        <v>3386</v>
      </c>
      <c r="D2330" s="2"/>
    </row>
    <row r="2331" spans="1:4">
      <c r="A2331" s="3">
        <v>122</v>
      </c>
      <c r="B2331" s="3" t="s">
        <v>391</v>
      </c>
      <c r="C2331" s="3" t="s">
        <v>3387</v>
      </c>
      <c r="D2331" s="3"/>
    </row>
    <row r="2332" spans="1:4">
      <c r="A2332" s="2">
        <v>122</v>
      </c>
      <c r="B2332" s="2" t="s">
        <v>391</v>
      </c>
      <c r="C2332" s="2" t="s">
        <v>3388</v>
      </c>
      <c r="D2332" s="2"/>
    </row>
    <row r="2333" spans="1:4">
      <c r="A2333" s="3">
        <v>123</v>
      </c>
      <c r="B2333" s="3" t="s">
        <v>571</v>
      </c>
      <c r="C2333" s="3" t="s">
        <v>3389</v>
      </c>
      <c r="D2333" s="3"/>
    </row>
    <row r="2334" spans="1:4">
      <c r="A2334" s="2">
        <v>123</v>
      </c>
      <c r="B2334" s="2" t="s">
        <v>571</v>
      </c>
      <c r="C2334" s="2" t="s">
        <v>3390</v>
      </c>
      <c r="D2334" s="2"/>
    </row>
    <row r="2335" spans="1:4">
      <c r="A2335" s="3">
        <v>123</v>
      </c>
      <c r="B2335" s="3" t="s">
        <v>571</v>
      </c>
      <c r="C2335" s="3" t="s">
        <v>3391</v>
      </c>
      <c r="D2335" s="3"/>
    </row>
    <row r="2336" spans="1:4">
      <c r="A2336" s="2">
        <v>123</v>
      </c>
      <c r="B2336" s="2" t="s">
        <v>571</v>
      </c>
      <c r="C2336" s="2" t="s">
        <v>3392</v>
      </c>
      <c r="D2336" s="2"/>
    </row>
    <row r="2337" spans="1:4">
      <c r="A2337" s="3">
        <v>123</v>
      </c>
      <c r="B2337" s="3" t="s">
        <v>571</v>
      </c>
      <c r="C2337" s="3" t="s">
        <v>3393</v>
      </c>
      <c r="D2337" s="3"/>
    </row>
    <row r="2338" spans="1:4">
      <c r="A2338" s="2">
        <v>123</v>
      </c>
      <c r="B2338" s="2" t="s">
        <v>571</v>
      </c>
      <c r="C2338" s="2" t="s">
        <v>3394</v>
      </c>
      <c r="D2338" s="2"/>
    </row>
    <row r="2339" spans="1:4">
      <c r="A2339" s="3">
        <v>123</v>
      </c>
      <c r="B2339" s="3" t="s">
        <v>571</v>
      </c>
      <c r="C2339" s="3" t="s">
        <v>3395</v>
      </c>
      <c r="D2339" s="3"/>
    </row>
    <row r="2340" spans="1:4">
      <c r="A2340" s="2">
        <v>123</v>
      </c>
      <c r="B2340" s="2" t="s">
        <v>571</v>
      </c>
      <c r="C2340" s="2" t="s">
        <v>3396</v>
      </c>
      <c r="D2340" s="2"/>
    </row>
    <row r="2341" spans="1:4">
      <c r="A2341" s="3">
        <v>123</v>
      </c>
      <c r="B2341" s="3" t="s">
        <v>571</v>
      </c>
      <c r="C2341" s="3" t="s">
        <v>3397</v>
      </c>
      <c r="D2341" s="3"/>
    </row>
    <row r="2342" spans="1:4">
      <c r="A2342" s="2">
        <v>123</v>
      </c>
      <c r="B2342" s="2" t="s">
        <v>571</v>
      </c>
      <c r="C2342" s="2" t="s">
        <v>3398</v>
      </c>
      <c r="D2342" s="2"/>
    </row>
    <row r="2343" spans="1:4">
      <c r="A2343" s="3">
        <v>123</v>
      </c>
      <c r="B2343" s="3" t="s">
        <v>571</v>
      </c>
      <c r="C2343" s="3" t="s">
        <v>3399</v>
      </c>
      <c r="D2343" s="3"/>
    </row>
    <row r="2344" spans="1:4">
      <c r="A2344" s="2">
        <v>123</v>
      </c>
      <c r="B2344" s="2" t="s">
        <v>571</v>
      </c>
      <c r="C2344" s="2" t="s">
        <v>3400</v>
      </c>
      <c r="D2344" s="2"/>
    </row>
    <row r="2345" spans="1:4">
      <c r="A2345" s="3">
        <v>123</v>
      </c>
      <c r="B2345" s="3" t="s">
        <v>571</v>
      </c>
      <c r="C2345" s="3" t="s">
        <v>3401</v>
      </c>
      <c r="D2345" s="3"/>
    </row>
    <row r="2346" spans="1:4">
      <c r="A2346" s="2">
        <v>123</v>
      </c>
      <c r="B2346" s="2" t="s">
        <v>571</v>
      </c>
      <c r="C2346" s="2" t="s">
        <v>3402</v>
      </c>
      <c r="D2346" s="2"/>
    </row>
    <row r="2347" spans="1:4">
      <c r="A2347" s="3">
        <v>123</v>
      </c>
      <c r="B2347" s="3" t="s">
        <v>571</v>
      </c>
      <c r="C2347" s="3" t="s">
        <v>3403</v>
      </c>
      <c r="D2347" s="3"/>
    </row>
    <row r="2348" spans="1:4">
      <c r="A2348" s="2">
        <v>123</v>
      </c>
      <c r="B2348" s="2" t="s">
        <v>571</v>
      </c>
      <c r="C2348" s="2" t="s">
        <v>3404</v>
      </c>
      <c r="D2348" s="2"/>
    </row>
    <row r="2349" spans="1:4">
      <c r="A2349" s="3">
        <v>123</v>
      </c>
      <c r="B2349" s="3" t="s">
        <v>571</v>
      </c>
      <c r="C2349" s="3" t="s">
        <v>3405</v>
      </c>
      <c r="D2349" s="3"/>
    </row>
    <row r="2350" spans="1:4">
      <c r="A2350" s="2">
        <v>124</v>
      </c>
      <c r="B2350" s="2" t="s">
        <v>524</v>
      </c>
      <c r="C2350" s="2" t="s">
        <v>3406</v>
      </c>
      <c r="D2350" s="2"/>
    </row>
    <row r="2351" spans="1:4">
      <c r="A2351" s="3">
        <v>124</v>
      </c>
      <c r="B2351" s="3" t="s">
        <v>524</v>
      </c>
      <c r="C2351" s="3" t="s">
        <v>3407</v>
      </c>
      <c r="D2351" s="3"/>
    </row>
    <row r="2352" spans="1:4">
      <c r="A2352" s="2">
        <v>125</v>
      </c>
      <c r="B2352" s="2" t="s">
        <v>565</v>
      </c>
      <c r="C2352" s="2" t="s">
        <v>3408</v>
      </c>
      <c r="D2352" s="2"/>
    </row>
    <row r="2353" spans="1:4">
      <c r="A2353" s="3">
        <v>125</v>
      </c>
      <c r="B2353" s="3" t="s">
        <v>565</v>
      </c>
      <c r="C2353" s="3" t="s">
        <v>3409</v>
      </c>
      <c r="D2353" s="3"/>
    </row>
    <row r="2354" spans="1:4">
      <c r="A2354" s="2">
        <v>125</v>
      </c>
      <c r="B2354" s="2" t="s">
        <v>565</v>
      </c>
      <c r="C2354" s="2" t="s">
        <v>3410</v>
      </c>
      <c r="D2354" s="2"/>
    </row>
    <row r="2355" spans="1:4">
      <c r="A2355" s="3">
        <v>126</v>
      </c>
      <c r="B2355" s="3" t="s">
        <v>410</v>
      </c>
      <c r="C2355" s="3" t="s">
        <v>3411</v>
      </c>
      <c r="D2355" s="3"/>
    </row>
    <row r="2356" spans="1:4">
      <c r="A2356" s="2">
        <v>126</v>
      </c>
      <c r="B2356" s="2" t="s">
        <v>410</v>
      </c>
      <c r="C2356" s="2" t="s">
        <v>3412</v>
      </c>
      <c r="D2356" s="2"/>
    </row>
    <row r="2357" spans="1:4">
      <c r="A2357" s="3">
        <v>126</v>
      </c>
      <c r="B2357" s="3" t="s">
        <v>410</v>
      </c>
      <c r="C2357" s="3" t="s">
        <v>3413</v>
      </c>
      <c r="D2357" s="3"/>
    </row>
    <row r="2358" spans="1:4">
      <c r="A2358" s="2">
        <v>126</v>
      </c>
      <c r="B2358" s="2" t="s">
        <v>410</v>
      </c>
      <c r="C2358" s="2">
        <f>2.5×10−5σ[S</f>
        <v>0</v>
      </c>
      <c r="D2358" s="2"/>
    </row>
    <row r="2359" spans="1:4">
      <c r="A2359" s="3">
        <v>126</v>
      </c>
      <c r="B2359" s="3" t="s">
        <v>410</v>
      </c>
      <c r="C2359" s="3" t="s">
        <v>3414</v>
      </c>
      <c r="D2359" s="3"/>
    </row>
    <row r="2360" spans="1:4">
      <c r="A2360" s="2">
        <v>126</v>
      </c>
      <c r="B2360" s="2" t="s">
        <v>410</v>
      </c>
      <c r="C2360" s="2" t="s">
        <v>3415</v>
      </c>
      <c r="D2360" s="2"/>
    </row>
    <row r="2361" spans="1:4">
      <c r="A2361" s="3">
        <v>126</v>
      </c>
      <c r="B2361" s="3" t="s">
        <v>410</v>
      </c>
      <c r="C2361" s="3" t="s">
        <v>3416</v>
      </c>
      <c r="D2361" s="3"/>
    </row>
    <row r="2362" spans="1:4">
      <c r="A2362" s="2">
        <v>126</v>
      </c>
      <c r="B2362" s="2" t="s">
        <v>410</v>
      </c>
      <c r="C2362" s="2" t="s">
        <v>3417</v>
      </c>
      <c r="D2362" s="2"/>
    </row>
    <row r="2363" spans="1:4">
      <c r="A2363" s="3">
        <v>126</v>
      </c>
      <c r="B2363" s="3" t="s">
        <v>410</v>
      </c>
      <c r="C2363" s="3" t="s">
        <v>3418</v>
      </c>
      <c r="D2363" s="3"/>
    </row>
    <row r="2364" spans="1:4">
      <c r="A2364" s="2">
        <v>126</v>
      </c>
      <c r="B2364" s="2" t="s">
        <v>410</v>
      </c>
      <c r="C2364" s="2" t="s">
        <v>3419</v>
      </c>
      <c r="D2364" s="2"/>
    </row>
    <row r="2365" spans="1:4">
      <c r="A2365" s="3">
        <v>126</v>
      </c>
      <c r="B2365" s="3" t="s">
        <v>410</v>
      </c>
      <c r="C2365" s="3" t="s">
        <v>3420</v>
      </c>
      <c r="D2365" s="3"/>
    </row>
    <row r="2366" spans="1:4">
      <c r="A2366" s="2">
        <v>126</v>
      </c>
      <c r="B2366" s="2" t="s">
        <v>410</v>
      </c>
      <c r="C2366" s="2" t="s">
        <v>3421</v>
      </c>
      <c r="D2366" s="2"/>
    </row>
    <row r="2367" spans="1:4">
      <c r="A2367" s="3">
        <v>126</v>
      </c>
      <c r="B2367" s="3" t="s">
        <v>410</v>
      </c>
      <c r="C2367" s="3" t="s">
        <v>3420</v>
      </c>
      <c r="D2367" s="3"/>
    </row>
    <row r="2368" spans="1:4">
      <c r="A2368" s="2">
        <v>126</v>
      </c>
      <c r="B2368" s="2" t="s">
        <v>410</v>
      </c>
      <c r="C2368" s="2" t="s">
        <v>3422</v>
      </c>
      <c r="D2368" s="2"/>
    </row>
    <row r="2369" spans="1:4">
      <c r="A2369" s="3">
        <v>126</v>
      </c>
      <c r="B2369" s="3" t="s">
        <v>410</v>
      </c>
      <c r="C2369" s="3" t="s">
        <v>3423</v>
      </c>
      <c r="D2369" s="3"/>
    </row>
    <row r="2370" spans="1:4">
      <c r="A2370" s="2">
        <v>126</v>
      </c>
      <c r="B2370" s="2" t="s">
        <v>410</v>
      </c>
      <c r="C2370" s="2" t="s">
        <v>3424</v>
      </c>
      <c r="D2370" s="2"/>
    </row>
    <row r="2371" spans="1:4">
      <c r="A2371" s="3">
        <v>126</v>
      </c>
      <c r="B2371" s="3" t="s">
        <v>410</v>
      </c>
      <c r="C2371" s="3" t="s">
        <v>3425</v>
      </c>
      <c r="D2371" s="3"/>
    </row>
    <row r="2372" spans="1:4">
      <c r="A2372" s="2">
        <v>126</v>
      </c>
      <c r="B2372" s="2" t="s">
        <v>410</v>
      </c>
      <c r="C2372" s="2" t="s">
        <v>3426</v>
      </c>
      <c r="D2372" s="2"/>
    </row>
    <row r="2373" spans="1:4">
      <c r="A2373" s="3">
        <v>126</v>
      </c>
      <c r="B2373" s="3" t="s">
        <v>410</v>
      </c>
      <c r="C2373" s="3" t="s">
        <v>3427</v>
      </c>
      <c r="D2373" s="3"/>
    </row>
    <row r="2374" spans="1:4">
      <c r="A2374" s="2">
        <v>126</v>
      </c>
      <c r="B2374" s="2" t="s">
        <v>410</v>
      </c>
      <c r="C2374" s="2" t="s">
        <v>3428</v>
      </c>
      <c r="D2374" s="2"/>
    </row>
    <row r="2375" spans="1:4">
      <c r="A2375" s="3">
        <v>126</v>
      </c>
      <c r="B2375" s="3" t="s">
        <v>410</v>
      </c>
      <c r="C2375" s="3" t="s">
        <v>3429</v>
      </c>
      <c r="D2375" s="3"/>
    </row>
    <row r="2376" spans="1:4">
      <c r="A2376" s="2">
        <v>126</v>
      </c>
      <c r="B2376" s="2" t="s">
        <v>410</v>
      </c>
      <c r="C2376" s="2" t="s">
        <v>3430</v>
      </c>
      <c r="D2376" s="2"/>
    </row>
    <row r="2377" spans="1:4">
      <c r="A2377" s="3">
        <v>126</v>
      </c>
      <c r="B2377" s="3" t="s">
        <v>410</v>
      </c>
      <c r="C2377" s="3" t="s">
        <v>3431</v>
      </c>
      <c r="D2377" s="3"/>
    </row>
    <row r="2378" spans="1:4">
      <c r="A2378" s="2">
        <v>126</v>
      </c>
      <c r="B2378" s="2" t="s">
        <v>410</v>
      </c>
      <c r="C2378" s="2" t="s">
        <v>3432</v>
      </c>
      <c r="D2378" s="2"/>
    </row>
    <row r="2379" spans="1:4">
      <c r="A2379" s="3">
        <v>126</v>
      </c>
      <c r="B2379" s="3" t="s">
        <v>410</v>
      </c>
      <c r="C2379" s="3" t="s">
        <v>3433</v>
      </c>
      <c r="D2379" s="3"/>
    </row>
    <row r="2380" spans="1:4">
      <c r="A2380" s="2">
        <v>126</v>
      </c>
      <c r="B2380" s="2" t="s">
        <v>410</v>
      </c>
      <c r="C2380" s="2" t="s">
        <v>3434</v>
      </c>
      <c r="D2380" s="2"/>
    </row>
    <row r="2381" spans="1:4">
      <c r="A2381" s="3">
        <v>126</v>
      </c>
      <c r="B2381" s="3" t="s">
        <v>410</v>
      </c>
      <c r="C2381" s="3" t="s">
        <v>3435</v>
      </c>
      <c r="D2381" s="3"/>
    </row>
    <row r="2382" spans="1:4">
      <c r="A2382" s="2">
        <v>126</v>
      </c>
      <c r="B2382" s="2" t="s">
        <v>410</v>
      </c>
      <c r="C2382" s="2" t="s">
        <v>3436</v>
      </c>
      <c r="D2382" s="2"/>
    </row>
    <row r="2383" spans="1:4">
      <c r="A2383" s="3">
        <v>126</v>
      </c>
      <c r="B2383" s="3" t="s">
        <v>410</v>
      </c>
      <c r="C2383" s="3" t="s">
        <v>3437</v>
      </c>
      <c r="D2383" s="3"/>
    </row>
    <row r="2384" spans="1:4">
      <c r="A2384" s="2">
        <v>126</v>
      </c>
      <c r="B2384" s="2" t="s">
        <v>410</v>
      </c>
      <c r="C2384" s="2" t="s">
        <v>3438</v>
      </c>
      <c r="D2384" s="2"/>
    </row>
    <row r="2385" spans="1:4">
      <c r="A2385" s="3">
        <v>126</v>
      </c>
      <c r="B2385" s="3" t="s">
        <v>410</v>
      </c>
      <c r="C2385" s="3" t="s">
        <v>3439</v>
      </c>
      <c r="D2385" s="3"/>
    </row>
    <row r="2386" spans="1:4">
      <c r="A2386" s="2">
        <v>128</v>
      </c>
      <c r="B2386" s="2" t="s">
        <v>355</v>
      </c>
      <c r="C2386" s="2" t="s">
        <v>3440</v>
      </c>
      <c r="D2386" s="2"/>
    </row>
    <row r="2387" spans="1:4">
      <c r="A2387" s="3">
        <v>128</v>
      </c>
      <c r="B2387" s="3" t="s">
        <v>355</v>
      </c>
      <c r="C2387" s="3" t="s">
        <v>3441</v>
      </c>
      <c r="D2387" s="3"/>
    </row>
    <row r="2388" spans="1:4">
      <c r="A2388" s="2">
        <v>128</v>
      </c>
      <c r="B2388" s="2" t="s">
        <v>355</v>
      </c>
      <c r="C2388" s="2" t="s">
        <v>3442</v>
      </c>
      <c r="D2388" s="2"/>
    </row>
    <row r="2389" spans="1:4">
      <c r="A2389" s="3">
        <v>128</v>
      </c>
      <c r="B2389" s="3" t="s">
        <v>355</v>
      </c>
      <c r="C2389" s="3" t="s">
        <v>3443</v>
      </c>
      <c r="D2389" s="3"/>
    </row>
    <row r="2390" spans="1:4">
      <c r="A2390" s="2">
        <v>128</v>
      </c>
      <c r="B2390" s="2" t="s">
        <v>355</v>
      </c>
      <c r="C2390" s="2" t="s">
        <v>3444</v>
      </c>
      <c r="D2390" s="2"/>
    </row>
    <row r="2391" spans="1:4">
      <c r="A2391" s="3">
        <v>128</v>
      </c>
      <c r="B2391" s="3" t="s">
        <v>355</v>
      </c>
      <c r="C2391" s="3" t="s">
        <v>3445</v>
      </c>
      <c r="D2391" s="3"/>
    </row>
    <row r="2392" spans="1:4">
      <c r="A2392" s="2">
        <v>128</v>
      </c>
      <c r="B2392" s="2" t="s">
        <v>355</v>
      </c>
      <c r="C2392" s="2" t="s">
        <v>3446</v>
      </c>
      <c r="D2392" s="2"/>
    </row>
    <row r="2393" spans="1:4">
      <c r="A2393" s="3">
        <v>128</v>
      </c>
      <c r="B2393" s="3" t="s">
        <v>355</v>
      </c>
      <c r="C2393" s="3" t="s">
        <v>3447</v>
      </c>
      <c r="D2393" s="3"/>
    </row>
    <row r="2394" spans="1:4">
      <c r="A2394" s="2">
        <v>128</v>
      </c>
      <c r="B2394" s="2" t="s">
        <v>355</v>
      </c>
      <c r="C2394" s="2" t="s">
        <v>3448</v>
      </c>
      <c r="D2394" s="2"/>
    </row>
    <row r="2395" spans="1:4">
      <c r="A2395" s="3">
        <v>128</v>
      </c>
      <c r="B2395" s="3" t="s">
        <v>355</v>
      </c>
      <c r="C2395" s="3" t="s">
        <v>3449</v>
      </c>
      <c r="D2395" s="3"/>
    </row>
    <row r="2396" spans="1:4">
      <c r="A2396" s="2">
        <v>128</v>
      </c>
      <c r="B2396" s="2" t="s">
        <v>355</v>
      </c>
      <c r="C2396" s="2" t="s">
        <v>3450</v>
      </c>
      <c r="D2396" s="2"/>
    </row>
    <row r="2397" spans="1:4">
      <c r="A2397" s="3">
        <v>128</v>
      </c>
      <c r="B2397" s="3" t="s">
        <v>355</v>
      </c>
      <c r="C2397" s="3" t="s">
        <v>3451</v>
      </c>
      <c r="D2397" s="3"/>
    </row>
    <row r="2398" spans="1:4">
      <c r="A2398" s="2">
        <v>128</v>
      </c>
      <c r="B2398" s="2" t="s">
        <v>355</v>
      </c>
      <c r="C2398" s="2" t="s">
        <v>3452</v>
      </c>
      <c r="D2398" s="2"/>
    </row>
    <row r="2399" spans="1:4">
      <c r="A2399" s="3">
        <v>128</v>
      </c>
      <c r="B2399" s="3" t="s">
        <v>355</v>
      </c>
      <c r="C2399" s="3" t="s">
        <v>3453</v>
      </c>
      <c r="D2399" s="3"/>
    </row>
    <row r="2400" spans="1:4">
      <c r="A2400" s="2">
        <v>128</v>
      </c>
      <c r="B2400" s="2" t="s">
        <v>355</v>
      </c>
      <c r="C2400" s="2" t="s">
        <v>3454</v>
      </c>
      <c r="D2400" s="2"/>
    </row>
    <row r="2401" spans="1:4">
      <c r="A2401" s="3">
        <v>128</v>
      </c>
      <c r="B2401" s="3" t="s">
        <v>355</v>
      </c>
      <c r="C2401" s="3" t="s">
        <v>3455</v>
      </c>
      <c r="D2401" s="3"/>
    </row>
    <row r="2402" spans="1:4">
      <c r="A2402" s="2">
        <v>129</v>
      </c>
      <c r="B2402" s="2" t="s">
        <v>499</v>
      </c>
      <c r="C2402" s="2" t="s">
        <v>3456</v>
      </c>
      <c r="D2402" s="2"/>
    </row>
    <row r="2403" spans="1:4">
      <c r="A2403" s="3">
        <v>129</v>
      </c>
      <c r="B2403" s="3" t="s">
        <v>499</v>
      </c>
      <c r="C2403" s="3" t="s">
        <v>3457</v>
      </c>
      <c r="D2403" s="3"/>
    </row>
    <row r="2404" spans="1:4">
      <c r="A2404" s="2">
        <v>129</v>
      </c>
      <c r="B2404" s="2" t="s">
        <v>499</v>
      </c>
      <c r="C2404" s="2" t="s">
        <v>3458</v>
      </c>
      <c r="D2404" s="2"/>
    </row>
    <row r="2405" spans="1:4">
      <c r="A2405" s="3">
        <v>129</v>
      </c>
      <c r="B2405" s="3" t="s">
        <v>499</v>
      </c>
      <c r="C2405" s="3" t="s">
        <v>3459</v>
      </c>
      <c r="D2405" s="3"/>
    </row>
    <row r="2406" spans="1:4">
      <c r="A2406" s="2">
        <v>129</v>
      </c>
      <c r="B2406" s="2" t="s">
        <v>499</v>
      </c>
      <c r="C2406" s="2" t="s">
        <v>3460</v>
      </c>
      <c r="D2406" s="2"/>
    </row>
    <row r="2407" spans="1:4">
      <c r="A2407" s="3">
        <v>129</v>
      </c>
      <c r="B2407" s="3" t="s">
        <v>499</v>
      </c>
      <c r="C2407" s="3" t="s">
        <v>3461</v>
      </c>
      <c r="D2407" s="3"/>
    </row>
    <row r="2408" spans="1:4">
      <c r="A2408" s="2">
        <v>129</v>
      </c>
      <c r="B2408" s="2" t="s">
        <v>499</v>
      </c>
      <c r="C2408" s="2" t="s">
        <v>3462</v>
      </c>
      <c r="D2408" s="2"/>
    </row>
    <row r="2409" spans="1:4">
      <c r="A2409" s="3">
        <v>129</v>
      </c>
      <c r="B2409" s="3" t="s">
        <v>499</v>
      </c>
      <c r="C2409" s="3" t="s">
        <v>3463</v>
      </c>
      <c r="D2409" s="3"/>
    </row>
    <row r="2410" spans="1:4">
      <c r="A2410" s="2">
        <v>129</v>
      </c>
      <c r="B2410" s="2" t="s">
        <v>499</v>
      </c>
      <c r="C2410" s="2" t="s">
        <v>3464</v>
      </c>
      <c r="D2410" s="2"/>
    </row>
    <row r="2411" spans="1:4">
      <c r="A2411" s="3">
        <v>129</v>
      </c>
      <c r="B2411" s="3" t="s">
        <v>499</v>
      </c>
      <c r="C2411" s="3" t="s">
        <v>3465</v>
      </c>
      <c r="D2411" s="3"/>
    </row>
    <row r="2412" spans="1:4">
      <c r="A2412" s="2">
        <v>129</v>
      </c>
      <c r="B2412" s="2" t="s">
        <v>499</v>
      </c>
      <c r="C2412" s="2" t="s">
        <v>3466</v>
      </c>
      <c r="D2412" s="2"/>
    </row>
    <row r="2413" spans="1:4">
      <c r="A2413" s="3">
        <v>129</v>
      </c>
      <c r="B2413" s="3" t="s">
        <v>499</v>
      </c>
      <c r="C2413" s="3" t="s">
        <v>3467</v>
      </c>
      <c r="D2413" s="3"/>
    </row>
    <row r="2414" spans="1:4">
      <c r="A2414" s="2">
        <v>129</v>
      </c>
      <c r="B2414" s="2" t="s">
        <v>499</v>
      </c>
      <c r="C2414" s="2" t="s">
        <v>3468</v>
      </c>
      <c r="D2414" s="2"/>
    </row>
    <row r="2415" spans="1:4">
      <c r="A2415" s="3">
        <v>129</v>
      </c>
      <c r="B2415" s="3" t="s">
        <v>499</v>
      </c>
      <c r="C2415" s="3" t="s">
        <v>3469</v>
      </c>
      <c r="D2415" s="3"/>
    </row>
    <row r="2416" spans="1:4">
      <c r="A2416" s="2">
        <v>129</v>
      </c>
      <c r="B2416" s="2" t="s">
        <v>499</v>
      </c>
      <c r="C2416" s="2" t="s">
        <v>3470</v>
      </c>
      <c r="D2416" s="2"/>
    </row>
    <row r="2417" spans="1:4">
      <c r="A2417" s="3">
        <v>129</v>
      </c>
      <c r="B2417" s="3" t="s">
        <v>499</v>
      </c>
      <c r="C2417" s="3" t="s">
        <v>3471</v>
      </c>
      <c r="D2417" s="3"/>
    </row>
    <row r="2418" spans="1:4">
      <c r="A2418" s="2">
        <v>129</v>
      </c>
      <c r="B2418" s="2" t="s">
        <v>499</v>
      </c>
      <c r="C2418" s="2" t="s">
        <v>3472</v>
      </c>
      <c r="D2418" s="2"/>
    </row>
    <row r="2419" spans="1:4">
      <c r="A2419" s="3">
        <v>129</v>
      </c>
      <c r="B2419" s="3" t="s">
        <v>499</v>
      </c>
      <c r="C2419" s="3" t="s">
        <v>3473</v>
      </c>
      <c r="D2419" s="3"/>
    </row>
    <row r="2420" spans="1:4">
      <c r="A2420" s="2">
        <v>129</v>
      </c>
      <c r="B2420" s="2" t="s">
        <v>499</v>
      </c>
      <c r="C2420" s="2" t="s">
        <v>3474</v>
      </c>
      <c r="D2420" s="2"/>
    </row>
    <row r="2421" spans="1:4">
      <c r="A2421" s="3">
        <v>129</v>
      </c>
      <c r="B2421" s="3" t="s">
        <v>499</v>
      </c>
      <c r="C2421" s="3" t="s">
        <v>3475</v>
      </c>
      <c r="D2421" s="3"/>
    </row>
    <row r="2422" spans="1:4">
      <c r="A2422" s="2">
        <v>129</v>
      </c>
      <c r="B2422" s="2" t="s">
        <v>499</v>
      </c>
      <c r="C2422" s="2" t="s">
        <v>3476</v>
      </c>
      <c r="D2422" s="2"/>
    </row>
    <row r="2423" spans="1:4">
      <c r="A2423" s="3">
        <v>129</v>
      </c>
      <c r="B2423" s="3" t="s">
        <v>499</v>
      </c>
      <c r="C2423" s="3" t="s">
        <v>3477</v>
      </c>
      <c r="D2423" s="3"/>
    </row>
    <row r="2424" spans="1:4">
      <c r="A2424" s="2">
        <v>129</v>
      </c>
      <c r="B2424" s="2" t="s">
        <v>499</v>
      </c>
      <c r="C2424" s="2" t="s">
        <v>3478</v>
      </c>
      <c r="D2424" s="2"/>
    </row>
    <row r="2425" spans="1:4">
      <c r="A2425" s="3">
        <v>129</v>
      </c>
      <c r="B2425" s="3" t="s">
        <v>499</v>
      </c>
      <c r="C2425" s="3" t="s">
        <v>3479</v>
      </c>
      <c r="D2425" s="3"/>
    </row>
    <row r="2426" spans="1:4">
      <c r="A2426" s="2">
        <v>129</v>
      </c>
      <c r="B2426" s="2" t="s">
        <v>499</v>
      </c>
      <c r="C2426" s="2" t="s">
        <v>3480</v>
      </c>
      <c r="D2426" s="2"/>
    </row>
    <row r="2427" spans="1:4">
      <c r="A2427" s="3">
        <v>129</v>
      </c>
      <c r="B2427" s="3" t="s">
        <v>499</v>
      </c>
      <c r="C2427" s="3" t="s">
        <v>3481</v>
      </c>
      <c r="D2427" s="3"/>
    </row>
    <row r="2428" spans="1:4">
      <c r="A2428" s="2">
        <v>129</v>
      </c>
      <c r="B2428" s="2" t="s">
        <v>499</v>
      </c>
      <c r="C2428" s="2" t="s">
        <v>3482</v>
      </c>
      <c r="D2428" s="2"/>
    </row>
    <row r="2429" spans="1:4">
      <c r="A2429" s="3">
        <v>129</v>
      </c>
      <c r="B2429" s="3" t="s">
        <v>499</v>
      </c>
      <c r="C2429" s="3" t="s">
        <v>3483</v>
      </c>
      <c r="D2429" s="3"/>
    </row>
    <row r="2430" spans="1:4">
      <c r="A2430" s="2">
        <v>129</v>
      </c>
      <c r="B2430" s="2" t="s">
        <v>499</v>
      </c>
      <c r="C2430" s="2" t="s">
        <v>3484</v>
      </c>
      <c r="D2430" s="2"/>
    </row>
    <row r="2431" spans="1:4">
      <c r="A2431" s="3">
        <v>129</v>
      </c>
      <c r="B2431" s="3" t="s">
        <v>499</v>
      </c>
      <c r="C2431" s="3" t="s">
        <v>3485</v>
      </c>
      <c r="D2431" s="3"/>
    </row>
    <row r="2432" spans="1:4">
      <c r="A2432" s="2">
        <v>129</v>
      </c>
      <c r="B2432" s="2" t="s">
        <v>499</v>
      </c>
      <c r="C2432" s="2" t="s">
        <v>3486</v>
      </c>
      <c r="D2432" s="2"/>
    </row>
    <row r="2433" spans="1:4">
      <c r="A2433" s="3">
        <v>129</v>
      </c>
      <c r="B2433" s="3" t="s">
        <v>499</v>
      </c>
      <c r="C2433" s="3" t="s">
        <v>3487</v>
      </c>
      <c r="D2433" s="3"/>
    </row>
    <row r="2434" spans="1:4">
      <c r="A2434" s="2">
        <v>129</v>
      </c>
      <c r="B2434" s="2" t="s">
        <v>499</v>
      </c>
      <c r="C2434" s="2" t="s">
        <v>3488</v>
      </c>
      <c r="D2434" s="2"/>
    </row>
    <row r="2435" spans="1:4">
      <c r="A2435" s="3">
        <v>129</v>
      </c>
      <c r="B2435" s="3" t="s">
        <v>499</v>
      </c>
      <c r="C2435" s="3" t="s">
        <v>3489</v>
      </c>
      <c r="D2435" s="3"/>
    </row>
    <row r="2436" spans="1:4">
      <c r="A2436" s="2">
        <v>129</v>
      </c>
      <c r="B2436" s="2" t="s">
        <v>499</v>
      </c>
      <c r="C2436" s="2" t="s">
        <v>3490</v>
      </c>
      <c r="D2436" s="2"/>
    </row>
    <row r="2437" spans="1:4">
      <c r="A2437" s="3">
        <v>129</v>
      </c>
      <c r="B2437" s="3" t="s">
        <v>499</v>
      </c>
      <c r="C2437" s="3" t="s">
        <v>3491</v>
      </c>
      <c r="D2437" s="3"/>
    </row>
    <row r="2438" spans="1:4">
      <c r="A2438" s="2">
        <v>129</v>
      </c>
      <c r="B2438" s="2" t="s">
        <v>499</v>
      </c>
      <c r="C2438" s="2" t="s">
        <v>3492</v>
      </c>
      <c r="D2438" s="2"/>
    </row>
    <row r="2439" spans="1:4">
      <c r="A2439" s="3">
        <v>129</v>
      </c>
      <c r="B2439" s="3" t="s">
        <v>499</v>
      </c>
      <c r="C2439" s="3" t="s">
        <v>3493</v>
      </c>
      <c r="D2439" s="3"/>
    </row>
    <row r="2440" spans="1:4">
      <c r="A2440" s="2">
        <v>129</v>
      </c>
      <c r="B2440" s="2" t="s">
        <v>499</v>
      </c>
      <c r="C2440" s="2" t="s">
        <v>3494</v>
      </c>
      <c r="D2440" s="2"/>
    </row>
    <row r="2441" spans="1:4">
      <c r="A2441" s="3">
        <v>129</v>
      </c>
      <c r="B2441" s="3" t="s">
        <v>499</v>
      </c>
      <c r="C2441" s="3" t="s">
        <v>3495</v>
      </c>
      <c r="D2441" s="3"/>
    </row>
    <row r="2442" spans="1:4">
      <c r="A2442" s="2">
        <v>129</v>
      </c>
      <c r="B2442" s="2" t="s">
        <v>499</v>
      </c>
      <c r="C2442" s="2" t="s">
        <v>3496</v>
      </c>
      <c r="D2442" s="2"/>
    </row>
    <row r="2443" spans="1:4">
      <c r="A2443" s="3">
        <v>129</v>
      </c>
      <c r="B2443" s="3" t="s">
        <v>499</v>
      </c>
      <c r="C2443" s="3" t="s">
        <v>3497</v>
      </c>
      <c r="D2443" s="3"/>
    </row>
    <row r="2444" spans="1:4">
      <c r="A2444" s="2">
        <v>129</v>
      </c>
      <c r="B2444" s="2" t="s">
        <v>499</v>
      </c>
      <c r="C2444" s="2" t="s">
        <v>3498</v>
      </c>
      <c r="D2444" s="2"/>
    </row>
    <row r="2445" spans="1:4">
      <c r="A2445" s="3">
        <v>129</v>
      </c>
      <c r="B2445" s="3" t="s">
        <v>499</v>
      </c>
      <c r="C2445" s="3" t="s">
        <v>3499</v>
      </c>
      <c r="D2445" s="3"/>
    </row>
    <row r="2446" spans="1:4">
      <c r="A2446" s="2">
        <v>129</v>
      </c>
      <c r="B2446" s="2" t="s">
        <v>499</v>
      </c>
      <c r="C2446" s="2" t="s">
        <v>3500</v>
      </c>
      <c r="D2446" s="2"/>
    </row>
    <row r="2447" spans="1:4">
      <c r="A2447" s="3">
        <v>129</v>
      </c>
      <c r="B2447" s="3" t="s">
        <v>499</v>
      </c>
      <c r="C2447" s="3" t="s">
        <v>3501</v>
      </c>
      <c r="D2447" s="3"/>
    </row>
    <row r="2448" spans="1:4">
      <c r="A2448" s="2">
        <v>129</v>
      </c>
      <c r="B2448" s="2" t="s">
        <v>499</v>
      </c>
      <c r="C2448" s="2" t="s">
        <v>3502</v>
      </c>
      <c r="D2448" s="2"/>
    </row>
    <row r="2449" spans="1:4">
      <c r="A2449" s="3">
        <v>129</v>
      </c>
      <c r="B2449" s="3" t="s">
        <v>499</v>
      </c>
      <c r="C2449" s="3" t="s">
        <v>3503</v>
      </c>
      <c r="D2449" s="3"/>
    </row>
    <row r="2450" spans="1:4">
      <c r="A2450" s="2">
        <v>129</v>
      </c>
      <c r="B2450" s="2" t="s">
        <v>499</v>
      </c>
      <c r="C2450" s="2" t="s">
        <v>3504</v>
      </c>
      <c r="D2450" s="2"/>
    </row>
    <row r="2451" spans="1:4">
      <c r="A2451" s="3">
        <v>129</v>
      </c>
      <c r="B2451" s="3" t="s">
        <v>499</v>
      </c>
      <c r="C2451" s="3" t="s">
        <v>3505</v>
      </c>
      <c r="D2451" s="3"/>
    </row>
    <row r="2452" spans="1:4">
      <c r="A2452" s="2">
        <v>130</v>
      </c>
      <c r="B2452" s="2" t="s">
        <v>504</v>
      </c>
      <c r="C2452" s="2" t="s">
        <v>3506</v>
      </c>
      <c r="D2452" s="2"/>
    </row>
    <row r="2453" spans="1:4">
      <c r="A2453" s="3">
        <v>130</v>
      </c>
      <c r="B2453" s="3" t="s">
        <v>504</v>
      </c>
      <c r="C2453" s="3" t="s">
        <v>3507</v>
      </c>
      <c r="D2453" s="3"/>
    </row>
    <row r="2454" spans="1:4">
      <c r="A2454" s="2">
        <v>130</v>
      </c>
      <c r="B2454" s="2" t="s">
        <v>504</v>
      </c>
      <c r="C2454" s="2" t="s">
        <v>3508</v>
      </c>
      <c r="D2454" s="2"/>
    </row>
    <row r="2455" spans="1:4">
      <c r="A2455" s="3">
        <v>130</v>
      </c>
      <c r="B2455" s="3" t="s">
        <v>504</v>
      </c>
      <c r="C2455" s="3" t="s">
        <v>3509</v>
      </c>
      <c r="D2455" s="3"/>
    </row>
    <row r="2456" spans="1:4">
      <c r="A2456" s="2">
        <v>130</v>
      </c>
      <c r="B2456" s="2" t="s">
        <v>504</v>
      </c>
      <c r="C2456" s="2" t="s">
        <v>3510</v>
      </c>
      <c r="D2456" s="2"/>
    </row>
    <row r="2457" spans="1:4">
      <c r="A2457" s="3">
        <v>130</v>
      </c>
      <c r="B2457" s="3" t="s">
        <v>504</v>
      </c>
      <c r="C2457" s="3" t="s">
        <v>3511</v>
      </c>
      <c r="D2457" s="3"/>
    </row>
    <row r="2458" spans="1:4">
      <c r="A2458" s="2">
        <v>130</v>
      </c>
      <c r="B2458" s="2" t="s">
        <v>504</v>
      </c>
      <c r="C2458" s="2" t="s">
        <v>3512</v>
      </c>
      <c r="D2458" s="2"/>
    </row>
    <row r="2459" spans="1:4">
      <c r="A2459" s="3">
        <v>130</v>
      </c>
      <c r="B2459" s="3" t="s">
        <v>504</v>
      </c>
      <c r="C2459" s="3" t="s">
        <v>3513</v>
      </c>
      <c r="D2459" s="3"/>
    </row>
    <row r="2460" spans="1:4">
      <c r="A2460" s="2">
        <v>130</v>
      </c>
      <c r="B2460" s="2" t="s">
        <v>504</v>
      </c>
      <c r="C2460" s="2" t="s">
        <v>3514</v>
      </c>
      <c r="D2460" s="2"/>
    </row>
    <row r="2461" spans="1:4">
      <c r="A2461" s="3">
        <v>130</v>
      </c>
      <c r="B2461" s="3" t="s">
        <v>504</v>
      </c>
      <c r="C2461" s="3" t="s">
        <v>3515</v>
      </c>
      <c r="D2461" s="3"/>
    </row>
    <row r="2462" spans="1:4">
      <c r="A2462" s="2">
        <v>130</v>
      </c>
      <c r="B2462" s="2" t="s">
        <v>504</v>
      </c>
      <c r="C2462" s="2" t="s">
        <v>3516</v>
      </c>
      <c r="D2462" s="2"/>
    </row>
    <row r="2463" spans="1:4">
      <c r="A2463" s="3">
        <v>130</v>
      </c>
      <c r="B2463" s="3" t="s">
        <v>504</v>
      </c>
      <c r="C2463" s="3" t="s">
        <v>3517</v>
      </c>
      <c r="D2463" s="3"/>
    </row>
    <row r="2464" spans="1:4">
      <c r="A2464" s="2">
        <v>130</v>
      </c>
      <c r="B2464" s="2" t="s">
        <v>504</v>
      </c>
      <c r="C2464" s="2" t="s">
        <v>3518</v>
      </c>
      <c r="D2464" s="2"/>
    </row>
    <row r="2465" spans="1:4">
      <c r="A2465" s="3">
        <v>131</v>
      </c>
      <c r="B2465" s="3" t="s">
        <v>577</v>
      </c>
      <c r="C2465" s="3" t="s">
        <v>3519</v>
      </c>
      <c r="D2465" s="3"/>
    </row>
    <row r="2466" spans="1:4">
      <c r="A2466" s="2">
        <v>131</v>
      </c>
      <c r="B2466" s="2" t="s">
        <v>577</v>
      </c>
      <c r="C2466" s="2" t="s">
        <v>3520</v>
      </c>
      <c r="D2466" s="2"/>
    </row>
    <row r="2467" spans="1:4">
      <c r="A2467" s="3">
        <v>131</v>
      </c>
      <c r="B2467" s="3" t="s">
        <v>577</v>
      </c>
      <c r="C2467" s="3" t="s">
        <v>3521</v>
      </c>
      <c r="D2467" s="3"/>
    </row>
    <row r="2468" spans="1:4">
      <c r="A2468" s="2">
        <v>131</v>
      </c>
      <c r="B2468" s="2" t="s">
        <v>577</v>
      </c>
      <c r="C2468" s="2" t="s">
        <v>3522</v>
      </c>
      <c r="D2468" s="2"/>
    </row>
    <row r="2469" spans="1:4">
      <c r="A2469" s="3">
        <v>131</v>
      </c>
      <c r="B2469" s="3" t="s">
        <v>577</v>
      </c>
      <c r="C2469" s="3" t="s">
        <v>3523</v>
      </c>
      <c r="D2469" s="3"/>
    </row>
    <row r="2470" spans="1:4">
      <c r="A2470" s="2">
        <v>131</v>
      </c>
      <c r="B2470" s="2" t="s">
        <v>577</v>
      </c>
      <c r="C2470" s="2" t="s">
        <v>3524</v>
      </c>
      <c r="D2470" s="2"/>
    </row>
    <row r="2471" spans="1:4">
      <c r="A2471" s="3">
        <v>131</v>
      </c>
      <c r="B2471" s="3" t="s">
        <v>577</v>
      </c>
      <c r="C2471" s="3">
        <f> 0.57 or El = 170 mV m -i and Et = 131 mV m -1</f>
        <v>0</v>
      </c>
      <c r="D2471" s="3"/>
    </row>
    <row r="2472" spans="1:4">
      <c r="A2472" s="2">
        <v>131</v>
      </c>
      <c r="B2472" s="2" t="s">
        <v>577</v>
      </c>
      <c r="C2472" s="2" t="s">
        <v>3525</v>
      </c>
      <c r="D2472" s="2"/>
    </row>
    <row r="2473" spans="1:4">
      <c r="A2473" s="3">
        <v>131</v>
      </c>
      <c r="B2473" s="3" t="s">
        <v>577</v>
      </c>
      <c r="C2473" s="3" t="s">
        <v>3526</v>
      </c>
      <c r="D2473" s="3"/>
    </row>
    <row r="2474" spans="1:4">
      <c r="A2474" s="2">
        <v>133</v>
      </c>
      <c r="B2474" s="2" t="s">
        <v>212</v>
      </c>
      <c r="C2474" s="2" t="s">
        <v>1804</v>
      </c>
      <c r="D2474" s="2"/>
    </row>
    <row r="2475" spans="1:4">
      <c r="A2475" s="3">
        <v>133</v>
      </c>
      <c r="B2475" s="3" t="s">
        <v>212</v>
      </c>
      <c r="C2475" s="3" t="s">
        <v>1805</v>
      </c>
      <c r="D2475" s="3"/>
    </row>
    <row r="2476" spans="1:4">
      <c r="A2476" s="2">
        <v>133</v>
      </c>
      <c r="B2476" s="2" t="s">
        <v>212</v>
      </c>
      <c r="C2476" s="2" t="s">
        <v>1806</v>
      </c>
      <c r="D2476" s="2"/>
    </row>
    <row r="2477" spans="1:4">
      <c r="A2477" s="3">
        <v>133</v>
      </c>
      <c r="B2477" s="3" t="s">
        <v>212</v>
      </c>
      <c r="C2477" s="3" t="s">
        <v>1807</v>
      </c>
      <c r="D2477" s="3"/>
    </row>
    <row r="2478" spans="1:4">
      <c r="A2478" s="2">
        <v>133</v>
      </c>
      <c r="B2478" s="2" t="s">
        <v>212</v>
      </c>
      <c r="C2478" s="2" t="s">
        <v>1808</v>
      </c>
      <c r="D2478" s="2"/>
    </row>
    <row r="2479" spans="1:4">
      <c r="A2479" s="3">
        <v>133</v>
      </c>
      <c r="B2479" s="3" t="s">
        <v>212</v>
      </c>
      <c r="C2479" s="3" t="s">
        <v>1809</v>
      </c>
      <c r="D2479" s="3"/>
    </row>
    <row r="2480" spans="1:4">
      <c r="A2480" s="2">
        <v>133</v>
      </c>
      <c r="B2480" s="2" t="s">
        <v>212</v>
      </c>
      <c r="C2480" s="2" t="s">
        <v>1810</v>
      </c>
      <c r="D2480" s="2"/>
    </row>
    <row r="2481" spans="1:4">
      <c r="A2481" s="3">
        <v>133</v>
      </c>
      <c r="B2481" s="3" t="s">
        <v>212</v>
      </c>
      <c r="C2481" s="3" t="s">
        <v>1811</v>
      </c>
      <c r="D2481" s="3"/>
    </row>
    <row r="2482" spans="1:4">
      <c r="A2482" s="2">
        <v>133</v>
      </c>
      <c r="B2482" s="2" t="s">
        <v>212</v>
      </c>
      <c r="C2482" s="2" t="s">
        <v>1812</v>
      </c>
      <c r="D2482" s="2"/>
    </row>
    <row r="2483" spans="1:4">
      <c r="A2483" s="3">
        <v>133</v>
      </c>
      <c r="B2483" s="3" t="s">
        <v>212</v>
      </c>
      <c r="C2483" s="3" t="s">
        <v>1813</v>
      </c>
      <c r="D2483" s="3"/>
    </row>
    <row r="2484" spans="1:4">
      <c r="A2484" s="2">
        <v>133</v>
      </c>
      <c r="B2484" s="2" t="s">
        <v>212</v>
      </c>
      <c r="C2484" s="2" t="s">
        <v>1814</v>
      </c>
      <c r="D2484" s="2"/>
    </row>
    <row r="2485" spans="1:4">
      <c r="A2485" s="3">
        <v>133</v>
      </c>
      <c r="B2485" s="3" t="s">
        <v>212</v>
      </c>
      <c r="C2485" s="3">
        <f> JvvBdr = (27)</f>
        <v>0</v>
      </c>
      <c r="D2485" s="3"/>
    </row>
    <row r="2486" spans="1:4">
      <c r="A2486" s="2">
        <v>133</v>
      </c>
      <c r="B2486" s="2" t="s">
        <v>212</v>
      </c>
      <c r="C2486" s="2" t="s">
        <v>1815</v>
      </c>
      <c r="D2486" s="2"/>
    </row>
    <row r="2487" spans="1:4">
      <c r="A2487" s="3">
        <v>133</v>
      </c>
      <c r="B2487" s="3" t="s">
        <v>212</v>
      </c>
      <c r="C2487" s="3" t="s">
        <v>1816</v>
      </c>
      <c r="D2487" s="3"/>
    </row>
    <row r="2488" spans="1:4">
      <c r="A2488" s="2">
        <v>133</v>
      </c>
      <c r="B2488" s="2" t="s">
        <v>212</v>
      </c>
      <c r="C2488" s="2" t="s">
        <v>1817</v>
      </c>
      <c r="D2488" s="2"/>
    </row>
    <row r="2489" spans="1:4">
      <c r="A2489" s="3">
        <v>133</v>
      </c>
      <c r="B2489" s="3" t="s">
        <v>212</v>
      </c>
      <c r="C2489" s="3" t="s">
        <v>1818</v>
      </c>
      <c r="D2489" s="3"/>
    </row>
    <row r="2490" spans="1:4">
      <c r="A2490" s="2">
        <v>133</v>
      </c>
      <c r="B2490" s="2" t="s">
        <v>212</v>
      </c>
      <c r="C2490" s="2" t="s">
        <v>1819</v>
      </c>
      <c r="D2490" s="2"/>
    </row>
    <row r="2491" spans="1:4">
      <c r="A2491" s="3">
        <v>133</v>
      </c>
      <c r="B2491" s="3" t="s">
        <v>212</v>
      </c>
      <c r="C2491" s="3" t="s">
        <v>1820</v>
      </c>
      <c r="D2491" s="3"/>
    </row>
    <row r="2492" spans="1:4">
      <c r="A2492" s="2">
        <v>133</v>
      </c>
      <c r="B2492" s="2" t="s">
        <v>212</v>
      </c>
      <c r="C2492" s="2" t="s">
        <v>1821</v>
      </c>
      <c r="D2492" s="2"/>
    </row>
    <row r="2493" spans="1:4">
      <c r="A2493" s="3">
        <v>133</v>
      </c>
      <c r="B2493" s="3" t="s">
        <v>212</v>
      </c>
      <c r="C2493" s="3" t="s">
        <v>1822</v>
      </c>
      <c r="D2493" s="3"/>
    </row>
    <row r="2494" spans="1:4">
      <c r="A2494" s="2">
        <v>133</v>
      </c>
      <c r="B2494" s="2" t="s">
        <v>212</v>
      </c>
      <c r="C2494" s="2" t="s">
        <v>1823</v>
      </c>
      <c r="D2494" s="2"/>
    </row>
    <row r="2495" spans="1:4">
      <c r="A2495" s="3">
        <v>133</v>
      </c>
      <c r="B2495" s="3" t="s">
        <v>212</v>
      </c>
      <c r="C2495" s="3" t="s">
        <v>1824</v>
      </c>
      <c r="D2495" s="3"/>
    </row>
    <row r="2496" spans="1:4">
      <c r="A2496" s="2">
        <v>133</v>
      </c>
      <c r="B2496" s="2" t="s">
        <v>212</v>
      </c>
      <c r="C2496" s="2" t="s">
        <v>1825</v>
      </c>
      <c r="D2496" s="2"/>
    </row>
    <row r="2497" spans="1:4">
      <c r="A2497" s="3">
        <v>133</v>
      </c>
      <c r="B2497" s="3" t="s">
        <v>212</v>
      </c>
      <c r="C2497" s="3" t="s">
        <v>1826</v>
      </c>
      <c r="D2497" s="3"/>
    </row>
    <row r="2498" spans="1:4">
      <c r="A2498" s="2">
        <v>133</v>
      </c>
      <c r="B2498" s="2" t="s">
        <v>212</v>
      </c>
      <c r="C2498" s="2" t="s">
        <v>1827</v>
      </c>
      <c r="D2498" s="2"/>
    </row>
    <row r="2499" spans="1:4">
      <c r="A2499" s="3">
        <v>133</v>
      </c>
      <c r="B2499" s="3" t="s">
        <v>212</v>
      </c>
      <c r="C2499" s="3" t="s">
        <v>1828</v>
      </c>
      <c r="D2499" s="3"/>
    </row>
    <row r="2500" spans="1:4">
      <c r="A2500" s="2">
        <v>133</v>
      </c>
      <c r="B2500" s="2" t="s">
        <v>212</v>
      </c>
      <c r="C2500" s="2" t="s">
        <v>1829</v>
      </c>
      <c r="D2500" s="2"/>
    </row>
    <row r="2501" spans="1:4">
      <c r="A2501" s="3">
        <v>133</v>
      </c>
      <c r="B2501" s="3" t="s">
        <v>212</v>
      </c>
      <c r="C2501" s="3" t="s">
        <v>1830</v>
      </c>
      <c r="D2501" s="3"/>
    </row>
    <row r="2502" spans="1:4">
      <c r="A2502" s="2">
        <v>133</v>
      </c>
      <c r="B2502" s="2" t="s">
        <v>212</v>
      </c>
      <c r="C2502" s="2" t="s">
        <v>1831</v>
      </c>
      <c r="D2502" s="2"/>
    </row>
    <row r="2503" spans="1:4">
      <c r="A2503" s="3">
        <v>134</v>
      </c>
      <c r="B2503" s="3" t="s">
        <v>591</v>
      </c>
      <c r="C2503" s="3" t="s">
        <v>3527</v>
      </c>
      <c r="D2503" s="3"/>
    </row>
    <row r="2504" spans="1:4">
      <c r="A2504" s="2">
        <v>134</v>
      </c>
      <c r="B2504" s="2" t="s">
        <v>591</v>
      </c>
      <c r="C2504" s="2">
        <f> 144//F and J?b i = 0.985 Q. The inductance is</f>
        <v>0</v>
      </c>
      <c r="D2504" s="2"/>
    </row>
    <row r="2505" spans="1:4">
      <c r="A2505" s="3">
        <v>134</v>
      </c>
      <c r="B2505" s="3" t="s">
        <v>591</v>
      </c>
      <c r="C2505" s="3" t="s">
        <v>3528</v>
      </c>
      <c r="D2505" s="3"/>
    </row>
    <row r="2506" spans="1:4">
      <c r="A2506" s="2">
        <v>134</v>
      </c>
      <c r="B2506" s="2" t="s">
        <v>591</v>
      </c>
      <c r="C2506" s="2" t="s">
        <v>3529</v>
      </c>
      <c r="D2506" s="2"/>
    </row>
    <row r="2507" spans="1:4">
      <c r="A2507" s="3">
        <v>134</v>
      </c>
      <c r="B2507" s="3" t="s">
        <v>591</v>
      </c>
      <c r="C2507" s="3" t="s">
        <v>3530</v>
      </c>
      <c r="D2507" s="3"/>
    </row>
    <row r="2508" spans="1:4">
      <c r="A2508" s="2">
        <v>134</v>
      </c>
      <c r="B2508" s="2" t="s">
        <v>591</v>
      </c>
      <c r="C2508" s="2" t="s">
        <v>3531</v>
      </c>
      <c r="D2508" s="2"/>
    </row>
    <row r="2509" spans="1:4">
      <c r="A2509" s="3">
        <v>134</v>
      </c>
      <c r="B2509" s="3" t="s">
        <v>591</v>
      </c>
      <c r="C2509" s="3" t="s">
        <v>3532</v>
      </c>
      <c r="D2509" s="3"/>
    </row>
    <row r="2510" spans="1:4">
      <c r="A2510" s="2">
        <v>134</v>
      </c>
      <c r="B2510" s="2" t="s">
        <v>591</v>
      </c>
      <c r="C2510" s="2" t="s">
        <v>3533</v>
      </c>
      <c r="D2510" s="2"/>
    </row>
    <row r="2511" spans="1:4">
      <c r="A2511" s="3">
        <v>134</v>
      </c>
      <c r="B2511" s="3" t="s">
        <v>591</v>
      </c>
      <c r="C2511" s="3" t="s">
        <v>3534</v>
      </c>
      <c r="D2511" s="3"/>
    </row>
    <row r="2512" spans="1:4">
      <c r="A2512" s="2">
        <v>134</v>
      </c>
      <c r="B2512" s="2" t="s">
        <v>591</v>
      </c>
      <c r="C2512" s="2" t="s">
        <v>3535</v>
      </c>
      <c r="D2512" s="2"/>
    </row>
    <row r="2513" spans="1:4">
      <c r="A2513" s="3">
        <v>134</v>
      </c>
      <c r="B2513" s="3" t="s">
        <v>591</v>
      </c>
      <c r="C2513" s="3" t="s">
        <v>3536</v>
      </c>
      <c r="D2513" s="3"/>
    </row>
    <row r="2514" spans="1:4">
      <c r="A2514" s="2">
        <v>134</v>
      </c>
      <c r="B2514" s="2" t="s">
        <v>591</v>
      </c>
      <c r="C2514" s="2" t="s">
        <v>3537</v>
      </c>
      <c r="D2514" s="2"/>
    </row>
    <row r="2515" spans="1:4">
      <c r="A2515" s="3">
        <v>134</v>
      </c>
      <c r="B2515" s="3" t="s">
        <v>591</v>
      </c>
      <c r="C2515" s="3" t="s">
        <v>3538</v>
      </c>
      <c r="D2515" s="3"/>
    </row>
    <row r="2516" spans="1:4">
      <c r="A2516" s="2">
        <v>134</v>
      </c>
      <c r="B2516" s="2" t="s">
        <v>591</v>
      </c>
      <c r="C2516" s="2" t="s">
        <v>3539</v>
      </c>
      <c r="D2516" s="2"/>
    </row>
    <row r="2517" spans="1:4">
      <c r="A2517" s="3">
        <v>134</v>
      </c>
      <c r="B2517" s="3" t="s">
        <v>591</v>
      </c>
      <c r="C2517" s="3" t="s">
        <v>3540</v>
      </c>
      <c r="D2517" s="3"/>
    </row>
    <row r="2518" spans="1:4">
      <c r="A2518" s="2">
        <v>134</v>
      </c>
      <c r="B2518" s="2" t="s">
        <v>591</v>
      </c>
      <c r="C2518" s="2" t="s">
        <v>3541</v>
      </c>
      <c r="D2518" s="2"/>
    </row>
    <row r="2519" spans="1:4">
      <c r="A2519" s="3">
        <v>134</v>
      </c>
      <c r="B2519" s="3" t="s">
        <v>591</v>
      </c>
      <c r="C2519" s="3" t="s">
        <v>3542</v>
      </c>
      <c r="D2519" s="3"/>
    </row>
    <row r="2520" spans="1:4">
      <c r="A2520" s="2">
        <v>134</v>
      </c>
      <c r="B2520" s="2" t="s">
        <v>591</v>
      </c>
      <c r="C2520" s="2" t="s">
        <v>3543</v>
      </c>
      <c r="D2520" s="2"/>
    </row>
    <row r="2521" spans="1:4">
      <c r="A2521" s="3">
        <v>135</v>
      </c>
      <c r="B2521" s="3" t="s">
        <v>469</v>
      </c>
      <c r="C2521" s="3" t="s">
        <v>3544</v>
      </c>
      <c r="D2521" s="3"/>
    </row>
    <row r="2522" spans="1:4">
      <c r="A2522" s="2">
        <v>135</v>
      </c>
      <c r="B2522" s="2" t="s">
        <v>469</v>
      </c>
      <c r="C2522" s="2" t="s">
        <v>3545</v>
      </c>
      <c r="D2522" s="2"/>
    </row>
    <row r="2523" spans="1:4">
      <c r="A2523" s="3">
        <v>135</v>
      </c>
      <c r="B2523" s="3" t="s">
        <v>469</v>
      </c>
      <c r="C2523" s="3" t="s">
        <v>3546</v>
      </c>
      <c r="D2523" s="3"/>
    </row>
    <row r="2524" spans="1:4">
      <c r="A2524" s="2">
        <v>135</v>
      </c>
      <c r="B2524" s="2" t="s">
        <v>469</v>
      </c>
      <c r="C2524" s="2" t="s">
        <v>3547</v>
      </c>
      <c r="D2524" s="2"/>
    </row>
    <row r="2525" spans="1:4">
      <c r="A2525" s="3">
        <v>135</v>
      </c>
      <c r="B2525" s="3" t="s">
        <v>469</v>
      </c>
      <c r="C2525" s="3" t="s">
        <v>3548</v>
      </c>
      <c r="D2525" s="3"/>
    </row>
    <row r="2526" spans="1:4">
      <c r="A2526" s="2">
        <v>135</v>
      </c>
      <c r="B2526" s="2" t="s">
        <v>469</v>
      </c>
      <c r="C2526" s="2" t="s">
        <v>3549</v>
      </c>
      <c r="D2526" s="2"/>
    </row>
    <row r="2527" spans="1:4">
      <c r="A2527" s="3">
        <v>135</v>
      </c>
      <c r="B2527" s="3" t="s">
        <v>469</v>
      </c>
      <c r="C2527" s="3" t="s">
        <v>3550</v>
      </c>
      <c r="D2527" s="3"/>
    </row>
    <row r="2528" spans="1:4">
      <c r="A2528" s="2">
        <v>135</v>
      </c>
      <c r="B2528" s="2" t="s">
        <v>469</v>
      </c>
      <c r="C2528" s="2" t="s">
        <v>3551</v>
      </c>
      <c r="D2528" s="2"/>
    </row>
    <row r="2529" spans="1:4">
      <c r="A2529" s="3">
        <v>135</v>
      </c>
      <c r="B2529" s="3" t="s">
        <v>469</v>
      </c>
      <c r="C2529" s="3" t="s">
        <v>3552</v>
      </c>
      <c r="D2529" s="3"/>
    </row>
    <row r="2530" spans="1:4">
      <c r="A2530" s="2">
        <v>135</v>
      </c>
      <c r="B2530" s="2" t="s">
        <v>469</v>
      </c>
      <c r="C2530" s="2" t="s">
        <v>3553</v>
      </c>
      <c r="D2530" s="2"/>
    </row>
    <row r="2531" spans="1:4">
      <c r="A2531" s="3">
        <v>135</v>
      </c>
      <c r="B2531" s="3" t="s">
        <v>469</v>
      </c>
      <c r="C2531" s="3" t="s">
        <v>3554</v>
      </c>
      <c r="D2531" s="3"/>
    </row>
    <row r="2532" spans="1:4">
      <c r="A2532" s="2">
        <v>135</v>
      </c>
      <c r="B2532" s="2" t="s">
        <v>469</v>
      </c>
      <c r="C2532" s="2" t="s">
        <v>3555</v>
      </c>
      <c r="D2532" s="2"/>
    </row>
    <row r="2533" spans="1:4">
      <c r="A2533" s="3">
        <v>135</v>
      </c>
      <c r="B2533" s="3" t="s">
        <v>469</v>
      </c>
      <c r="C2533" s="3" t="s">
        <v>3556</v>
      </c>
      <c r="D2533" s="3"/>
    </row>
    <row r="2534" spans="1:4">
      <c r="A2534" s="2">
        <v>136</v>
      </c>
      <c r="B2534" s="2" t="s">
        <v>413</v>
      </c>
      <c r="C2534" s="2" t="s">
        <v>3557</v>
      </c>
      <c r="D2534" s="2"/>
    </row>
    <row r="2535" spans="1:4">
      <c r="A2535" s="3">
        <v>136</v>
      </c>
      <c r="B2535" s="3" t="s">
        <v>413</v>
      </c>
      <c r="C2535" s="3" t="s">
        <v>3558</v>
      </c>
      <c r="D2535" s="3"/>
    </row>
    <row r="2536" spans="1:4">
      <c r="A2536" s="2">
        <v>136</v>
      </c>
      <c r="B2536" s="2" t="s">
        <v>413</v>
      </c>
      <c r="C2536" s="2" t="s">
        <v>3559</v>
      </c>
      <c r="D2536" s="2"/>
    </row>
    <row r="2537" spans="1:4">
      <c r="A2537" s="3">
        <v>136</v>
      </c>
      <c r="B2537" s="3" t="s">
        <v>413</v>
      </c>
      <c r="C2537" s="3" t="s">
        <v>3560</v>
      </c>
      <c r="D2537" s="3"/>
    </row>
    <row r="2538" spans="1:4">
      <c r="A2538" s="2">
        <v>136</v>
      </c>
      <c r="B2538" s="2" t="s">
        <v>413</v>
      </c>
      <c r="C2538" s="2" t="s">
        <v>3561</v>
      </c>
      <c r="D2538" s="2"/>
    </row>
    <row r="2539" spans="1:4">
      <c r="A2539" s="3">
        <v>136</v>
      </c>
      <c r="B2539" s="3" t="s">
        <v>413</v>
      </c>
      <c r="C2539" s="3" t="s">
        <v>3562</v>
      </c>
      <c r="D2539" s="3"/>
    </row>
    <row r="2540" spans="1:4">
      <c r="A2540" s="2">
        <v>136</v>
      </c>
      <c r="B2540" s="2" t="s">
        <v>413</v>
      </c>
      <c r="C2540" s="2" t="s">
        <v>3563</v>
      </c>
      <c r="D2540" s="2"/>
    </row>
    <row r="2541" spans="1:4">
      <c r="A2541" s="3">
        <v>136</v>
      </c>
      <c r="B2541" s="3" t="s">
        <v>413</v>
      </c>
      <c r="C2541" s="3" t="s">
        <v>3564</v>
      </c>
      <c r="D2541" s="3"/>
    </row>
    <row r="2542" spans="1:4">
      <c r="A2542" s="2">
        <v>136</v>
      </c>
      <c r="B2542" s="2" t="s">
        <v>413</v>
      </c>
      <c r="C2542" s="2" t="s">
        <v>3565</v>
      </c>
      <c r="D2542" s="2"/>
    </row>
    <row r="2543" spans="1:4">
      <c r="A2543" s="3">
        <v>136</v>
      </c>
      <c r="B2543" s="3" t="s">
        <v>413</v>
      </c>
      <c r="C2543" s="3" t="s">
        <v>3566</v>
      </c>
      <c r="D2543" s="3"/>
    </row>
    <row r="2544" spans="1:4">
      <c r="A2544" s="2">
        <v>136</v>
      </c>
      <c r="B2544" s="2" t="s">
        <v>413</v>
      </c>
      <c r="C2544" s="2" t="s">
        <v>3567</v>
      </c>
      <c r="D2544" s="2"/>
    </row>
    <row r="2545" spans="1:4">
      <c r="A2545" s="3">
        <v>136</v>
      </c>
      <c r="B2545" s="3" t="s">
        <v>413</v>
      </c>
      <c r="C2545" s="3">
        <f>Ns(ψ)exp(</f>
        <v>0</v>
      </c>
      <c r="D2545" s="3"/>
    </row>
    <row r="2546" spans="1:4">
      <c r="A2546" s="2">
        <v>136</v>
      </c>
      <c r="B2546" s="2" t="s">
        <v>413</v>
      </c>
      <c r="C2546" s="2" t="s">
        <v>3568</v>
      </c>
      <c r="D2546" s="2"/>
    </row>
    <row r="2547" spans="1:4">
      <c r="A2547" s="3">
        <v>136</v>
      </c>
      <c r="B2547" s="3" t="s">
        <v>413</v>
      </c>
      <c r="C2547" s="3" t="s">
        <v>3569</v>
      </c>
      <c r="D2547" s="3"/>
    </row>
    <row r="2548" spans="1:4">
      <c r="A2548" s="2">
        <v>136</v>
      </c>
      <c r="B2548" s="2" t="s">
        <v>413</v>
      </c>
      <c r="C2548" s="2" t="s">
        <v>3570</v>
      </c>
      <c r="D2548" s="2"/>
    </row>
    <row r="2549" spans="1:4">
      <c r="A2549" s="3">
        <v>136</v>
      </c>
      <c r="B2549" s="3" t="s">
        <v>413</v>
      </c>
      <c r="C2549" s="3" t="s">
        <v>3571</v>
      </c>
      <c r="D2549" s="3"/>
    </row>
    <row r="2550" spans="1:4">
      <c r="A2550" s="2">
        <v>136</v>
      </c>
      <c r="B2550" s="2" t="s">
        <v>413</v>
      </c>
      <c r="C2550" s="2" t="s">
        <v>3572</v>
      </c>
      <c r="D2550" s="2"/>
    </row>
    <row r="2551" spans="1:4">
      <c r="A2551" s="3">
        <v>136</v>
      </c>
      <c r="B2551" s="3" t="s">
        <v>413</v>
      </c>
      <c r="C2551" s="3" t="s">
        <v>3573</v>
      </c>
      <c r="D2551" s="3"/>
    </row>
    <row r="2552" spans="1:4">
      <c r="A2552" s="2">
        <v>136</v>
      </c>
      <c r="B2552" s="2" t="s">
        <v>413</v>
      </c>
      <c r="C2552" s="2" t="s">
        <v>3574</v>
      </c>
      <c r="D2552" s="2"/>
    </row>
    <row r="2553" spans="1:4">
      <c r="A2553" s="3">
        <v>136</v>
      </c>
      <c r="B2553" s="3" t="s">
        <v>413</v>
      </c>
      <c r="C2553" s="3" t="s">
        <v>3575</v>
      </c>
      <c r="D2553" s="3"/>
    </row>
    <row r="2554" spans="1:4">
      <c r="A2554" s="2">
        <v>136</v>
      </c>
      <c r="B2554" s="2" t="s">
        <v>413</v>
      </c>
      <c r="C2554" s="2">
        <f>Ne(ψ)exp(eϕ0</f>
        <v>0</v>
      </c>
      <c r="D2554" s="2"/>
    </row>
    <row r="2555" spans="1:4">
      <c r="A2555" s="3">
        <v>136</v>
      </c>
      <c r="B2555" s="3" t="s">
        <v>413</v>
      </c>
      <c r="C2555" s="3" t="s">
        <v>3576</v>
      </c>
      <c r="D2555" s="3"/>
    </row>
    <row r="2556" spans="1:4">
      <c r="A2556" s="2">
        <v>136</v>
      </c>
      <c r="B2556" s="2" t="s">
        <v>413</v>
      </c>
      <c r="C2556" s="2" t="s">
        <v>3577</v>
      </c>
      <c r="D2556" s="2"/>
    </row>
    <row r="2557" spans="1:4">
      <c r="A2557" s="3">
        <v>136</v>
      </c>
      <c r="B2557" s="3" t="s">
        <v>413</v>
      </c>
      <c r="C2557" s="3" t="s">
        <v>3578</v>
      </c>
      <c r="D2557" s="3"/>
    </row>
    <row r="2558" spans="1:4">
      <c r="A2558" s="2">
        <v>136</v>
      </c>
      <c r="B2558" s="2" t="s">
        <v>413</v>
      </c>
      <c r="C2558" s="2" t="s">
        <v>3579</v>
      </c>
      <c r="D2558" s="2"/>
    </row>
    <row r="2559" spans="1:4">
      <c r="A2559" s="3">
        <v>136</v>
      </c>
      <c r="B2559" s="3" t="s">
        <v>413</v>
      </c>
      <c r="C2559" s="3" t="s">
        <v>3580</v>
      </c>
      <c r="D2559" s="3"/>
    </row>
    <row r="2560" spans="1:4">
      <c r="A2560" s="2">
        <v>136</v>
      </c>
      <c r="B2560" s="2" t="s">
        <v>413</v>
      </c>
      <c r="C2560" s="2" t="s">
        <v>3581</v>
      </c>
      <c r="D2560" s="2"/>
    </row>
    <row r="2561" spans="1:4">
      <c r="A2561" s="3">
        <v>136</v>
      </c>
      <c r="B2561" s="3" t="s">
        <v>413</v>
      </c>
      <c r="C2561" s="3" t="s">
        <v>3582</v>
      </c>
      <c r="D2561" s="3"/>
    </row>
    <row r="2562" spans="1:4">
      <c r="A2562" s="2">
        <v>136</v>
      </c>
      <c r="B2562" s="2" t="s">
        <v>413</v>
      </c>
      <c r="C2562" s="2" t="s">
        <v>3583</v>
      </c>
      <c r="D2562" s="2"/>
    </row>
    <row r="2563" spans="1:4">
      <c r="A2563" s="3">
        <v>136</v>
      </c>
      <c r="B2563" s="3" t="s">
        <v>413</v>
      </c>
      <c r="C2563" s="3" t="s">
        <v>3584</v>
      </c>
      <c r="D2563" s="3"/>
    </row>
    <row r="2564" spans="1:4">
      <c r="A2564" s="2">
        <v>136</v>
      </c>
      <c r="B2564" s="2" t="s">
        <v>413</v>
      </c>
      <c r="C2564" s="2" t="s">
        <v>3585</v>
      </c>
      <c r="D2564" s="2"/>
    </row>
    <row r="2565" spans="1:4">
      <c r="A2565" s="3">
        <v>136</v>
      </c>
      <c r="B2565" s="3" t="s">
        <v>413</v>
      </c>
      <c r="C2565" s="3" t="s">
        <v>3586</v>
      </c>
      <c r="D2565" s="3"/>
    </row>
    <row r="2566" spans="1:4">
      <c r="A2566" s="2">
        <v>136</v>
      </c>
      <c r="B2566" s="2" t="s">
        <v>413</v>
      </c>
      <c r="C2566" s="2" t="s">
        <v>3587</v>
      </c>
      <c r="D2566" s="2"/>
    </row>
    <row r="2567" spans="1:4">
      <c r="A2567" s="3">
        <v>136</v>
      </c>
      <c r="B2567" s="3" t="s">
        <v>413</v>
      </c>
      <c r="C2567" s="3" t="s">
        <v>3588</v>
      </c>
      <c r="D2567" s="3"/>
    </row>
    <row r="2568" spans="1:4">
      <c r="A2568" s="2">
        <v>136</v>
      </c>
      <c r="B2568" s="2" t="s">
        <v>413</v>
      </c>
      <c r="C2568" s="2" t="s">
        <v>3589</v>
      </c>
      <c r="D2568" s="2"/>
    </row>
    <row r="2569" spans="1:4">
      <c r="A2569" s="3">
        <v>136</v>
      </c>
      <c r="B2569" s="3" t="s">
        <v>413</v>
      </c>
      <c r="C2569" s="3" t="s">
        <v>3590</v>
      </c>
      <c r="D2569" s="3"/>
    </row>
    <row r="2570" spans="1:4">
      <c r="A2570" s="2">
        <v>136</v>
      </c>
      <c r="B2570" s="2" t="s">
        <v>413</v>
      </c>
      <c r="C2570" s="2" t="s">
        <v>3591</v>
      </c>
      <c r="D2570" s="2"/>
    </row>
    <row r="2571" spans="1:4">
      <c r="A2571" s="3">
        <v>136</v>
      </c>
      <c r="B2571" s="3" t="s">
        <v>413</v>
      </c>
      <c r="C2571" s="3" t="s">
        <v>3592</v>
      </c>
      <c r="D2571" s="3"/>
    </row>
    <row r="2572" spans="1:4">
      <c r="A2572" s="2">
        <v>136</v>
      </c>
      <c r="B2572" s="2" t="s">
        <v>413</v>
      </c>
      <c r="C2572" s="2" t="s">
        <v>3593</v>
      </c>
      <c r="D2572" s="2"/>
    </row>
    <row r="2573" spans="1:4">
      <c r="A2573" s="3">
        <v>136</v>
      </c>
      <c r="B2573" s="3" t="s">
        <v>413</v>
      </c>
      <c r="C2573" s="3" t="s">
        <v>3594</v>
      </c>
      <c r="D2573" s="3"/>
    </row>
    <row r="2574" spans="1:4">
      <c r="A2574" s="2">
        <v>136</v>
      </c>
      <c r="B2574" s="2" t="s">
        <v>413</v>
      </c>
      <c r="C2574" s="2" t="s">
        <v>3595</v>
      </c>
      <c r="D2574" s="2"/>
    </row>
    <row r="2575" spans="1:4">
      <c r="A2575" s="3">
        <v>136</v>
      </c>
      <c r="B2575" s="3" t="s">
        <v>413</v>
      </c>
      <c r="C2575" s="3" t="s">
        <v>3596</v>
      </c>
      <c r="D2575" s="3"/>
    </row>
    <row r="2576" spans="1:4">
      <c r="A2576" s="2">
        <v>136</v>
      </c>
      <c r="B2576" s="2" t="s">
        <v>413</v>
      </c>
      <c r="C2576" s="2" t="s">
        <v>3597</v>
      </c>
      <c r="D2576" s="2"/>
    </row>
    <row r="2577" spans="1:4">
      <c r="A2577" s="3">
        <v>136</v>
      </c>
      <c r="B2577" s="3" t="s">
        <v>413</v>
      </c>
      <c r="C2577" s="3" t="s">
        <v>3598</v>
      </c>
      <c r="D2577" s="3"/>
    </row>
    <row r="2578" spans="1:4">
      <c r="A2578" s="2">
        <v>136</v>
      </c>
      <c r="B2578" s="2" t="s">
        <v>413</v>
      </c>
      <c r="C2578" s="2" t="s">
        <v>3599</v>
      </c>
      <c r="D2578" s="2"/>
    </row>
    <row r="2579" spans="1:4">
      <c r="A2579" s="3">
        <v>136</v>
      </c>
      <c r="B2579" s="3" t="s">
        <v>413</v>
      </c>
      <c r="C2579" s="3" t="s">
        <v>3600</v>
      </c>
      <c r="D2579" s="3"/>
    </row>
    <row r="2580" spans="1:4">
      <c r="A2580" s="2">
        <v>136</v>
      </c>
      <c r="B2580" s="2" t="s">
        <v>413</v>
      </c>
      <c r="C2580" s="2" t="s">
        <v>3601</v>
      </c>
      <c r="D2580" s="2"/>
    </row>
    <row r="2581" spans="1:4">
      <c r="A2581" s="3">
        <v>136</v>
      </c>
      <c r="B2581" s="3" t="s">
        <v>413</v>
      </c>
      <c r="C2581" s="3" t="s">
        <v>3602</v>
      </c>
      <c r="D2581" s="3"/>
    </row>
    <row r="2582" spans="1:4">
      <c r="A2582" s="2">
        <v>136</v>
      </c>
      <c r="B2582" s="2" t="s">
        <v>413</v>
      </c>
      <c r="C2582" s="2" t="s">
        <v>3603</v>
      </c>
      <c r="D2582" s="2"/>
    </row>
    <row r="2583" spans="1:4">
      <c r="A2583" s="3">
        <v>136</v>
      </c>
      <c r="B2583" s="3" t="s">
        <v>413</v>
      </c>
      <c r="C2583" s="3" t="s">
        <v>3604</v>
      </c>
      <c r="D2583" s="3"/>
    </row>
    <row r="2584" spans="1:4">
      <c r="A2584" s="2">
        <v>137</v>
      </c>
      <c r="B2584" s="2" t="s">
        <v>546</v>
      </c>
      <c r="C2584" s="2" t="s">
        <v>3605</v>
      </c>
      <c r="D2584" s="2"/>
    </row>
    <row r="2585" spans="1:4">
      <c r="A2585" s="3">
        <v>137</v>
      </c>
      <c r="B2585" s="3" t="s">
        <v>546</v>
      </c>
      <c r="C2585" s="3" t="s">
        <v>3606</v>
      </c>
      <c r="D2585" s="3"/>
    </row>
    <row r="2586" spans="1:4">
      <c r="A2586" s="2">
        <v>137</v>
      </c>
      <c r="B2586" s="2" t="s">
        <v>546</v>
      </c>
      <c r="C2586" s="2" t="s">
        <v>3607</v>
      </c>
      <c r="D2586" s="2"/>
    </row>
    <row r="2587" spans="1:4">
      <c r="A2587" s="3">
        <v>137</v>
      </c>
      <c r="B2587" s="3" t="s">
        <v>546</v>
      </c>
      <c r="C2587" s="3" t="s">
        <v>3608</v>
      </c>
      <c r="D2587" s="3"/>
    </row>
    <row r="2588" spans="1:4">
      <c r="A2588" s="2">
        <v>137</v>
      </c>
      <c r="B2588" s="2" t="s">
        <v>546</v>
      </c>
      <c r="C2588" s="2" t="s">
        <v>3609</v>
      </c>
      <c r="D2588" s="2"/>
    </row>
    <row r="2589" spans="1:4">
      <c r="A2589" s="3">
        <v>137</v>
      </c>
      <c r="B2589" s="3" t="s">
        <v>546</v>
      </c>
      <c r="C2589" s="3" t="s">
        <v>3610</v>
      </c>
      <c r="D2589" s="3"/>
    </row>
    <row r="2590" spans="1:4">
      <c r="A2590" s="2">
        <v>137</v>
      </c>
      <c r="B2590" s="2" t="s">
        <v>546</v>
      </c>
      <c r="C2590" s="2" t="s">
        <v>3611</v>
      </c>
      <c r="D2590" s="2"/>
    </row>
    <row r="2591" spans="1:4">
      <c r="A2591" s="3">
        <v>137</v>
      </c>
      <c r="B2591" s="3" t="s">
        <v>546</v>
      </c>
      <c r="C2591" s="3" t="s">
        <v>3612</v>
      </c>
      <c r="D2591" s="3"/>
    </row>
    <row r="2592" spans="1:4">
      <c r="A2592" s="2">
        <v>137</v>
      </c>
      <c r="B2592" s="2" t="s">
        <v>546</v>
      </c>
      <c r="C2592" s="2" t="s">
        <v>3613</v>
      </c>
      <c r="D2592" s="2"/>
    </row>
    <row r="2593" spans="1:4">
      <c r="A2593" s="3">
        <v>137</v>
      </c>
      <c r="B2593" s="3" t="s">
        <v>546</v>
      </c>
      <c r="C2593" s="3" t="s">
        <v>3614</v>
      </c>
      <c r="D2593" s="3"/>
    </row>
    <row r="2594" spans="1:4">
      <c r="A2594" s="2">
        <v>137</v>
      </c>
      <c r="B2594" s="2" t="s">
        <v>546</v>
      </c>
      <c r="C2594" s="2" t="s">
        <v>3615</v>
      </c>
      <c r="D2594" s="2"/>
    </row>
    <row r="2595" spans="1:4">
      <c r="A2595" s="3">
        <v>137</v>
      </c>
      <c r="B2595" s="3" t="s">
        <v>546</v>
      </c>
      <c r="C2595" s="3" t="s">
        <v>3616</v>
      </c>
      <c r="D2595" s="3"/>
    </row>
    <row r="2596" spans="1:4">
      <c r="A2596" s="2">
        <v>137</v>
      </c>
      <c r="B2596" s="2" t="s">
        <v>546</v>
      </c>
      <c r="C2596" s="2" t="s">
        <v>3617</v>
      </c>
      <c r="D2596" s="2"/>
    </row>
    <row r="2597" spans="1:4">
      <c r="A2597" s="3">
        <v>137</v>
      </c>
      <c r="B2597" s="3" t="s">
        <v>546</v>
      </c>
      <c r="C2597" s="3" t="s">
        <v>3618</v>
      </c>
      <c r="D2597" s="3"/>
    </row>
    <row r="2598" spans="1:4">
      <c r="A2598" s="2">
        <v>137</v>
      </c>
      <c r="B2598" s="2" t="s">
        <v>546</v>
      </c>
      <c r="C2598" s="2" t="s">
        <v>3619</v>
      </c>
      <c r="D2598" s="2"/>
    </row>
    <row r="2599" spans="1:4">
      <c r="A2599" s="3">
        <v>137</v>
      </c>
      <c r="B2599" s="3" t="s">
        <v>546</v>
      </c>
      <c r="C2599" s="3" t="s">
        <v>3620</v>
      </c>
      <c r="D2599" s="3"/>
    </row>
    <row r="2600" spans="1:4">
      <c r="A2600" s="2">
        <v>137</v>
      </c>
      <c r="B2600" s="2" t="s">
        <v>546</v>
      </c>
      <c r="C2600" s="2" t="s">
        <v>3621</v>
      </c>
      <c r="D2600" s="2"/>
    </row>
    <row r="2601" spans="1:4">
      <c r="A2601" s="3">
        <v>137</v>
      </c>
      <c r="B2601" s="3" t="s">
        <v>546</v>
      </c>
      <c r="C2601" s="3" t="s">
        <v>3622</v>
      </c>
      <c r="D2601" s="3"/>
    </row>
    <row r="2602" spans="1:4">
      <c r="A2602" s="2">
        <v>137</v>
      </c>
      <c r="B2602" s="2" t="s">
        <v>546</v>
      </c>
      <c r="C2602" s="2" t="s">
        <v>3623</v>
      </c>
      <c r="D2602" s="2"/>
    </row>
    <row r="2603" spans="1:4">
      <c r="A2603" s="3">
        <v>137</v>
      </c>
      <c r="B2603" s="3" t="s">
        <v>546</v>
      </c>
      <c r="C2603" s="3" t="s">
        <v>3624</v>
      </c>
      <c r="D2603" s="3"/>
    </row>
    <row r="2604" spans="1:4">
      <c r="A2604" s="2">
        <v>137</v>
      </c>
      <c r="B2604" s="2" t="s">
        <v>546</v>
      </c>
      <c r="C2604" s="2" t="s">
        <v>3625</v>
      </c>
      <c r="D2604" s="2"/>
    </row>
    <row r="2605" spans="1:4">
      <c r="A2605" s="3">
        <v>137</v>
      </c>
      <c r="B2605" s="3" t="s">
        <v>546</v>
      </c>
      <c r="C2605" s="3" t="s">
        <v>3626</v>
      </c>
      <c r="D2605" s="3"/>
    </row>
    <row r="2606" spans="1:4">
      <c r="A2606" s="2">
        <v>137</v>
      </c>
      <c r="B2606" s="2" t="s">
        <v>546</v>
      </c>
      <c r="C2606" s="2" t="s">
        <v>3627</v>
      </c>
      <c r="D2606" s="2"/>
    </row>
    <row r="2607" spans="1:4">
      <c r="A2607" s="3">
        <v>137</v>
      </c>
      <c r="B2607" s="3" t="s">
        <v>546</v>
      </c>
      <c r="C2607" s="3" t="s">
        <v>3628</v>
      </c>
      <c r="D2607" s="3"/>
    </row>
    <row r="2608" spans="1:4">
      <c r="A2608" s="2">
        <v>138</v>
      </c>
      <c r="B2608" s="2" t="s">
        <v>561</v>
      </c>
      <c r="C2608" s="2" t="s">
        <v>3629</v>
      </c>
      <c r="D2608" s="2"/>
    </row>
    <row r="2609" spans="1:4">
      <c r="A2609" s="3">
        <v>138</v>
      </c>
      <c r="B2609" s="3" t="s">
        <v>561</v>
      </c>
      <c r="C2609" s="3" t="s">
        <v>3630</v>
      </c>
      <c r="D2609" s="3"/>
    </row>
    <row r="2610" spans="1:4">
      <c r="A2610" s="2">
        <v>138</v>
      </c>
      <c r="B2610" s="2" t="s">
        <v>561</v>
      </c>
      <c r="C2610" s="2" t="s">
        <v>3631</v>
      </c>
      <c r="D2610" s="2"/>
    </row>
    <row r="2611" spans="1:4">
      <c r="A2611" s="3">
        <v>138</v>
      </c>
      <c r="B2611" s="3" t="s">
        <v>561</v>
      </c>
      <c r="C2611" s="3" t="s">
        <v>3632</v>
      </c>
      <c r="D2611" s="3"/>
    </row>
    <row r="2612" spans="1:4">
      <c r="A2612" s="2">
        <v>138</v>
      </c>
      <c r="B2612" s="2" t="s">
        <v>561</v>
      </c>
      <c r="C2612" s="2" t="s">
        <v>3633</v>
      </c>
      <c r="D2612" s="2"/>
    </row>
    <row r="2613" spans="1:4">
      <c r="A2613" s="3">
        <v>138</v>
      </c>
      <c r="B2613" s="3" t="s">
        <v>561</v>
      </c>
      <c r="C2613" s="3" t="s">
        <v>3634</v>
      </c>
      <c r="D2613" s="3"/>
    </row>
    <row r="2614" spans="1:4">
      <c r="A2614" s="2">
        <v>138</v>
      </c>
      <c r="B2614" s="2" t="s">
        <v>561</v>
      </c>
      <c r="C2614" s="2" t="s">
        <v>3635</v>
      </c>
      <c r="D2614" s="2"/>
    </row>
    <row r="2615" spans="1:4">
      <c r="A2615" s="3">
        <v>139</v>
      </c>
      <c r="B2615" s="3" t="s">
        <v>531</v>
      </c>
      <c r="C2615" s="3" t="s">
        <v>3636</v>
      </c>
      <c r="D2615" s="3"/>
    </row>
    <row r="2616" spans="1:4">
      <c r="A2616" s="2">
        <v>139</v>
      </c>
      <c r="B2616" s="2" t="s">
        <v>531</v>
      </c>
      <c r="C2616" s="2" t="s">
        <v>3637</v>
      </c>
      <c r="D2616" s="2"/>
    </row>
    <row r="2617" spans="1:4">
      <c r="A2617" s="3">
        <v>139</v>
      </c>
      <c r="B2617" s="3" t="s">
        <v>531</v>
      </c>
      <c r="C2617" s="3" t="s">
        <v>3638</v>
      </c>
      <c r="D2617" s="3"/>
    </row>
    <row r="2618" spans="1:4">
      <c r="A2618" s="2">
        <v>139</v>
      </c>
      <c r="B2618" s="2" t="s">
        <v>531</v>
      </c>
      <c r="C2618" s="2" t="s">
        <v>3639</v>
      </c>
      <c r="D2618" s="2"/>
    </row>
    <row r="2619" spans="1:4">
      <c r="A2619" s="3">
        <v>139</v>
      </c>
      <c r="B2619" s="3" t="s">
        <v>531</v>
      </c>
      <c r="C2619" s="3" t="s">
        <v>3640</v>
      </c>
      <c r="D2619" s="3"/>
    </row>
    <row r="2620" spans="1:4">
      <c r="A2620" s="2">
        <v>139</v>
      </c>
      <c r="B2620" s="2" t="s">
        <v>531</v>
      </c>
      <c r="C2620" s="2" t="s">
        <v>3641</v>
      </c>
      <c r="D2620" s="2"/>
    </row>
    <row r="2621" spans="1:4">
      <c r="A2621" s="3">
        <v>139</v>
      </c>
      <c r="B2621" s="3" t="s">
        <v>531</v>
      </c>
      <c r="C2621" s="3" t="s">
        <v>3642</v>
      </c>
      <c r="D2621" s="3"/>
    </row>
    <row r="2622" spans="1:4">
      <c r="A2622" s="2">
        <v>139</v>
      </c>
      <c r="B2622" s="2" t="s">
        <v>531</v>
      </c>
      <c r="C2622" s="2" t="s">
        <v>3643</v>
      </c>
      <c r="D2622" s="2"/>
    </row>
    <row r="2623" spans="1:4">
      <c r="A2623" s="3">
        <v>139</v>
      </c>
      <c r="B2623" s="3" t="s">
        <v>531</v>
      </c>
      <c r="C2623" s="3" t="s">
        <v>3644</v>
      </c>
      <c r="D2623" s="3"/>
    </row>
    <row r="2624" spans="1:4">
      <c r="A2624" s="2">
        <v>139</v>
      </c>
      <c r="B2624" s="2" t="s">
        <v>531</v>
      </c>
      <c r="C2624" s="2" t="s">
        <v>3645</v>
      </c>
      <c r="D2624" s="2"/>
    </row>
    <row r="2625" spans="1:4">
      <c r="A2625" s="3">
        <v>139</v>
      </c>
      <c r="B2625" s="3" t="s">
        <v>531</v>
      </c>
      <c r="C2625" s="3" t="s">
        <v>3646</v>
      </c>
      <c r="D2625" s="3"/>
    </row>
    <row r="2626" spans="1:4">
      <c r="A2626" s="2">
        <v>140</v>
      </c>
      <c r="B2626" s="2" t="s">
        <v>580</v>
      </c>
      <c r="C2626" s="2" t="s">
        <v>3647</v>
      </c>
      <c r="D2626" s="2"/>
    </row>
    <row r="2627" spans="1:4">
      <c r="A2627" s="3">
        <v>140</v>
      </c>
      <c r="B2627" s="3" t="s">
        <v>580</v>
      </c>
      <c r="C2627" s="3" t="s">
        <v>3648</v>
      </c>
      <c r="D2627" s="3"/>
    </row>
    <row r="2628" spans="1:4">
      <c r="A2628" s="2">
        <v>140</v>
      </c>
      <c r="B2628" s="2" t="s">
        <v>580</v>
      </c>
      <c r="C2628" s="2" t="s">
        <v>3649</v>
      </c>
      <c r="D2628" s="2"/>
    </row>
    <row r="2629" spans="1:4">
      <c r="A2629" s="3">
        <v>140</v>
      </c>
      <c r="B2629" s="3" t="s">
        <v>580</v>
      </c>
      <c r="C2629" s="3" t="s">
        <v>3650</v>
      </c>
      <c r="D2629" s="3"/>
    </row>
    <row r="2630" spans="1:4">
      <c r="A2630" s="2">
        <v>141</v>
      </c>
      <c r="B2630" s="2" t="s">
        <v>480</v>
      </c>
      <c r="C2630" s="2" t="s">
        <v>3651</v>
      </c>
      <c r="D2630" s="2"/>
    </row>
    <row r="2631" spans="1:4">
      <c r="A2631" s="3">
        <v>141</v>
      </c>
      <c r="B2631" s="3" t="s">
        <v>480</v>
      </c>
      <c r="C2631" s="3" t="s">
        <v>3652</v>
      </c>
      <c r="D2631" s="3"/>
    </row>
    <row r="2632" spans="1:4">
      <c r="A2632" s="2">
        <v>141</v>
      </c>
      <c r="B2632" s="2" t="s">
        <v>480</v>
      </c>
      <c r="C2632" s="2" t="s">
        <v>3653</v>
      </c>
      <c r="D2632" s="2"/>
    </row>
    <row r="2633" spans="1:4">
      <c r="A2633" s="3">
        <v>141</v>
      </c>
      <c r="B2633" s="3" t="s">
        <v>480</v>
      </c>
      <c r="C2633" s="3" t="s">
        <v>3654</v>
      </c>
      <c r="D2633" s="3"/>
    </row>
    <row r="2634" spans="1:4">
      <c r="A2634" s="2">
        <v>141</v>
      </c>
      <c r="B2634" s="2" t="s">
        <v>480</v>
      </c>
      <c r="C2634" s="2" t="s">
        <v>3655</v>
      </c>
      <c r="D2634" s="2"/>
    </row>
    <row r="2635" spans="1:4">
      <c r="A2635" s="3">
        <v>142</v>
      </c>
      <c r="B2635" s="3" t="s">
        <v>543</v>
      </c>
      <c r="C2635" s="3" t="s">
        <v>3656</v>
      </c>
      <c r="D2635" s="3"/>
    </row>
    <row r="2636" spans="1:4">
      <c r="A2636" s="2">
        <v>142</v>
      </c>
      <c r="B2636" s="2" t="s">
        <v>543</v>
      </c>
      <c r="C2636" s="2" t="s">
        <v>3657</v>
      </c>
      <c r="D2636" s="2"/>
    </row>
    <row r="2637" spans="1:4">
      <c r="A2637" s="3">
        <v>143</v>
      </c>
      <c r="B2637" s="3" t="s">
        <v>371</v>
      </c>
      <c r="C2637" s="3" t="s">
        <v>3658</v>
      </c>
      <c r="D2637" s="3"/>
    </row>
    <row r="2638" spans="1:4">
      <c r="A2638" s="2">
        <v>143</v>
      </c>
      <c r="B2638" s="2" t="s">
        <v>371</v>
      </c>
      <c r="C2638" s="2" t="s">
        <v>3659</v>
      </c>
      <c r="D2638" s="2"/>
    </row>
    <row r="2639" spans="1:4">
      <c r="A2639" s="3">
        <v>143</v>
      </c>
      <c r="B2639" s="3" t="s">
        <v>371</v>
      </c>
      <c r="C2639" s="3" t="s">
        <v>3660</v>
      </c>
      <c r="D2639" s="3"/>
    </row>
    <row r="2640" spans="1:4">
      <c r="A2640" s="2">
        <v>143</v>
      </c>
      <c r="B2640" s="2" t="s">
        <v>371</v>
      </c>
      <c r="C2640" s="2" t="s">
        <v>3661</v>
      </c>
      <c r="D2640" s="2"/>
    </row>
    <row r="2641" spans="1:4">
      <c r="A2641" s="3">
        <v>143</v>
      </c>
      <c r="B2641" s="3" t="s">
        <v>371</v>
      </c>
      <c r="C2641" s="3" t="s">
        <v>3662</v>
      </c>
      <c r="D2641" s="3"/>
    </row>
    <row r="2642" spans="1:4">
      <c r="A2642" s="2">
        <v>143</v>
      </c>
      <c r="B2642" s="2" t="s">
        <v>371</v>
      </c>
      <c r="C2642" s="2" t="s">
        <v>3663</v>
      </c>
      <c r="D2642" s="2"/>
    </row>
    <row r="2643" spans="1:4">
      <c r="A2643" s="3">
        <v>143</v>
      </c>
      <c r="B2643" s="3" t="s">
        <v>371</v>
      </c>
      <c r="C2643" s="3" t="s">
        <v>3664</v>
      </c>
      <c r="D2643" s="3"/>
    </row>
    <row r="2644" spans="1:4">
      <c r="A2644" s="2">
        <v>143</v>
      </c>
      <c r="B2644" s="2" t="s">
        <v>371</v>
      </c>
      <c r="C2644" s="2" t="s">
        <v>3665</v>
      </c>
      <c r="D2644" s="2"/>
    </row>
    <row r="2645" spans="1:4">
      <c r="A2645" s="3">
        <v>143</v>
      </c>
      <c r="B2645" s="3" t="s">
        <v>371</v>
      </c>
      <c r="C2645" s="3" t="s">
        <v>3666</v>
      </c>
      <c r="D2645" s="3"/>
    </row>
    <row r="2646" spans="1:4">
      <c r="A2646" s="2">
        <v>143</v>
      </c>
      <c r="B2646" s="2" t="s">
        <v>371</v>
      </c>
      <c r="C2646" s="2" t="s">
        <v>3667</v>
      </c>
      <c r="D2646" s="2"/>
    </row>
    <row r="2647" spans="1:4">
      <c r="A2647" s="3">
        <v>143</v>
      </c>
      <c r="B2647" s="3" t="s">
        <v>371</v>
      </c>
      <c r="C2647" s="3" t="s">
        <v>3668</v>
      </c>
      <c r="D2647" s="3"/>
    </row>
    <row r="2648" spans="1:4">
      <c r="A2648" s="2">
        <v>144</v>
      </c>
      <c r="B2648" s="2" t="s">
        <v>375</v>
      </c>
      <c r="C2648" s="2" t="s">
        <v>3669</v>
      </c>
      <c r="D2648" s="2"/>
    </row>
    <row r="2649" spans="1:4">
      <c r="A2649" s="3">
        <v>144</v>
      </c>
      <c r="B2649" s="3" t="s">
        <v>375</v>
      </c>
      <c r="C2649" s="3" t="s">
        <v>3670</v>
      </c>
      <c r="D2649" s="3"/>
    </row>
    <row r="2650" spans="1:4">
      <c r="A2650" s="2">
        <v>144</v>
      </c>
      <c r="B2650" s="2" t="s">
        <v>375</v>
      </c>
      <c r="C2650" s="2" t="s">
        <v>3671</v>
      </c>
      <c r="D2650" s="2"/>
    </row>
    <row r="2651" spans="1:4">
      <c r="A2651" s="3">
        <v>144</v>
      </c>
      <c r="B2651" s="3" t="s">
        <v>375</v>
      </c>
      <c r="C2651" s="3" t="s">
        <v>3672</v>
      </c>
      <c r="D2651" s="3"/>
    </row>
    <row r="2652" spans="1:4">
      <c r="A2652" s="2">
        <v>144</v>
      </c>
      <c r="B2652" s="2" t="s">
        <v>375</v>
      </c>
      <c r="C2652" s="2" t="s">
        <v>3673</v>
      </c>
      <c r="D2652" s="2"/>
    </row>
    <row r="2653" spans="1:4">
      <c r="A2653" s="3">
        <v>144</v>
      </c>
      <c r="B2653" s="3" t="s">
        <v>375</v>
      </c>
      <c r="C2653" s="3" t="s">
        <v>3674</v>
      </c>
      <c r="D2653" s="3"/>
    </row>
    <row r="2654" spans="1:4">
      <c r="A2654" s="2">
        <v>144</v>
      </c>
      <c r="B2654" s="2" t="s">
        <v>375</v>
      </c>
      <c r="C2654" s="2" t="s">
        <v>3675</v>
      </c>
      <c r="D2654" s="2"/>
    </row>
    <row r="2655" spans="1:4">
      <c r="A2655" s="3">
        <v>144</v>
      </c>
      <c r="B2655" s="3" t="s">
        <v>375</v>
      </c>
      <c r="C2655" s="3" t="s">
        <v>3676</v>
      </c>
      <c r="D2655" s="3"/>
    </row>
    <row r="2656" spans="1:4">
      <c r="A2656" s="2">
        <v>144</v>
      </c>
      <c r="B2656" s="2" t="s">
        <v>375</v>
      </c>
      <c r="C2656" s="2" t="s">
        <v>3677</v>
      </c>
      <c r="D2656" s="2"/>
    </row>
    <row r="2657" spans="1:4">
      <c r="A2657" s="3">
        <v>144</v>
      </c>
      <c r="B2657" s="3" t="s">
        <v>375</v>
      </c>
      <c r="C2657" s="3" t="s">
        <v>3678</v>
      </c>
      <c r="D2657" s="3"/>
    </row>
    <row r="2658" spans="1:4">
      <c r="A2658" s="2">
        <v>144</v>
      </c>
      <c r="B2658" s="2" t="s">
        <v>375</v>
      </c>
      <c r="C2658" s="2" t="s">
        <v>3679</v>
      </c>
      <c r="D2658" s="2"/>
    </row>
    <row r="2659" spans="1:4">
      <c r="A2659" s="3">
        <v>144</v>
      </c>
      <c r="B2659" s="3" t="s">
        <v>375</v>
      </c>
      <c r="C2659" s="3" t="s">
        <v>3680</v>
      </c>
      <c r="D2659" s="3"/>
    </row>
    <row r="2660" spans="1:4">
      <c r="A2660" s="2">
        <v>144</v>
      </c>
      <c r="B2660" s="2" t="s">
        <v>375</v>
      </c>
      <c r="C2660" s="2" t="s">
        <v>3681</v>
      </c>
      <c r="D2660" s="2"/>
    </row>
    <row r="2661" spans="1:4">
      <c r="A2661" s="3">
        <v>144</v>
      </c>
      <c r="B2661" s="3" t="s">
        <v>375</v>
      </c>
      <c r="C2661" s="3" t="s">
        <v>3682</v>
      </c>
      <c r="D2661" s="3"/>
    </row>
    <row r="2662" spans="1:4">
      <c r="A2662" s="2">
        <v>144</v>
      </c>
      <c r="B2662" s="2" t="s">
        <v>375</v>
      </c>
      <c r="C2662" s="2" t="s">
        <v>3683</v>
      </c>
      <c r="D2662" s="2"/>
    </row>
    <row r="2663" spans="1:4">
      <c r="A2663" s="3">
        <v>144</v>
      </c>
      <c r="B2663" s="3" t="s">
        <v>375</v>
      </c>
      <c r="C2663" s="3" t="s">
        <v>3684</v>
      </c>
      <c r="D2663" s="3"/>
    </row>
    <row r="2664" spans="1:4">
      <c r="A2664" s="2">
        <v>144</v>
      </c>
      <c r="B2664" s="2" t="s">
        <v>375</v>
      </c>
      <c r="C2664" s="2" t="s">
        <v>3685</v>
      </c>
      <c r="D2664" s="2"/>
    </row>
    <row r="2665" spans="1:4">
      <c r="A2665" s="3">
        <v>144</v>
      </c>
      <c r="B2665" s="3" t="s">
        <v>375</v>
      </c>
      <c r="C2665" s="3" t="s">
        <v>3686</v>
      </c>
      <c r="D2665" s="3"/>
    </row>
    <row r="2666" spans="1:4">
      <c r="A2666" s="2">
        <v>144</v>
      </c>
      <c r="B2666" s="2" t="s">
        <v>375</v>
      </c>
      <c r="C2666" s="2" t="s">
        <v>3687</v>
      </c>
      <c r="D2666" s="2"/>
    </row>
    <row r="2667" spans="1:4">
      <c r="A2667" s="3">
        <v>144</v>
      </c>
      <c r="B2667" s="3" t="s">
        <v>375</v>
      </c>
      <c r="C2667" s="3" t="s">
        <v>3688</v>
      </c>
      <c r="D2667" s="3"/>
    </row>
    <row r="2668" spans="1:4">
      <c r="A2668" s="2">
        <v>144</v>
      </c>
      <c r="B2668" s="2" t="s">
        <v>375</v>
      </c>
      <c r="C2668" s="2" t="s">
        <v>3689</v>
      </c>
      <c r="D2668" s="2"/>
    </row>
    <row r="2669" spans="1:4">
      <c r="A2669" s="3">
        <v>144</v>
      </c>
      <c r="B2669" s="3" t="s">
        <v>375</v>
      </c>
      <c r="C2669" s="3" t="s">
        <v>3690</v>
      </c>
      <c r="D2669" s="3"/>
    </row>
    <row r="2670" spans="1:4">
      <c r="A2670" s="2">
        <v>144</v>
      </c>
      <c r="B2670" s="2" t="s">
        <v>375</v>
      </c>
      <c r="C2670" s="2" t="s">
        <v>3691</v>
      </c>
      <c r="D2670" s="2"/>
    </row>
    <row r="2671" spans="1:4">
      <c r="A2671" s="3">
        <v>144</v>
      </c>
      <c r="B2671" s="3" t="s">
        <v>375</v>
      </c>
      <c r="C2671" s="3" t="s">
        <v>3692</v>
      </c>
      <c r="D2671" s="3"/>
    </row>
    <row r="2672" spans="1:4">
      <c r="A2672" s="2">
        <v>144</v>
      </c>
      <c r="B2672" s="2" t="s">
        <v>375</v>
      </c>
      <c r="C2672" s="2" t="s">
        <v>3693</v>
      </c>
      <c r="D2672" s="2"/>
    </row>
    <row r="2673" spans="1:4">
      <c r="A2673" s="3">
        <v>144</v>
      </c>
      <c r="B2673" s="3" t="s">
        <v>375</v>
      </c>
      <c r="C2673" s="3" t="s">
        <v>3694</v>
      </c>
      <c r="D2673" s="3"/>
    </row>
    <row r="2674" spans="1:4">
      <c r="A2674" s="2">
        <v>144</v>
      </c>
      <c r="B2674" s="2" t="s">
        <v>375</v>
      </c>
      <c r="C2674" s="2" t="s">
        <v>3695</v>
      </c>
      <c r="D2674" s="2"/>
    </row>
    <row r="2675" spans="1:4">
      <c r="A2675" s="3">
        <v>144</v>
      </c>
      <c r="B2675" s="3" t="s">
        <v>375</v>
      </c>
      <c r="C2675" s="3" t="s">
        <v>3696</v>
      </c>
      <c r="D2675" s="3"/>
    </row>
    <row r="2676" spans="1:4">
      <c r="A2676" s="2">
        <v>144</v>
      </c>
      <c r="B2676" s="2" t="s">
        <v>375</v>
      </c>
      <c r="C2676" s="2" t="s">
        <v>3697</v>
      </c>
      <c r="D2676" s="2"/>
    </row>
    <row r="2677" spans="1:4">
      <c r="A2677" s="3">
        <v>144</v>
      </c>
      <c r="B2677" s="3" t="s">
        <v>375</v>
      </c>
      <c r="C2677" s="3" t="s">
        <v>3698</v>
      </c>
      <c r="D2677" s="3"/>
    </row>
    <row r="2678" spans="1:4">
      <c r="A2678" s="2">
        <v>145</v>
      </c>
      <c r="B2678" s="2" t="s">
        <v>431</v>
      </c>
      <c r="C2678" s="2" t="s">
        <v>3699</v>
      </c>
      <c r="D2678" s="2"/>
    </row>
    <row r="2679" spans="1:4">
      <c r="A2679" s="3">
        <v>145</v>
      </c>
      <c r="B2679" s="3" t="s">
        <v>431</v>
      </c>
      <c r="C2679" s="3" t="s">
        <v>3700</v>
      </c>
      <c r="D2679" s="3"/>
    </row>
    <row r="2680" spans="1:4">
      <c r="A2680" s="2">
        <v>145</v>
      </c>
      <c r="B2680" s="2" t="s">
        <v>431</v>
      </c>
      <c r="C2680" s="2" t="s">
        <v>3701</v>
      </c>
      <c r="D2680" s="2"/>
    </row>
    <row r="2681" spans="1:4">
      <c r="A2681" s="3">
        <v>145</v>
      </c>
      <c r="B2681" s="3" t="s">
        <v>431</v>
      </c>
      <c r="C2681" s="3" t="s">
        <v>3702</v>
      </c>
      <c r="D2681" s="3"/>
    </row>
    <row r="2682" spans="1:4">
      <c r="A2682" s="2">
        <v>145</v>
      </c>
      <c r="B2682" s="2" t="s">
        <v>431</v>
      </c>
      <c r="C2682" s="2" t="s">
        <v>3703</v>
      </c>
      <c r="D2682" s="2"/>
    </row>
    <row r="2683" spans="1:4">
      <c r="A2683" s="3">
        <v>145</v>
      </c>
      <c r="B2683" s="3" t="s">
        <v>431</v>
      </c>
      <c r="C2683" s="3" t="s">
        <v>3704</v>
      </c>
      <c r="D2683" s="3"/>
    </row>
    <row r="2684" spans="1:4">
      <c r="A2684" s="2">
        <v>145</v>
      </c>
      <c r="B2684" s="2" t="s">
        <v>431</v>
      </c>
      <c r="C2684" s="2" t="s">
        <v>3705</v>
      </c>
      <c r="D2684" s="2"/>
    </row>
    <row r="2685" spans="1:4">
      <c r="A2685" s="3">
        <v>145</v>
      </c>
      <c r="B2685" s="3" t="s">
        <v>431</v>
      </c>
      <c r="C2685" s="3" t="s">
        <v>3706</v>
      </c>
      <c r="D2685" s="3"/>
    </row>
    <row r="2686" spans="1:4">
      <c r="A2686" s="2">
        <v>145</v>
      </c>
      <c r="B2686" s="2" t="s">
        <v>431</v>
      </c>
      <c r="C2686" s="2" t="s">
        <v>3707</v>
      </c>
      <c r="D2686" s="2"/>
    </row>
    <row r="2687" spans="1:4">
      <c r="A2687" s="3">
        <v>145</v>
      </c>
      <c r="B2687" s="3" t="s">
        <v>431</v>
      </c>
      <c r="C2687" s="3" t="s">
        <v>3708</v>
      </c>
      <c r="D2687" s="3"/>
    </row>
    <row r="2688" spans="1:4">
      <c r="A2688" s="2">
        <v>145</v>
      </c>
      <c r="B2688" s="2" t="s">
        <v>431</v>
      </c>
      <c r="C2688" s="2" t="s">
        <v>3709</v>
      </c>
      <c r="D2688" s="2"/>
    </row>
    <row r="2689" spans="1:4">
      <c r="A2689" s="3">
        <v>145</v>
      </c>
      <c r="B2689" s="3" t="s">
        <v>431</v>
      </c>
      <c r="C2689" s="3" t="s">
        <v>3710</v>
      </c>
      <c r="D2689" s="3"/>
    </row>
    <row r="2690" spans="1:4">
      <c r="A2690" s="2">
        <v>145</v>
      </c>
      <c r="B2690" s="2" t="s">
        <v>431</v>
      </c>
      <c r="C2690" s="2" t="s">
        <v>3711</v>
      </c>
      <c r="D2690" s="2"/>
    </row>
    <row r="2691" spans="1:4">
      <c r="A2691" s="3">
        <v>146</v>
      </c>
      <c r="B2691" s="3" t="s">
        <v>416</v>
      </c>
      <c r="C2691" s="3" t="s">
        <v>3712</v>
      </c>
      <c r="D2691" s="3"/>
    </row>
    <row r="2692" spans="1:4">
      <c r="A2692" s="2">
        <v>146</v>
      </c>
      <c r="B2692" s="2" t="s">
        <v>416</v>
      </c>
      <c r="C2692" s="2" t="s">
        <v>3713</v>
      </c>
      <c r="D2692" s="2"/>
    </row>
    <row r="2693" spans="1:4">
      <c r="A2693" s="3">
        <v>146</v>
      </c>
      <c r="B2693" s="3" t="s">
        <v>416</v>
      </c>
      <c r="C2693" s="3" t="s">
        <v>3714</v>
      </c>
      <c r="D2693" s="3"/>
    </row>
    <row r="2694" spans="1:4">
      <c r="A2694" s="2">
        <v>146</v>
      </c>
      <c r="B2694" s="2" t="s">
        <v>416</v>
      </c>
      <c r="C2694" s="2" t="s">
        <v>3715</v>
      </c>
      <c r="D2694" s="2"/>
    </row>
    <row r="2695" spans="1:4">
      <c r="A2695" s="3">
        <v>146</v>
      </c>
      <c r="B2695" s="3" t="s">
        <v>416</v>
      </c>
      <c r="C2695" s="3" t="s">
        <v>3716</v>
      </c>
      <c r="D2695" s="3"/>
    </row>
    <row r="2696" spans="1:4">
      <c r="A2696" s="2">
        <v>146</v>
      </c>
      <c r="B2696" s="2" t="s">
        <v>416</v>
      </c>
      <c r="C2696" s="2" t="s">
        <v>3717</v>
      </c>
      <c r="D2696" s="2"/>
    </row>
    <row r="2697" spans="1:4">
      <c r="A2697" s="3">
        <v>146</v>
      </c>
      <c r="B2697" s="3" t="s">
        <v>416</v>
      </c>
      <c r="C2697" s="3" t="s">
        <v>3718</v>
      </c>
      <c r="D2697" s="3"/>
    </row>
    <row r="2698" spans="1:4">
      <c r="A2698" s="2">
        <v>146</v>
      </c>
      <c r="B2698" s="2" t="s">
        <v>416</v>
      </c>
      <c r="C2698" s="2" t="s">
        <v>3719</v>
      </c>
      <c r="D2698" s="2"/>
    </row>
    <row r="2699" spans="1:4">
      <c r="A2699" s="3">
        <v>146</v>
      </c>
      <c r="B2699" s="3" t="s">
        <v>416</v>
      </c>
      <c r="C2699" s="3" t="s">
        <v>3720</v>
      </c>
      <c r="D2699" s="3"/>
    </row>
    <row r="2700" spans="1:4">
      <c r="A2700" s="2">
        <v>146</v>
      </c>
      <c r="B2700" s="2" t="s">
        <v>416</v>
      </c>
      <c r="C2700" s="2" t="s">
        <v>3721</v>
      </c>
      <c r="D2700" s="2"/>
    </row>
    <row r="2701" spans="1:4">
      <c r="A2701" s="3">
        <v>146</v>
      </c>
      <c r="B2701" s="3" t="s">
        <v>416</v>
      </c>
      <c r="C2701" s="3" t="s">
        <v>3722</v>
      </c>
      <c r="D2701" s="3"/>
    </row>
    <row r="2702" spans="1:4">
      <c r="A2702" s="2">
        <v>146</v>
      </c>
      <c r="B2702" s="2" t="s">
        <v>416</v>
      </c>
      <c r="C2702" s="2" t="s">
        <v>3723</v>
      </c>
      <c r="D2702" s="2"/>
    </row>
    <row r="2703" spans="1:4">
      <c r="A2703" s="3">
        <v>146</v>
      </c>
      <c r="B2703" s="3" t="s">
        <v>416</v>
      </c>
      <c r="C2703" s="3" t="s">
        <v>3724</v>
      </c>
      <c r="D2703" s="3"/>
    </row>
    <row r="2704" spans="1:4">
      <c r="A2704" s="2">
        <v>146</v>
      </c>
      <c r="B2704" s="2" t="s">
        <v>416</v>
      </c>
      <c r="C2704" s="2" t="s">
        <v>3725</v>
      </c>
      <c r="D2704" s="2"/>
    </row>
    <row r="2705" spans="1:4">
      <c r="A2705" s="3">
        <v>148</v>
      </c>
      <c r="B2705" s="3" t="s">
        <v>420</v>
      </c>
      <c r="C2705" s="3" t="s">
        <v>3726</v>
      </c>
      <c r="D2705" s="3"/>
    </row>
    <row r="2706" spans="1:4">
      <c r="A2706" s="2">
        <v>148</v>
      </c>
      <c r="B2706" s="2" t="s">
        <v>420</v>
      </c>
      <c r="C2706" s="2" t="s">
        <v>3727</v>
      </c>
      <c r="D2706" s="2"/>
    </row>
    <row r="2707" spans="1:4">
      <c r="A2707" s="3">
        <v>149</v>
      </c>
      <c r="B2707" s="3" t="s">
        <v>443</v>
      </c>
      <c r="C2707" s="3" t="s">
        <v>3728</v>
      </c>
      <c r="D2707" s="3"/>
    </row>
    <row r="2708" spans="1:4">
      <c r="A2708" s="2">
        <v>149</v>
      </c>
      <c r="B2708" s="2" t="s">
        <v>443</v>
      </c>
      <c r="C2708" s="2" t="s">
        <v>3729</v>
      </c>
      <c r="D2708" s="2"/>
    </row>
    <row r="2709" spans="1:4">
      <c r="A2709" s="3">
        <v>149</v>
      </c>
      <c r="B2709" s="3" t="s">
        <v>443</v>
      </c>
      <c r="C2709" s="3" t="s">
        <v>3730</v>
      </c>
      <c r="D2709" s="3"/>
    </row>
    <row r="2710" spans="1:4">
      <c r="A2710" s="2">
        <v>149</v>
      </c>
      <c r="B2710" s="2" t="s">
        <v>443</v>
      </c>
      <c r="C2710" s="2" t="s">
        <v>3731</v>
      </c>
      <c r="D2710" s="2"/>
    </row>
    <row r="2711" spans="1:4">
      <c r="A2711" s="3">
        <v>149</v>
      </c>
      <c r="B2711" s="3" t="s">
        <v>443</v>
      </c>
      <c r="C2711" s="3" t="s">
        <v>3732</v>
      </c>
      <c r="D2711" s="3"/>
    </row>
    <row r="2712" spans="1:4">
      <c r="A2712" s="2">
        <v>149</v>
      </c>
      <c r="B2712" s="2" t="s">
        <v>443</v>
      </c>
      <c r="C2712" s="2" t="s">
        <v>3733</v>
      </c>
      <c r="D2712" s="2"/>
    </row>
    <row r="2713" spans="1:4">
      <c r="A2713" s="3">
        <v>149</v>
      </c>
      <c r="B2713" s="3" t="s">
        <v>443</v>
      </c>
      <c r="C2713" s="3" t="s">
        <v>3734</v>
      </c>
      <c r="D2713" s="3"/>
    </row>
    <row r="2714" spans="1:4">
      <c r="A2714" s="2">
        <v>149</v>
      </c>
      <c r="B2714" s="2" t="s">
        <v>443</v>
      </c>
      <c r="C2714" s="2" t="s">
        <v>3735</v>
      </c>
      <c r="D2714" s="2"/>
    </row>
    <row r="2715" spans="1:4">
      <c r="A2715" s="3">
        <v>149</v>
      </c>
      <c r="B2715" s="3" t="s">
        <v>443</v>
      </c>
      <c r="C2715" s="3" t="s">
        <v>3736</v>
      </c>
      <c r="D2715" s="3"/>
    </row>
    <row r="2716" spans="1:4">
      <c r="A2716" s="2">
        <v>149</v>
      </c>
      <c r="B2716" s="2" t="s">
        <v>443</v>
      </c>
      <c r="C2716" s="2">
        <f>qn0⏐⏐⏐⃗E⏐⏐⏐h−1exp(−π2m∗a12</f>
        <v>0</v>
      </c>
      <c r="D2716" s="2"/>
    </row>
    <row r="2717" spans="1:4">
      <c r="A2717" s="3">
        <v>149</v>
      </c>
      <c r="B2717" s="3" t="s">
        <v>443</v>
      </c>
      <c r="C2717" s="3" t="s">
        <v>3737</v>
      </c>
      <c r="D2717" s="3"/>
    </row>
    <row r="2718" spans="1:4">
      <c r="A2718" s="2">
        <v>149</v>
      </c>
      <c r="B2718" s="2" t="s">
        <v>443</v>
      </c>
      <c r="C2718" s="2" t="s">
        <v>3737</v>
      </c>
      <c r="D2718" s="2"/>
    </row>
    <row r="2719" spans="1:4">
      <c r="A2719" s="3">
        <v>149</v>
      </c>
      <c r="B2719" s="3" t="s">
        <v>443</v>
      </c>
      <c r="C2719" s="3" t="s">
        <v>3738</v>
      </c>
      <c r="D2719" s="3"/>
    </row>
    <row r="2720" spans="1:4">
      <c r="A2720" s="2">
        <v>149</v>
      </c>
      <c r="B2720" s="2" t="s">
        <v>443</v>
      </c>
      <c r="C2720" s="2" t="s">
        <v>3739</v>
      </c>
      <c r="D2720" s="2"/>
    </row>
    <row r="2721" spans="1:4">
      <c r="A2721" s="3">
        <v>149</v>
      </c>
      <c r="B2721" s="3" t="s">
        <v>443</v>
      </c>
      <c r="C2721" s="3" t="s">
        <v>3740</v>
      </c>
      <c r="D2721" s="3"/>
    </row>
    <row r="2722" spans="1:4">
      <c r="A2722" s="2">
        <v>149</v>
      </c>
      <c r="B2722" s="2" t="s">
        <v>443</v>
      </c>
      <c r="C2722" s="2" t="s">
        <v>3741</v>
      </c>
      <c r="D2722" s="2"/>
    </row>
    <row r="2723" spans="1:4">
      <c r="A2723" s="3">
        <v>149</v>
      </c>
      <c r="B2723" s="3" t="s">
        <v>443</v>
      </c>
      <c r="C2723" s="3" t="s">
        <v>3742</v>
      </c>
      <c r="D2723" s="3"/>
    </row>
    <row r="2724" spans="1:4">
      <c r="A2724" s="2">
        <v>149</v>
      </c>
      <c r="B2724" s="2" t="s">
        <v>443</v>
      </c>
      <c r="C2724" s="2" t="s">
        <v>3743</v>
      </c>
      <c r="D2724" s="2"/>
    </row>
    <row r="2725" spans="1:4">
      <c r="A2725" s="3">
        <v>150</v>
      </c>
      <c r="B2725" s="3" t="s">
        <v>379</v>
      </c>
      <c r="C2725" s="3" t="s">
        <v>3744</v>
      </c>
      <c r="D2725" s="3"/>
    </row>
    <row r="2726" spans="1:4">
      <c r="A2726" s="2">
        <v>150</v>
      </c>
      <c r="B2726" s="2" t="s">
        <v>379</v>
      </c>
      <c r="C2726" s="2" t="s">
        <v>3745</v>
      </c>
      <c r="D2726" s="2"/>
    </row>
    <row r="2727" spans="1:4">
      <c r="A2727" s="3">
        <v>150</v>
      </c>
      <c r="B2727" s="3" t="s">
        <v>379</v>
      </c>
      <c r="C2727" s="3" t="s">
        <v>3746</v>
      </c>
      <c r="D2727" s="3"/>
    </row>
    <row r="2728" spans="1:4">
      <c r="A2728" s="2">
        <v>150</v>
      </c>
      <c r="B2728" s="2" t="s">
        <v>379</v>
      </c>
      <c r="C2728" s="2" t="s">
        <v>3747</v>
      </c>
      <c r="D2728" s="2"/>
    </row>
    <row r="2729" spans="1:4">
      <c r="A2729" s="3">
        <v>150</v>
      </c>
      <c r="B2729" s="3" t="s">
        <v>379</v>
      </c>
      <c r="C2729" s="3" t="s">
        <v>3748</v>
      </c>
      <c r="D2729" s="3"/>
    </row>
    <row r="2730" spans="1:4">
      <c r="A2730" s="2">
        <v>150</v>
      </c>
      <c r="B2730" s="2" t="s">
        <v>379</v>
      </c>
      <c r="C2730" s="2" t="s">
        <v>3749</v>
      </c>
      <c r="D2730" s="2"/>
    </row>
    <row r="2731" spans="1:4">
      <c r="A2731" s="3">
        <v>150</v>
      </c>
      <c r="B2731" s="3" t="s">
        <v>379</v>
      </c>
      <c r="C2731" s="3" t="s">
        <v>3750</v>
      </c>
      <c r="D2731" s="3"/>
    </row>
    <row r="2732" spans="1:4">
      <c r="A2732" s="2">
        <v>150</v>
      </c>
      <c r="B2732" s="2" t="s">
        <v>379</v>
      </c>
      <c r="C2732" s="2" t="s">
        <v>3749</v>
      </c>
      <c r="D2732" s="2"/>
    </row>
    <row r="2733" spans="1:4">
      <c r="A2733" s="3">
        <v>150</v>
      </c>
      <c r="B2733" s="3" t="s">
        <v>379</v>
      </c>
      <c r="C2733" s="3" t="s">
        <v>3750</v>
      </c>
      <c r="D2733" s="3"/>
    </row>
    <row r="2734" spans="1:4">
      <c r="A2734" s="2">
        <v>150</v>
      </c>
      <c r="B2734" s="2" t="s">
        <v>379</v>
      </c>
      <c r="C2734" s="2" t="s">
        <v>3749</v>
      </c>
      <c r="D2734" s="2"/>
    </row>
    <row r="2735" spans="1:4">
      <c r="A2735" s="3">
        <v>150</v>
      </c>
      <c r="B2735" s="3" t="s">
        <v>379</v>
      </c>
      <c r="C2735" s="3" t="s">
        <v>3751</v>
      </c>
      <c r="D2735" s="3"/>
    </row>
    <row r="2736" spans="1:4">
      <c r="A2736" s="2">
        <v>150</v>
      </c>
      <c r="B2736" s="2" t="s">
        <v>379</v>
      </c>
      <c r="C2736" s="2" t="s">
        <v>3752</v>
      </c>
      <c r="D2736" s="2"/>
    </row>
    <row r="2737" spans="1:4">
      <c r="A2737" s="3">
        <v>152</v>
      </c>
      <c r="B2737" s="3" t="s">
        <v>508</v>
      </c>
      <c r="C2737" s="3" t="s">
        <v>3753</v>
      </c>
      <c r="D2737" s="3"/>
    </row>
    <row r="2738" spans="1:4">
      <c r="A2738" s="2">
        <v>152</v>
      </c>
      <c r="B2738" s="2" t="s">
        <v>508</v>
      </c>
      <c r="C2738" s="2" t="s">
        <v>3754</v>
      </c>
      <c r="D2738" s="2"/>
    </row>
    <row r="2739" spans="1:4">
      <c r="A2739" s="3">
        <v>152</v>
      </c>
      <c r="B2739" s="3" t="s">
        <v>508</v>
      </c>
      <c r="C2739" s="3" t="s">
        <v>3755</v>
      </c>
      <c r="D2739" s="3"/>
    </row>
    <row r="2740" spans="1:4">
      <c r="A2740" s="2">
        <v>152</v>
      </c>
      <c r="B2740" s="2" t="s">
        <v>508</v>
      </c>
      <c r="C2740" s="2" t="s">
        <v>3756</v>
      </c>
      <c r="D2740" s="2"/>
    </row>
    <row r="2741" spans="1:4">
      <c r="A2741" s="3">
        <v>152</v>
      </c>
      <c r="B2741" s="3" t="s">
        <v>508</v>
      </c>
      <c r="C2741" s="3" t="s">
        <v>3757</v>
      </c>
      <c r="D2741" s="3"/>
    </row>
    <row r="2742" spans="1:4">
      <c r="A2742" s="2">
        <v>152</v>
      </c>
      <c r="B2742" s="2" t="s">
        <v>508</v>
      </c>
      <c r="C2742" s="2" t="s">
        <v>3758</v>
      </c>
      <c r="D2742" s="2"/>
    </row>
    <row r="2743" spans="1:4">
      <c r="A2743" s="3">
        <v>152</v>
      </c>
      <c r="B2743" s="3" t="s">
        <v>508</v>
      </c>
      <c r="C2743" s="3" t="s">
        <v>3759</v>
      </c>
      <c r="D2743" s="3"/>
    </row>
    <row r="2744" spans="1:4">
      <c r="A2744" s="2">
        <v>152</v>
      </c>
      <c r="B2744" s="2" t="s">
        <v>508</v>
      </c>
      <c r="C2744" s="2">
        <f>Neq[E+ve×B]−∇Pe+R, (7)</f>
        <v>0</v>
      </c>
      <c r="D2744" s="2"/>
    </row>
    <row r="2745" spans="1:4">
      <c r="A2745" s="3">
        <v>152</v>
      </c>
      <c r="B2745" s="3" t="s">
        <v>508</v>
      </c>
      <c r="C2745" s="3">
        <f>Niq[E+vi×B]−∇Pi−R, (8)</f>
        <v>0</v>
      </c>
      <c r="D2745" s="3"/>
    </row>
    <row r="2746" spans="1:4">
      <c r="A2746" s="2">
        <v>152</v>
      </c>
      <c r="B2746" s="2" t="s">
        <v>508</v>
      </c>
      <c r="C2746" s="2" t="s">
        <v>3760</v>
      </c>
      <c r="D2746" s="2"/>
    </row>
    <row r="2747" spans="1:4">
      <c r="A2747" s="3">
        <v>152</v>
      </c>
      <c r="B2747" s="3" t="s">
        <v>508</v>
      </c>
      <c r="C2747" s="3" t="s">
        <v>3761</v>
      </c>
      <c r="D2747" s="3"/>
    </row>
    <row r="2748" spans="1:4">
      <c r="A2748" s="2">
        <v>152</v>
      </c>
      <c r="B2748" s="2" t="s">
        <v>508</v>
      </c>
      <c r="C2748" s="2">
        <f>j×B−∇P, (13)</f>
        <v>0</v>
      </c>
      <c r="D2748" s="2"/>
    </row>
    <row r="2749" spans="1:4">
      <c r="A2749" s="3">
        <v>152</v>
      </c>
      <c r="B2749" s="3" t="s">
        <v>508</v>
      </c>
      <c r="C2749" s="3" t="s">
        <v>3762</v>
      </c>
      <c r="D2749" s="3"/>
    </row>
    <row r="2750" spans="1:4">
      <c r="A2750" s="2">
        <v>152</v>
      </c>
      <c r="B2750" s="2" t="s">
        <v>508</v>
      </c>
      <c r="C2750" s="2" t="s">
        <v>3763</v>
      </c>
      <c r="D2750" s="2"/>
    </row>
    <row r="2751" spans="1:4">
      <c r="A2751" s="3">
        <v>152</v>
      </c>
      <c r="B2751" s="3" t="s">
        <v>508</v>
      </c>
      <c r="C2751" s="3" t="s">
        <v>3764</v>
      </c>
      <c r="D2751" s="3"/>
    </row>
    <row r="2752" spans="1:4">
      <c r="A2752" s="2">
        <v>152</v>
      </c>
      <c r="B2752" s="2" t="s">
        <v>508</v>
      </c>
      <c r="C2752" s="2" t="s">
        <v>3765</v>
      </c>
      <c r="D2752" s="2"/>
    </row>
    <row r="2753" spans="1:4">
      <c r="A2753" s="3">
        <v>152</v>
      </c>
      <c r="B2753" s="3" t="s">
        <v>508</v>
      </c>
      <c r="C2753" s="3" t="s">
        <v>3766</v>
      </c>
      <c r="D2753" s="3"/>
    </row>
    <row r="2754" spans="1:4">
      <c r="A2754" s="2">
        <v>152</v>
      </c>
      <c r="B2754" s="2" t="s">
        <v>508</v>
      </c>
      <c r="C2754" s="2" t="s">
        <v>3767</v>
      </c>
      <c r="D2754" s="2"/>
    </row>
    <row r="2755" spans="1:4">
      <c r="A2755" s="3">
        <v>152</v>
      </c>
      <c r="B2755" s="3" t="s">
        <v>508</v>
      </c>
      <c r="C2755" s="3" t="s">
        <v>3768</v>
      </c>
      <c r="D2755" s="3"/>
    </row>
    <row r="2756" spans="1:4">
      <c r="A2756" s="2">
        <v>152</v>
      </c>
      <c r="B2756" s="2" t="s">
        <v>508</v>
      </c>
      <c r="C2756" s="2" t="s">
        <v>3769</v>
      </c>
      <c r="D2756" s="2"/>
    </row>
    <row r="2757" spans="1:4">
      <c r="A2757" s="3">
        <v>152</v>
      </c>
      <c r="B2757" s="3" t="s">
        <v>508</v>
      </c>
      <c r="C2757" s="3" t="s">
        <v>3770</v>
      </c>
      <c r="D2757" s="3"/>
    </row>
    <row r="2758" spans="1:4">
      <c r="A2758" s="2">
        <v>152</v>
      </c>
      <c r="B2758" s="2" t="s">
        <v>508</v>
      </c>
      <c r="C2758" s="2" t="s">
        <v>3771</v>
      </c>
      <c r="D2758" s="2"/>
    </row>
    <row r="2759" spans="1:4">
      <c r="A2759" s="3">
        <v>152</v>
      </c>
      <c r="B2759" s="3" t="s">
        <v>508</v>
      </c>
      <c r="C2759" s="3" t="s">
        <v>3772</v>
      </c>
      <c r="D2759" s="3"/>
    </row>
    <row r="2760" spans="1:4">
      <c r="A2760" s="2">
        <v>152</v>
      </c>
      <c r="B2760" s="2" t="s">
        <v>508</v>
      </c>
      <c r="C2760" s="2" t="s">
        <v>3773</v>
      </c>
      <c r="D2760" s="2"/>
    </row>
    <row r="2761" spans="1:4">
      <c r="A2761" s="3">
        <v>152</v>
      </c>
      <c r="B2761" s="3" t="s">
        <v>508</v>
      </c>
      <c r="C2761" s="3" t="s">
        <v>3774</v>
      </c>
      <c r="D2761" s="3"/>
    </row>
    <row r="2762" spans="1:4">
      <c r="A2762" s="2">
        <v>152</v>
      </c>
      <c r="B2762" s="2" t="s">
        <v>508</v>
      </c>
      <c r="C2762" s="2">
        <f> 3.8 kV(Q≈4 kJ,P≈4MW); the pressure of the</f>
        <v>0</v>
      </c>
      <c r="D2762" s="2"/>
    </row>
    <row r="2763" spans="1:4">
      <c r="A2763" s="3">
        <v>152</v>
      </c>
      <c r="B2763" s="3" t="s">
        <v>508</v>
      </c>
      <c r="C2763" s="3" t="s">
        <v>3775</v>
      </c>
      <c r="D2763" s="3"/>
    </row>
    <row r="2764" spans="1:4">
      <c r="A2764" s="2">
        <v>152</v>
      </c>
      <c r="B2764" s="2" t="s">
        <v>508</v>
      </c>
      <c r="C2764" s="2" t="s">
        <v>3776</v>
      </c>
      <c r="D2764" s="2"/>
    </row>
    <row r="2765" spans="1:4">
      <c r="A2765" s="3">
        <v>152</v>
      </c>
      <c r="B2765" s="3" t="s">
        <v>508</v>
      </c>
      <c r="C2765" s="3" t="s">
        <v>3777</v>
      </c>
      <c r="D2765" s="3"/>
    </row>
    <row r="2766" spans="1:4">
      <c r="A2766" s="2">
        <v>152</v>
      </c>
      <c r="B2766" s="2" t="s">
        <v>508</v>
      </c>
      <c r="C2766" s="2" t="s">
        <v>3778</v>
      </c>
      <c r="D2766" s="2"/>
    </row>
    <row r="2767" spans="1:4">
      <c r="A2767" s="3">
        <v>152</v>
      </c>
      <c r="B2767" s="3" t="s">
        <v>508</v>
      </c>
      <c r="C2767" s="3" t="s">
        <v>3779</v>
      </c>
      <c r="D2767" s="3"/>
    </row>
    <row r="2768" spans="1:4">
      <c r="A2768" s="2">
        <v>152</v>
      </c>
      <c r="B2768" s="2" t="s">
        <v>508</v>
      </c>
      <c r="C2768" s="2" t="s">
        <v>3780</v>
      </c>
      <c r="D2768" s="2"/>
    </row>
    <row r="2769" spans="1:4">
      <c r="A2769" s="3">
        <v>152</v>
      </c>
      <c r="B2769" s="3" t="s">
        <v>508</v>
      </c>
      <c r="C2769" s="3" t="s">
        <v>3781</v>
      </c>
      <c r="D2769" s="3"/>
    </row>
    <row r="2770" spans="1:4">
      <c r="A2770" s="2">
        <v>152</v>
      </c>
      <c r="B2770" s="2" t="s">
        <v>508</v>
      </c>
      <c r="C2770" s="2" t="s">
        <v>3782</v>
      </c>
      <c r="D2770" s="2"/>
    </row>
    <row r="2771" spans="1:4">
      <c r="A2771" s="3">
        <v>152</v>
      </c>
      <c r="B2771" s="3" t="s">
        <v>508</v>
      </c>
      <c r="C2771" s="3" t="s">
        <v>3783</v>
      </c>
      <c r="D2771" s="3"/>
    </row>
    <row r="2772" spans="1:4">
      <c r="A2772" s="2">
        <v>152</v>
      </c>
      <c r="B2772" s="2" t="s">
        <v>508</v>
      </c>
      <c r="C2772" s="2" t="s">
        <v>3784</v>
      </c>
      <c r="D2772" s="2"/>
    </row>
    <row r="2773" spans="1:4">
      <c r="A2773" s="3">
        <v>152</v>
      </c>
      <c r="B2773" s="3" t="s">
        <v>508</v>
      </c>
      <c r="C2773" s="3" t="s">
        <v>3785</v>
      </c>
      <c r="D2773" s="3"/>
    </row>
    <row r="2774" spans="1:4">
      <c r="A2774" s="2">
        <v>152</v>
      </c>
      <c r="B2774" s="2" t="s">
        <v>508</v>
      </c>
      <c r="C2774" s="2" t="s">
        <v>3786</v>
      </c>
      <c r="D2774" s="2"/>
    </row>
    <row r="2775" spans="1:4">
      <c r="A2775" s="3">
        <v>152</v>
      </c>
      <c r="B2775" s="3" t="s">
        <v>508</v>
      </c>
      <c r="C2775" s="3" t="s">
        <v>3787</v>
      </c>
      <c r="D2775" s="3"/>
    </row>
    <row r="2776" spans="1:4">
      <c r="A2776" s="2">
        <v>152</v>
      </c>
      <c r="B2776" s="2" t="s">
        <v>508</v>
      </c>
      <c r="C2776" s="2" t="s">
        <v>3777</v>
      </c>
      <c r="D2776" s="2"/>
    </row>
    <row r="2777" spans="1:4">
      <c r="A2777" s="3">
        <v>152</v>
      </c>
      <c r="B2777" s="3" t="s">
        <v>508</v>
      </c>
      <c r="C2777" s="3" t="s">
        <v>3778</v>
      </c>
      <c r="D2777" s="3"/>
    </row>
    <row r="2778" spans="1:4">
      <c r="A2778" s="2">
        <v>152</v>
      </c>
      <c r="B2778" s="2" t="s">
        <v>508</v>
      </c>
      <c r="C2778" s="2" t="s">
        <v>3788</v>
      </c>
      <c r="D2778" s="2"/>
    </row>
    <row r="2779" spans="1:4">
      <c r="A2779" s="3">
        <v>152</v>
      </c>
      <c r="B2779" s="3" t="s">
        <v>508</v>
      </c>
      <c r="C2779" s="3" t="s">
        <v>3789</v>
      </c>
      <c r="D2779" s="3"/>
    </row>
    <row r="2780" spans="1:4">
      <c r="A2780" s="2">
        <v>152</v>
      </c>
      <c r="B2780" s="2" t="s">
        <v>508</v>
      </c>
      <c r="C2780" s="2" t="s">
        <v>3790</v>
      </c>
      <c r="D2780" s="2"/>
    </row>
    <row r="2781" spans="1:4">
      <c r="A2781" s="3">
        <v>152</v>
      </c>
      <c r="B2781" s="3" t="s">
        <v>508</v>
      </c>
      <c r="C2781" s="3" t="s">
        <v>3791</v>
      </c>
      <c r="D2781" s="3"/>
    </row>
    <row r="2782" spans="1:4">
      <c r="A2782" s="2">
        <v>152</v>
      </c>
      <c r="B2782" s="2" t="s">
        <v>508</v>
      </c>
      <c r="C2782" s="2" t="s">
        <v>3792</v>
      </c>
      <c r="D2782" s="2"/>
    </row>
    <row r="2783" spans="1:4">
      <c r="A2783" s="3">
        <v>152</v>
      </c>
      <c r="B2783" s="3" t="s">
        <v>508</v>
      </c>
      <c r="C2783" s="3" t="s">
        <v>3793</v>
      </c>
      <c r="D2783" s="3"/>
    </row>
    <row r="2784" spans="1:4">
      <c r="A2784" s="2">
        <v>152</v>
      </c>
      <c r="B2784" s="2" t="s">
        <v>508</v>
      </c>
      <c r="C2784" s="2" t="s">
        <v>3794</v>
      </c>
      <c r="D2784" s="2"/>
    </row>
    <row r="2785" spans="1:4">
      <c r="A2785" s="3">
        <v>152</v>
      </c>
      <c r="B2785" s="3" t="s">
        <v>508</v>
      </c>
      <c r="C2785" s="3" t="s">
        <v>3795</v>
      </c>
      <c r="D2785" s="3"/>
    </row>
    <row r="2786" spans="1:4">
      <c r="A2786" s="2">
        <v>152</v>
      </c>
      <c r="B2786" s="2" t="s">
        <v>508</v>
      </c>
      <c r="C2786" s="2" t="s">
        <v>3796</v>
      </c>
      <c r="D2786" s="2"/>
    </row>
    <row r="2787" spans="1:4">
      <c r="A2787" s="3">
        <v>153</v>
      </c>
      <c r="B2787" s="3" t="s">
        <v>435</v>
      </c>
      <c r="C2787" s="3" t="s">
        <v>3797</v>
      </c>
      <c r="D2787" s="3"/>
    </row>
    <row r="2788" spans="1:4">
      <c r="A2788" s="2">
        <v>153</v>
      </c>
      <c r="B2788" s="2" t="s">
        <v>435</v>
      </c>
      <c r="C2788" s="2" t="s">
        <v>3798</v>
      </c>
      <c r="D2788" s="2"/>
    </row>
    <row r="2789" spans="1:4">
      <c r="A2789" s="3">
        <v>153</v>
      </c>
      <c r="B2789" s="3" t="s">
        <v>435</v>
      </c>
      <c r="C2789" s="3" t="s">
        <v>3799</v>
      </c>
      <c r="D2789" s="3"/>
    </row>
    <row r="2790" spans="1:4">
      <c r="A2790" s="2">
        <v>154</v>
      </c>
      <c r="B2790" s="2" t="s">
        <v>589</v>
      </c>
      <c r="C2790" s="2" t="s">
        <v>3800</v>
      </c>
      <c r="D2790" s="2"/>
    </row>
    <row r="2791" spans="1:4">
      <c r="A2791" s="3">
        <v>154</v>
      </c>
      <c r="B2791" s="3" t="s">
        <v>589</v>
      </c>
      <c r="C2791" s="3" t="s">
        <v>3801</v>
      </c>
      <c r="D2791" s="3"/>
    </row>
    <row r="2792" spans="1:4">
      <c r="A2792" s="2">
        <v>154</v>
      </c>
      <c r="B2792" s="2" t="s">
        <v>589</v>
      </c>
      <c r="C2792" s="2" t="s">
        <v>3802</v>
      </c>
      <c r="D2792" s="2"/>
    </row>
    <row r="2793" spans="1:4">
      <c r="A2793" s="3">
        <v>154</v>
      </c>
      <c r="B2793" s="3" t="s">
        <v>589</v>
      </c>
      <c r="C2793" s="3" t="s">
        <v>3803</v>
      </c>
      <c r="D2793" s="3"/>
    </row>
    <row r="2794" spans="1:4">
      <c r="A2794" s="2">
        <v>154</v>
      </c>
      <c r="B2794" s="2" t="s">
        <v>589</v>
      </c>
      <c r="C2794" s="2" t="s">
        <v>3804</v>
      </c>
      <c r="D2794" s="2"/>
    </row>
    <row r="2795" spans="1:4">
      <c r="A2795" s="3">
        <v>154</v>
      </c>
      <c r="B2795" s="3" t="s">
        <v>589</v>
      </c>
      <c r="C2795" s="3" t="s">
        <v>3805</v>
      </c>
      <c r="D2795" s="3"/>
    </row>
    <row r="2796" spans="1:4">
      <c r="A2796" s="2">
        <v>154</v>
      </c>
      <c r="B2796" s="2" t="s">
        <v>589</v>
      </c>
      <c r="C2796" s="2" t="s">
        <v>3806</v>
      </c>
      <c r="D2796" s="2"/>
    </row>
    <row r="2797" spans="1:4">
      <c r="A2797" s="3">
        <v>155</v>
      </c>
      <c r="B2797" s="3" t="s">
        <v>400</v>
      </c>
      <c r="C2797" s="3" t="s">
        <v>3807</v>
      </c>
      <c r="D2797" s="3"/>
    </row>
    <row r="2798" spans="1:4">
      <c r="A2798" s="2">
        <v>155</v>
      </c>
      <c r="B2798" s="2" t="s">
        <v>400</v>
      </c>
      <c r="C2798" s="2" t="s">
        <v>3808</v>
      </c>
      <c r="D2798" s="2"/>
    </row>
    <row r="2799" spans="1:4">
      <c r="A2799" s="3">
        <v>155</v>
      </c>
      <c r="B2799" s="3" t="s">
        <v>400</v>
      </c>
      <c r="C2799" s="3" t="s">
        <v>3809</v>
      </c>
      <c r="D2799" s="3"/>
    </row>
    <row r="2800" spans="1:4">
      <c r="A2800" s="2">
        <v>155</v>
      </c>
      <c r="B2800" s="2" t="s">
        <v>400</v>
      </c>
      <c r="C2800" s="2" t="s">
        <v>3810</v>
      </c>
      <c r="D2800" s="2"/>
    </row>
    <row r="2801" spans="1:4">
      <c r="A2801" s="3">
        <v>155</v>
      </c>
      <c r="B2801" s="3" t="s">
        <v>400</v>
      </c>
      <c r="C2801" s="3" t="s">
        <v>3811</v>
      </c>
      <c r="D2801" s="3"/>
    </row>
    <row r="2802" spans="1:4">
      <c r="A2802" s="2">
        <v>155</v>
      </c>
      <c r="B2802" s="2" t="s">
        <v>400</v>
      </c>
      <c r="C2802" s="2" t="s">
        <v>3812</v>
      </c>
      <c r="D2802" s="2"/>
    </row>
    <row r="2803" spans="1:4">
      <c r="A2803" s="3">
        <v>155</v>
      </c>
      <c r="B2803" s="3" t="s">
        <v>400</v>
      </c>
      <c r="C2803" s="3" t="s">
        <v>3813</v>
      </c>
      <c r="D2803" s="3"/>
    </row>
    <row r="2804" spans="1:4">
      <c r="A2804" s="2">
        <v>155</v>
      </c>
      <c r="B2804" s="2" t="s">
        <v>400</v>
      </c>
      <c r="C2804" s="2" t="s">
        <v>2990</v>
      </c>
      <c r="D2804" s="2"/>
    </row>
    <row r="2805" spans="1:4">
      <c r="A2805" s="3">
        <v>155</v>
      </c>
      <c r="B2805" s="3" t="s">
        <v>400</v>
      </c>
      <c r="C2805" s="3" t="s">
        <v>2991</v>
      </c>
      <c r="D2805" s="3"/>
    </row>
    <row r="2806" spans="1:4">
      <c r="A2806" s="2">
        <v>155</v>
      </c>
      <c r="B2806" s="2" t="s">
        <v>400</v>
      </c>
      <c r="C2806" s="2" t="s">
        <v>3814</v>
      </c>
      <c r="D2806" s="2"/>
    </row>
    <row r="2807" spans="1:4">
      <c r="A2807" s="3">
        <v>155</v>
      </c>
      <c r="B2807" s="3" t="s">
        <v>400</v>
      </c>
      <c r="C2807" s="3" t="s">
        <v>3815</v>
      </c>
      <c r="D2807" s="3"/>
    </row>
    <row r="2808" spans="1:4">
      <c r="A2808" s="2">
        <v>155</v>
      </c>
      <c r="B2808" s="2" t="s">
        <v>400</v>
      </c>
      <c r="C2808" s="2" t="s">
        <v>2993</v>
      </c>
      <c r="D2808" s="2"/>
    </row>
    <row r="2809" spans="1:4">
      <c r="A2809" s="3">
        <v>155</v>
      </c>
      <c r="B2809" s="3" t="s">
        <v>400</v>
      </c>
      <c r="C2809" s="3" t="s">
        <v>3816</v>
      </c>
      <c r="D2809" s="3"/>
    </row>
    <row r="2810" spans="1:4">
      <c r="A2810" s="2">
        <v>156</v>
      </c>
      <c r="B2810" s="2" t="s">
        <v>560</v>
      </c>
      <c r="C2810" s="2" t="s">
        <v>3817</v>
      </c>
      <c r="D2810" s="2"/>
    </row>
    <row r="2811" spans="1:4">
      <c r="A2811" s="3">
        <v>156</v>
      </c>
      <c r="B2811" s="3" t="s">
        <v>560</v>
      </c>
      <c r="C2811" s="3" t="s">
        <v>3818</v>
      </c>
      <c r="D2811" s="3"/>
    </row>
    <row r="2812" spans="1:4">
      <c r="A2812" s="2">
        <v>156</v>
      </c>
      <c r="B2812" s="2" t="s">
        <v>560</v>
      </c>
      <c r="C2812" s="2" t="s">
        <v>3819</v>
      </c>
      <c r="D2812" s="2"/>
    </row>
    <row r="2813" spans="1:4">
      <c r="A2813" s="3">
        <v>156</v>
      </c>
      <c r="B2813" s="3" t="s">
        <v>560</v>
      </c>
      <c r="C2813" s="3" t="s">
        <v>3820</v>
      </c>
      <c r="D2813" s="3"/>
    </row>
    <row r="2814" spans="1:4">
      <c r="A2814" s="2">
        <v>156</v>
      </c>
      <c r="B2814" s="2" t="s">
        <v>560</v>
      </c>
      <c r="C2814" s="2" t="s">
        <v>3821</v>
      </c>
      <c r="D2814" s="2"/>
    </row>
    <row r="2815" spans="1:4">
      <c r="A2815" s="3">
        <v>156</v>
      </c>
      <c r="B2815" s="3" t="s">
        <v>560</v>
      </c>
      <c r="C2815" s="3" t="s">
        <v>3822</v>
      </c>
      <c r="D2815" s="3"/>
    </row>
    <row r="2816" spans="1:4">
      <c r="A2816" s="2">
        <v>156</v>
      </c>
      <c r="B2816" s="2" t="s">
        <v>560</v>
      </c>
      <c r="C2816" s="2" t="s">
        <v>3823</v>
      </c>
      <c r="D2816" s="2"/>
    </row>
    <row r="2817" spans="1:4">
      <c r="A2817" s="3">
        <v>156</v>
      </c>
      <c r="B2817" s="3" t="s">
        <v>560</v>
      </c>
      <c r="C2817" s="3" t="s">
        <v>3824</v>
      </c>
      <c r="D2817" s="3"/>
    </row>
    <row r="2818" spans="1:4">
      <c r="A2818" s="2">
        <v>156</v>
      </c>
      <c r="B2818" s="2" t="s">
        <v>560</v>
      </c>
      <c r="C2818" s="2" t="s">
        <v>3825</v>
      </c>
      <c r="D2818" s="2"/>
    </row>
    <row r="2819" spans="1:4">
      <c r="A2819" s="3">
        <v>156</v>
      </c>
      <c r="B2819" s="3" t="s">
        <v>560</v>
      </c>
      <c r="C2819" s="3">
        <f>0.2 T,RM=9,Rs=0.5 V.TABLE I. MCX operating range.</f>
        <v>0</v>
      </c>
      <c r="D2819" s="3"/>
    </row>
    <row r="2820" spans="1:4">
      <c r="A2820" s="2">
        <v>156</v>
      </c>
      <c r="B2820" s="2" t="s">
        <v>560</v>
      </c>
      <c r="C2820" s="2" t="s">
        <v>3826</v>
      </c>
      <c r="D2820" s="2"/>
    </row>
    <row r="2821" spans="1:4">
      <c r="A2821" s="3">
        <v>156</v>
      </c>
      <c r="B2821" s="3" t="s">
        <v>560</v>
      </c>
      <c r="C2821" s="3" t="s">
        <v>3827</v>
      </c>
      <c r="D2821" s="3"/>
    </row>
    <row r="2822" spans="1:4">
      <c r="A2822" s="2">
        <v>156</v>
      </c>
      <c r="B2822" s="2" t="s">
        <v>560</v>
      </c>
      <c r="C2822" s="2" t="s">
        <v>3828</v>
      </c>
      <c r="D2822" s="2"/>
    </row>
    <row r="2823" spans="1:4">
      <c r="A2823" s="3">
        <v>156</v>
      </c>
      <c r="B2823" s="3" t="s">
        <v>560</v>
      </c>
      <c r="C2823" s="3" t="s">
        <v>3829</v>
      </c>
      <c r="D2823" s="3"/>
    </row>
    <row r="2824" spans="1:4">
      <c r="A2824" s="2">
        <v>156</v>
      </c>
      <c r="B2824" s="2" t="s">
        <v>560</v>
      </c>
      <c r="C2824" s="2" t="s">
        <v>3830</v>
      </c>
      <c r="D2824" s="2"/>
    </row>
    <row r="2825" spans="1:4">
      <c r="A2825" s="3">
        <v>156</v>
      </c>
      <c r="B2825" s="3" t="s">
        <v>560</v>
      </c>
      <c r="C2825" s="3" t="s">
        <v>3831</v>
      </c>
      <c r="D2825" s="3"/>
    </row>
    <row r="2826" spans="1:4">
      <c r="A2826" s="2">
        <v>156</v>
      </c>
      <c r="B2826" s="2" t="s">
        <v>560</v>
      </c>
      <c r="C2826" s="2" t="s">
        <v>3832</v>
      </c>
      <c r="D2826" s="2"/>
    </row>
    <row r="2827" spans="1:4">
      <c r="A2827" s="3">
        <v>156</v>
      </c>
      <c r="B2827" s="3" t="s">
        <v>560</v>
      </c>
      <c r="C2827" s="3" t="s">
        <v>3833</v>
      </c>
      <c r="D2827" s="3"/>
    </row>
    <row r="2828" spans="1:4">
      <c r="A2828" s="2">
        <v>156</v>
      </c>
      <c r="B2828" s="2" t="s">
        <v>560</v>
      </c>
      <c r="C2828" s="2" t="s">
        <v>3834</v>
      </c>
      <c r="D2828" s="2"/>
    </row>
    <row r="2829" spans="1:4">
      <c r="A2829" s="3">
        <v>156</v>
      </c>
      <c r="B2829" s="3" t="s">
        <v>560</v>
      </c>
      <c r="C2829" s="3" t="s">
        <v>3835</v>
      </c>
      <c r="D2829" s="3"/>
    </row>
    <row r="2830" spans="1:4">
      <c r="A2830" s="2">
        <v>156</v>
      </c>
      <c r="B2830" s="2" t="s">
        <v>560</v>
      </c>
      <c r="C2830" s="2">
        <f>1.6 m,n=1020m−3,Te=Ti=30eV,uw=100 km/s.</f>
        <v>0</v>
      </c>
      <c r="D2830" s="2"/>
    </row>
    <row r="2831" spans="1:4">
      <c r="A2831" s="3">
        <v>157</v>
      </c>
      <c r="B2831" s="3" t="s">
        <v>556</v>
      </c>
      <c r="C2831" s="3" t="s">
        <v>3817</v>
      </c>
      <c r="D2831" s="3"/>
    </row>
    <row r="2832" spans="1:4">
      <c r="A2832" s="2">
        <v>157</v>
      </c>
      <c r="B2832" s="2" t="s">
        <v>556</v>
      </c>
      <c r="C2832" s="2" t="s">
        <v>3818</v>
      </c>
      <c r="D2832" s="2"/>
    </row>
    <row r="2833" spans="1:4">
      <c r="A2833" s="3">
        <v>157</v>
      </c>
      <c r="B2833" s="3" t="s">
        <v>556</v>
      </c>
      <c r="C2833" s="3" t="s">
        <v>3819</v>
      </c>
      <c r="D2833" s="3"/>
    </row>
    <row r="2834" spans="1:4">
      <c r="A2834" s="2">
        <v>157</v>
      </c>
      <c r="B2834" s="2" t="s">
        <v>556</v>
      </c>
      <c r="C2834" s="2" t="s">
        <v>3820</v>
      </c>
      <c r="D2834" s="2"/>
    </row>
    <row r="2835" spans="1:4">
      <c r="A2835" s="3">
        <v>157</v>
      </c>
      <c r="B2835" s="3" t="s">
        <v>556</v>
      </c>
      <c r="C2835" s="3" t="s">
        <v>3821</v>
      </c>
      <c r="D2835" s="3"/>
    </row>
    <row r="2836" spans="1:4">
      <c r="A2836" s="2">
        <v>157</v>
      </c>
      <c r="B2836" s="2" t="s">
        <v>556</v>
      </c>
      <c r="C2836" s="2" t="s">
        <v>3822</v>
      </c>
      <c r="D2836" s="2"/>
    </row>
    <row r="2837" spans="1:4">
      <c r="A2837" s="3">
        <v>157</v>
      </c>
      <c r="B2837" s="3" t="s">
        <v>556</v>
      </c>
      <c r="C2837" s="3" t="s">
        <v>3836</v>
      </c>
      <c r="D2837" s="3"/>
    </row>
    <row r="2838" spans="1:4">
      <c r="A2838" s="2">
        <v>157</v>
      </c>
      <c r="B2838" s="2" t="s">
        <v>556</v>
      </c>
      <c r="C2838" s="2" t="s">
        <v>3824</v>
      </c>
      <c r="D2838" s="2"/>
    </row>
    <row r="2839" spans="1:4">
      <c r="A2839" s="3">
        <v>157</v>
      </c>
      <c r="B2839" s="3" t="s">
        <v>556</v>
      </c>
      <c r="C2839" s="3" t="s">
        <v>3825</v>
      </c>
      <c r="D2839" s="3"/>
    </row>
    <row r="2840" spans="1:4">
      <c r="A2840" s="2">
        <v>157</v>
      </c>
      <c r="B2840" s="2" t="s">
        <v>556</v>
      </c>
      <c r="C2840" s="2">
        <f>0.2 T,RM=9,Rs=0.5 V.TABLE I. MCX operating range.</f>
        <v>0</v>
      </c>
      <c r="D2840" s="2"/>
    </row>
    <row r="2841" spans="1:4">
      <c r="A2841" s="3">
        <v>157</v>
      </c>
      <c r="B2841" s="3" t="s">
        <v>556</v>
      </c>
      <c r="C2841" s="3" t="s">
        <v>3826</v>
      </c>
      <c r="D2841" s="3"/>
    </row>
    <row r="2842" spans="1:4">
      <c r="A2842" s="2">
        <v>157</v>
      </c>
      <c r="B2842" s="2" t="s">
        <v>556</v>
      </c>
      <c r="C2842" s="2" t="s">
        <v>3827</v>
      </c>
      <c r="D2842" s="2"/>
    </row>
    <row r="2843" spans="1:4">
      <c r="A2843" s="3">
        <v>157</v>
      </c>
      <c r="B2843" s="3" t="s">
        <v>556</v>
      </c>
      <c r="C2843" s="3" t="s">
        <v>3828</v>
      </c>
      <c r="D2843" s="3"/>
    </row>
    <row r="2844" spans="1:4">
      <c r="A2844" s="2">
        <v>157</v>
      </c>
      <c r="B2844" s="2" t="s">
        <v>556</v>
      </c>
      <c r="C2844" s="2" t="s">
        <v>3829</v>
      </c>
      <c r="D2844" s="2"/>
    </row>
    <row r="2845" spans="1:4">
      <c r="A2845" s="3">
        <v>157</v>
      </c>
      <c r="B2845" s="3" t="s">
        <v>556</v>
      </c>
      <c r="C2845" s="3" t="s">
        <v>3830</v>
      </c>
      <c r="D2845" s="3"/>
    </row>
    <row r="2846" spans="1:4">
      <c r="A2846" s="2">
        <v>157</v>
      </c>
      <c r="B2846" s="2" t="s">
        <v>556</v>
      </c>
      <c r="C2846" s="2" t="s">
        <v>3831</v>
      </c>
      <c r="D2846" s="2"/>
    </row>
    <row r="2847" spans="1:4">
      <c r="A2847" s="3">
        <v>157</v>
      </c>
      <c r="B2847" s="3" t="s">
        <v>556</v>
      </c>
      <c r="C2847" s="3" t="s">
        <v>3832</v>
      </c>
      <c r="D2847" s="3"/>
    </row>
    <row r="2848" spans="1:4">
      <c r="A2848" s="2">
        <v>157</v>
      </c>
      <c r="B2848" s="2" t="s">
        <v>556</v>
      </c>
      <c r="C2848" s="2" t="s">
        <v>3833</v>
      </c>
      <c r="D2848" s="2"/>
    </row>
    <row r="2849" spans="1:4">
      <c r="A2849" s="3">
        <v>157</v>
      </c>
      <c r="B2849" s="3" t="s">
        <v>556</v>
      </c>
      <c r="C2849" s="3" t="s">
        <v>3834</v>
      </c>
      <c r="D2849" s="3"/>
    </row>
    <row r="2850" spans="1:4">
      <c r="A2850" s="2">
        <v>157</v>
      </c>
      <c r="B2850" s="2" t="s">
        <v>556</v>
      </c>
      <c r="C2850" s="2" t="s">
        <v>3835</v>
      </c>
      <c r="D2850" s="2"/>
    </row>
    <row r="2851" spans="1:4">
      <c r="A2851" s="3">
        <v>157</v>
      </c>
      <c r="B2851" s="3" t="s">
        <v>556</v>
      </c>
      <c r="C2851" s="3">
        <f>1.6 m,n=1020m−3,Te=Ti=30eV,uw=100 km/s.</f>
        <v>0</v>
      </c>
      <c r="D2851" s="3"/>
    </row>
    <row r="2852" spans="1:4">
      <c r="A2852" s="2">
        <v>158</v>
      </c>
      <c r="B2852" s="2" t="s">
        <v>521</v>
      </c>
      <c r="C2852" s="2" t="s">
        <v>3837</v>
      </c>
      <c r="D2852" s="2"/>
    </row>
    <row r="2853" spans="1:4">
      <c r="A2853" s="3">
        <v>158</v>
      </c>
      <c r="B2853" s="3" t="s">
        <v>521</v>
      </c>
      <c r="C2853" s="3" t="s">
        <v>3838</v>
      </c>
      <c r="D2853" s="3"/>
    </row>
    <row r="2854" spans="1:4">
      <c r="A2854" s="2">
        <v>158</v>
      </c>
      <c r="B2854" s="2" t="s">
        <v>521</v>
      </c>
      <c r="C2854" s="2" t="s">
        <v>3839</v>
      </c>
      <c r="D2854" s="2"/>
    </row>
    <row r="2855" spans="1:4">
      <c r="A2855" s="3">
        <v>158</v>
      </c>
      <c r="B2855" s="3" t="s">
        <v>521</v>
      </c>
      <c r="C2855" s="3" t="s">
        <v>3840</v>
      </c>
      <c r="D2855" s="3"/>
    </row>
    <row r="2856" spans="1:4">
      <c r="A2856" s="2">
        <v>158</v>
      </c>
      <c r="B2856" s="2" t="s">
        <v>521</v>
      </c>
      <c r="C2856" s="2" t="s">
        <v>3841</v>
      </c>
      <c r="D2856" s="2"/>
    </row>
    <row r="2857" spans="1:4">
      <c r="A2857" s="3">
        <v>158</v>
      </c>
      <c r="B2857" s="3" t="s">
        <v>521</v>
      </c>
      <c r="C2857" s="3" t="s">
        <v>3842</v>
      </c>
      <c r="D2857" s="3"/>
    </row>
    <row r="2858" spans="1:4">
      <c r="A2858" s="2">
        <v>158</v>
      </c>
      <c r="B2858" s="2" t="s">
        <v>521</v>
      </c>
      <c r="C2858" s="2" t="s">
        <v>3843</v>
      </c>
      <c r="D2858" s="2"/>
    </row>
    <row r="2859" spans="1:4">
      <c r="A2859" s="3">
        <v>158</v>
      </c>
      <c r="B2859" s="3" t="s">
        <v>521</v>
      </c>
      <c r="C2859" s="3" t="s">
        <v>3844</v>
      </c>
      <c r="D2859" s="3"/>
    </row>
    <row r="2860" spans="1:4">
      <c r="A2860" s="2">
        <v>158</v>
      </c>
      <c r="B2860" s="2" t="s">
        <v>521</v>
      </c>
      <c r="C2860" s="2" t="s">
        <v>3845</v>
      </c>
      <c r="D2860" s="2"/>
    </row>
    <row r="2861" spans="1:4">
      <c r="A2861" s="3">
        <v>158</v>
      </c>
      <c r="B2861" s="3" t="s">
        <v>521</v>
      </c>
      <c r="C2861" s="3" t="s">
        <v>3846</v>
      </c>
      <c r="D2861" s="3"/>
    </row>
    <row r="2862" spans="1:4">
      <c r="A2862" s="2">
        <v>158</v>
      </c>
      <c r="B2862" s="2" t="s">
        <v>521</v>
      </c>
      <c r="C2862" s="2" t="s">
        <v>3847</v>
      </c>
      <c r="D2862" s="2"/>
    </row>
    <row r="2863" spans="1:4">
      <c r="A2863" s="3">
        <v>158</v>
      </c>
      <c r="B2863" s="3" t="s">
        <v>521</v>
      </c>
      <c r="C2863" s="3" t="s">
        <v>3848</v>
      </c>
      <c r="D2863" s="3"/>
    </row>
    <row r="2864" spans="1:4">
      <c r="A2864" s="2">
        <v>158</v>
      </c>
      <c r="B2864" s="2" t="s">
        <v>521</v>
      </c>
      <c r="C2864" s="2" t="s">
        <v>3849</v>
      </c>
      <c r="D2864" s="2"/>
    </row>
    <row r="2865" spans="1:4">
      <c r="A2865" s="3">
        <v>158</v>
      </c>
      <c r="B2865" s="3" t="s">
        <v>521</v>
      </c>
      <c r="C2865" s="3" t="s">
        <v>3850</v>
      </c>
      <c r="D2865" s="3"/>
    </row>
    <row r="2866" spans="1:4">
      <c r="A2866" s="2">
        <v>158</v>
      </c>
      <c r="B2866" s="2" t="s">
        <v>521</v>
      </c>
      <c r="C2866" s="2" t="s">
        <v>3851</v>
      </c>
      <c r="D2866" s="2"/>
    </row>
    <row r="2867" spans="1:4">
      <c r="A2867" s="3">
        <v>158</v>
      </c>
      <c r="B2867" s="3" t="s">
        <v>521</v>
      </c>
      <c r="C2867" s="3" t="s">
        <v>3852</v>
      </c>
      <c r="D2867" s="3"/>
    </row>
    <row r="2868" spans="1:4">
      <c r="A2868" s="2">
        <v>158</v>
      </c>
      <c r="B2868" s="2" t="s">
        <v>521</v>
      </c>
      <c r="C2868" s="2" t="s">
        <v>3853</v>
      </c>
      <c r="D2868" s="2"/>
    </row>
    <row r="2869" spans="1:4">
      <c r="A2869" s="3">
        <v>158</v>
      </c>
      <c r="B2869" s="3" t="s">
        <v>521</v>
      </c>
      <c r="C2869" s="3" t="s">
        <v>3854</v>
      </c>
      <c r="D2869" s="3"/>
    </row>
    <row r="2870" spans="1:4">
      <c r="A2870" s="2">
        <v>158</v>
      </c>
      <c r="B2870" s="2" t="s">
        <v>521</v>
      </c>
      <c r="C2870" s="2" t="s">
        <v>3855</v>
      </c>
      <c r="D2870" s="2"/>
    </row>
    <row r="2871" spans="1:4">
      <c r="A2871" s="3">
        <v>158</v>
      </c>
      <c r="B2871" s="3" t="s">
        <v>521</v>
      </c>
      <c r="C2871" s="3" t="s">
        <v>3856</v>
      </c>
      <c r="D2871" s="3"/>
    </row>
    <row r="2872" spans="1:4">
      <c r="A2872" s="2">
        <v>158</v>
      </c>
      <c r="B2872" s="2" t="s">
        <v>521</v>
      </c>
      <c r="C2872" s="2" t="s">
        <v>3857</v>
      </c>
      <c r="D2872" s="2"/>
    </row>
    <row r="2873" spans="1:4">
      <c r="A2873" s="3">
        <v>158</v>
      </c>
      <c r="B2873" s="3" t="s">
        <v>521</v>
      </c>
      <c r="C2873" s="3" t="s">
        <v>3858</v>
      </c>
      <c r="D2873" s="3"/>
    </row>
    <row r="2874" spans="1:4">
      <c r="A2874" s="2">
        <v>158</v>
      </c>
      <c r="B2874" s="2" t="s">
        <v>521</v>
      </c>
      <c r="C2874" s="2" t="s">
        <v>3859</v>
      </c>
      <c r="D2874" s="2"/>
    </row>
    <row r="2875" spans="1:4">
      <c r="A2875" s="3">
        <v>158</v>
      </c>
      <c r="B2875" s="3" t="s">
        <v>521</v>
      </c>
      <c r="C2875" s="3" t="s">
        <v>3860</v>
      </c>
      <c r="D2875" s="3"/>
    </row>
    <row r="2876" spans="1:4">
      <c r="A2876" s="2">
        <v>158</v>
      </c>
      <c r="B2876" s="2" t="s">
        <v>521</v>
      </c>
      <c r="C2876" s="2" t="s">
        <v>3861</v>
      </c>
      <c r="D2876" s="2"/>
    </row>
    <row r="2877" spans="1:4">
      <c r="A2877" s="3">
        <v>158</v>
      </c>
      <c r="B2877" s="3" t="s">
        <v>521</v>
      </c>
      <c r="C2877" s="3" t="s">
        <v>3862</v>
      </c>
      <c r="D2877" s="3"/>
    </row>
    <row r="2878" spans="1:4">
      <c r="A2878" s="2">
        <v>158</v>
      </c>
      <c r="B2878" s="2" t="s">
        <v>521</v>
      </c>
      <c r="C2878" s="2" t="s">
        <v>3863</v>
      </c>
      <c r="D2878" s="2"/>
    </row>
    <row r="2879" spans="1:4">
      <c r="A2879" s="3">
        <v>158</v>
      </c>
      <c r="B2879" s="3" t="s">
        <v>521</v>
      </c>
      <c r="C2879" s="3" t="s">
        <v>3864</v>
      </c>
      <c r="D2879" s="3"/>
    </row>
    <row r="2880" spans="1:4">
      <c r="A2880" s="2">
        <v>158</v>
      </c>
      <c r="B2880" s="2" t="s">
        <v>521</v>
      </c>
      <c r="C2880" s="2" t="s">
        <v>3865</v>
      </c>
      <c r="D2880" s="2"/>
    </row>
    <row r="2881" spans="1:4">
      <c r="A2881" s="3">
        <v>158</v>
      </c>
      <c r="B2881" s="3" t="s">
        <v>521</v>
      </c>
      <c r="C2881" s="3" t="s">
        <v>3866</v>
      </c>
      <c r="D2881" s="3"/>
    </row>
    <row r="2882" spans="1:4">
      <c r="A2882" s="2">
        <v>158</v>
      </c>
      <c r="B2882" s="2" t="s">
        <v>521</v>
      </c>
      <c r="C2882" s="2" t="s">
        <v>3867</v>
      </c>
      <c r="D2882" s="2"/>
    </row>
    <row r="2883" spans="1:4">
      <c r="A2883" s="3">
        <v>158</v>
      </c>
      <c r="B2883" s="3" t="s">
        <v>521</v>
      </c>
      <c r="C2883" s="3" t="s">
        <v>3868</v>
      </c>
      <c r="D2883" s="3"/>
    </row>
    <row r="2884" spans="1:4">
      <c r="A2884" s="2">
        <v>158</v>
      </c>
      <c r="B2884" s="2" t="s">
        <v>521</v>
      </c>
      <c r="C2884" s="2" t="s">
        <v>3869</v>
      </c>
      <c r="D2884" s="2"/>
    </row>
    <row r="2885" spans="1:4">
      <c r="A2885" s="3">
        <v>158</v>
      </c>
      <c r="B2885" s="3" t="s">
        <v>521</v>
      </c>
      <c r="C2885" s="3" t="s">
        <v>3870</v>
      </c>
      <c r="D2885" s="3"/>
    </row>
    <row r="2886" spans="1:4">
      <c r="A2886" s="2">
        <v>158</v>
      </c>
      <c r="B2886" s="2" t="s">
        <v>521</v>
      </c>
      <c r="C2886" s="2" t="s">
        <v>3871</v>
      </c>
      <c r="D2886" s="2"/>
    </row>
    <row r="2887" spans="1:4">
      <c r="A2887" s="3">
        <v>158</v>
      </c>
      <c r="B2887" s="3" t="s">
        <v>521</v>
      </c>
      <c r="C2887" s="3" t="s">
        <v>3872</v>
      </c>
      <c r="D2887" s="3"/>
    </row>
    <row r="2888" spans="1:4">
      <c r="A2888" s="2">
        <v>158</v>
      </c>
      <c r="B2888" s="2" t="s">
        <v>521</v>
      </c>
      <c r="C2888" s="2" t="s">
        <v>3873</v>
      </c>
      <c r="D2888" s="2"/>
    </row>
    <row r="2889" spans="1:4">
      <c r="A2889" s="3">
        <v>158</v>
      </c>
      <c r="B2889" s="3" t="s">
        <v>521</v>
      </c>
      <c r="C2889" s="3" t="s">
        <v>3874</v>
      </c>
      <c r="D2889" s="3"/>
    </row>
    <row r="2890" spans="1:4">
      <c r="A2890" s="2">
        <v>158</v>
      </c>
      <c r="B2890" s="2" t="s">
        <v>521</v>
      </c>
      <c r="C2890" s="2" t="s">
        <v>3875</v>
      </c>
      <c r="D2890" s="2"/>
    </row>
    <row r="2891" spans="1:4">
      <c r="A2891" s="3">
        <v>158</v>
      </c>
      <c r="B2891" s="3" t="s">
        <v>521</v>
      </c>
      <c r="C2891" s="3" t="s">
        <v>3876</v>
      </c>
      <c r="D2891" s="3"/>
    </row>
    <row r="2892" spans="1:4">
      <c r="A2892" s="2">
        <v>158</v>
      </c>
      <c r="B2892" s="2" t="s">
        <v>521</v>
      </c>
      <c r="C2892" s="2" t="s">
        <v>3877</v>
      </c>
      <c r="D2892" s="2"/>
    </row>
    <row r="2893" spans="1:4">
      <c r="A2893" s="3">
        <v>158</v>
      </c>
      <c r="B2893" s="3" t="s">
        <v>521</v>
      </c>
      <c r="C2893" s="3" t="s">
        <v>3878</v>
      </c>
      <c r="D2893" s="3"/>
    </row>
    <row r="2894" spans="1:4">
      <c r="A2894" s="2">
        <v>158</v>
      </c>
      <c r="B2894" s="2" t="s">
        <v>521</v>
      </c>
      <c r="C2894" s="2" t="s">
        <v>3879</v>
      </c>
      <c r="D2894" s="2"/>
    </row>
    <row r="2895" spans="1:4">
      <c r="A2895" s="3">
        <v>158</v>
      </c>
      <c r="B2895" s="3" t="s">
        <v>521</v>
      </c>
      <c r="C2895" s="3" t="s">
        <v>3880</v>
      </c>
      <c r="D2895" s="3"/>
    </row>
    <row r="2896" spans="1:4">
      <c r="A2896" s="2">
        <v>158</v>
      </c>
      <c r="B2896" s="2" t="s">
        <v>521</v>
      </c>
      <c r="C2896" s="2" t="s">
        <v>3881</v>
      </c>
      <c r="D2896" s="2"/>
    </row>
    <row r="2897" spans="1:4">
      <c r="A2897" s="3">
        <v>158</v>
      </c>
      <c r="B2897" s="3" t="s">
        <v>521</v>
      </c>
      <c r="C2897" s="3" t="s">
        <v>3882</v>
      </c>
      <c r="D2897" s="3"/>
    </row>
    <row r="2898" spans="1:4">
      <c r="A2898" s="2">
        <v>158</v>
      </c>
      <c r="B2898" s="2" t="s">
        <v>521</v>
      </c>
      <c r="C2898" s="2" t="s">
        <v>3883</v>
      </c>
      <c r="D2898" s="2"/>
    </row>
    <row r="2899" spans="1:4">
      <c r="A2899" s="3">
        <v>158</v>
      </c>
      <c r="B2899" s="3" t="s">
        <v>521</v>
      </c>
      <c r="C2899" s="3" t="s">
        <v>3884</v>
      </c>
      <c r="D2899" s="3"/>
    </row>
    <row r="2900" spans="1:4">
      <c r="A2900" s="2">
        <v>158</v>
      </c>
      <c r="B2900" s="2" t="s">
        <v>521</v>
      </c>
      <c r="C2900" s="2" t="s">
        <v>3885</v>
      </c>
      <c r="D2900" s="2"/>
    </row>
    <row r="2901" spans="1:4">
      <c r="A2901" s="3">
        <v>158</v>
      </c>
      <c r="B2901" s="3" t="s">
        <v>521</v>
      </c>
      <c r="C2901" s="3" t="s">
        <v>3886</v>
      </c>
      <c r="D2901" s="3"/>
    </row>
    <row r="2902" spans="1:4">
      <c r="A2902" s="2">
        <v>159</v>
      </c>
      <c r="B2902" s="2" t="s">
        <v>598</v>
      </c>
      <c r="C2902" s="2" t="s">
        <v>3887</v>
      </c>
      <c r="D2902" s="2"/>
    </row>
    <row r="2903" spans="1:4">
      <c r="A2903" s="3">
        <v>159</v>
      </c>
      <c r="B2903" s="3" t="s">
        <v>598</v>
      </c>
      <c r="C2903" s="3" t="s">
        <v>3888</v>
      </c>
      <c r="D2903" s="3"/>
    </row>
    <row r="2904" spans="1:4">
      <c r="A2904" s="2">
        <v>159</v>
      </c>
      <c r="B2904" s="2" t="s">
        <v>598</v>
      </c>
      <c r="C2904" s="2" t="s">
        <v>3889</v>
      </c>
      <c r="D2904" s="2"/>
    </row>
    <row r="2905" spans="1:4">
      <c r="A2905" s="3">
        <v>159</v>
      </c>
      <c r="B2905" s="3" t="s">
        <v>598</v>
      </c>
      <c r="C2905" s="3" t="s">
        <v>3890</v>
      </c>
      <c r="D2905" s="3"/>
    </row>
    <row r="2906" spans="1:4">
      <c r="A2906" s="2">
        <v>159</v>
      </c>
      <c r="B2906" s="2" t="s">
        <v>598</v>
      </c>
      <c r="C2906" s="2" t="s">
        <v>3891</v>
      </c>
      <c r="D2906" s="2"/>
    </row>
    <row r="2907" spans="1:4">
      <c r="A2907" s="3">
        <v>159</v>
      </c>
      <c r="B2907" s="3" t="s">
        <v>598</v>
      </c>
      <c r="C2907" s="3" t="s">
        <v>3892</v>
      </c>
      <c r="D2907" s="3"/>
    </row>
    <row r="2908" spans="1:4">
      <c r="A2908" s="2">
        <v>159</v>
      </c>
      <c r="B2908" s="2" t="s">
        <v>598</v>
      </c>
      <c r="C2908" s="2" t="s">
        <v>3893</v>
      </c>
      <c r="D2908" s="2"/>
    </row>
    <row r="2909" spans="1:4">
      <c r="A2909" s="3">
        <v>159</v>
      </c>
      <c r="B2909" s="3" t="s">
        <v>598</v>
      </c>
      <c r="C2909" s="3" t="s">
        <v>3894</v>
      </c>
      <c r="D2909" s="3"/>
    </row>
    <row r="2910" spans="1:4">
      <c r="A2910" s="2">
        <v>159</v>
      </c>
      <c r="B2910" s="2" t="s">
        <v>598</v>
      </c>
      <c r="C2910" s="2" t="s">
        <v>3895</v>
      </c>
      <c r="D2910" s="2"/>
    </row>
    <row r="2911" spans="1:4">
      <c r="A2911" s="3">
        <v>159</v>
      </c>
      <c r="B2911" s="3" t="s">
        <v>598</v>
      </c>
      <c r="C2911" s="3" t="s">
        <v>3896</v>
      </c>
      <c r="D2911" s="3"/>
    </row>
    <row r="2912" spans="1:4">
      <c r="A2912" s="2">
        <v>159</v>
      </c>
      <c r="B2912" s="2" t="s">
        <v>598</v>
      </c>
      <c r="C2912" s="2" t="s">
        <v>3897</v>
      </c>
      <c r="D2912" s="2"/>
    </row>
    <row r="2913" spans="1:4">
      <c r="A2913" s="3">
        <v>159</v>
      </c>
      <c r="B2913" s="3" t="s">
        <v>598</v>
      </c>
      <c r="C2913" s="3" t="s">
        <v>3898</v>
      </c>
      <c r="D2913" s="3"/>
    </row>
    <row r="2914" spans="1:4">
      <c r="A2914" s="2">
        <v>159</v>
      </c>
      <c r="B2914" s="2" t="s">
        <v>598</v>
      </c>
      <c r="C2914" s="2" t="s">
        <v>3899</v>
      </c>
      <c r="D2914" s="2"/>
    </row>
    <row r="2915" spans="1:4">
      <c r="A2915" s="3">
        <v>159</v>
      </c>
      <c r="B2915" s="3" t="s">
        <v>598</v>
      </c>
      <c r="C2915" s="3" t="s">
        <v>3900</v>
      </c>
      <c r="D2915" s="3"/>
    </row>
    <row r="2916" spans="1:4">
      <c r="A2916" s="2">
        <v>159</v>
      </c>
      <c r="B2916" s="2" t="s">
        <v>598</v>
      </c>
      <c r="C2916" s="2" t="s">
        <v>3901</v>
      </c>
      <c r="D2916" s="2"/>
    </row>
    <row r="2917" spans="1:4">
      <c r="A2917" s="3">
        <v>159</v>
      </c>
      <c r="B2917" s="3" t="s">
        <v>598</v>
      </c>
      <c r="C2917" s="3" t="s">
        <v>3902</v>
      </c>
      <c r="D2917" s="3"/>
    </row>
    <row r="2918" spans="1:4">
      <c r="A2918" s="2">
        <v>160</v>
      </c>
      <c r="B2918" s="2" t="s">
        <v>425</v>
      </c>
      <c r="C2918" s="2" t="s">
        <v>3903</v>
      </c>
      <c r="D2918" s="2"/>
    </row>
    <row r="2919" spans="1:4">
      <c r="A2919" s="3">
        <v>160</v>
      </c>
      <c r="B2919" s="3" t="s">
        <v>425</v>
      </c>
      <c r="C2919" s="3" t="s">
        <v>3904</v>
      </c>
      <c r="D2919" s="3"/>
    </row>
    <row r="2920" spans="1:4">
      <c r="A2920" s="2">
        <v>160</v>
      </c>
      <c r="B2920" s="2" t="s">
        <v>425</v>
      </c>
      <c r="C2920" s="2" t="s">
        <v>3905</v>
      </c>
      <c r="D2920" s="2"/>
    </row>
    <row r="2921" spans="1:4">
      <c r="A2921" s="3">
        <v>160</v>
      </c>
      <c r="B2921" s="3" t="s">
        <v>425</v>
      </c>
      <c r="C2921" s="3" t="s">
        <v>3906</v>
      </c>
      <c r="D2921" s="3"/>
    </row>
    <row r="2922" spans="1:4">
      <c r="A2922" s="2">
        <v>162</v>
      </c>
      <c r="B2922" s="2" t="s">
        <v>473</v>
      </c>
      <c r="C2922" s="2" t="s">
        <v>3907</v>
      </c>
      <c r="D2922" s="2"/>
    </row>
    <row r="2923" spans="1:4">
      <c r="A2923" s="3">
        <v>162</v>
      </c>
      <c r="B2923" s="3" t="s">
        <v>473</v>
      </c>
      <c r="C2923" s="3" t="s">
        <v>3908</v>
      </c>
      <c r="D2923" s="3"/>
    </row>
    <row r="2924" spans="1:4">
      <c r="A2924" s="2">
        <v>162</v>
      </c>
      <c r="B2924" s="2" t="s">
        <v>473</v>
      </c>
      <c r="C2924" s="2" t="s">
        <v>3909</v>
      </c>
      <c r="D2924" s="2"/>
    </row>
    <row r="2925" spans="1:4">
      <c r="A2925" s="3">
        <v>162</v>
      </c>
      <c r="B2925" s="3" t="s">
        <v>473</v>
      </c>
      <c r="C2925" s="3" t="s">
        <v>3910</v>
      </c>
      <c r="D2925" s="3"/>
    </row>
    <row r="2926" spans="1:4">
      <c r="A2926" s="2">
        <v>162</v>
      </c>
      <c r="B2926" s="2" t="s">
        <v>473</v>
      </c>
      <c r="C2926" s="2" t="s">
        <v>3911</v>
      </c>
      <c r="D2926" s="2"/>
    </row>
    <row r="2927" spans="1:4">
      <c r="A2927" s="3">
        <v>162</v>
      </c>
      <c r="B2927" s="3" t="s">
        <v>473</v>
      </c>
      <c r="C2927" s="3" t="s">
        <v>3912</v>
      </c>
      <c r="D2927" s="3"/>
    </row>
    <row r="2928" spans="1:4">
      <c r="A2928" s="2">
        <v>162</v>
      </c>
      <c r="B2928" s="2" t="s">
        <v>473</v>
      </c>
      <c r="C2928" s="2" t="s">
        <v>3913</v>
      </c>
      <c r="D2928" s="2"/>
    </row>
    <row r="2929" spans="1:4">
      <c r="A2929" s="3">
        <v>162</v>
      </c>
      <c r="B2929" s="3" t="s">
        <v>473</v>
      </c>
      <c r="C2929" s="3" t="s">
        <v>3914</v>
      </c>
      <c r="D2929" s="3"/>
    </row>
    <row r="2930" spans="1:4">
      <c r="A2930" s="2">
        <v>162</v>
      </c>
      <c r="B2930" s="2" t="s">
        <v>473</v>
      </c>
      <c r="C2930" s="2" t="s">
        <v>3915</v>
      </c>
      <c r="D2930" s="2"/>
    </row>
    <row r="2931" spans="1:4">
      <c r="A2931" s="3">
        <v>162</v>
      </c>
      <c r="B2931" s="3" t="s">
        <v>473</v>
      </c>
      <c r="C2931" s="3" t="s">
        <v>3916</v>
      </c>
      <c r="D2931" s="3"/>
    </row>
    <row r="2932" spans="1:4">
      <c r="A2932" s="2">
        <v>162</v>
      </c>
      <c r="B2932" s="2" t="s">
        <v>473</v>
      </c>
      <c r="C2932" s="2" t="s">
        <v>3917</v>
      </c>
      <c r="D2932" s="2"/>
    </row>
    <row r="2933" spans="1:4">
      <c r="A2933" s="3">
        <v>162</v>
      </c>
      <c r="B2933" s="3" t="s">
        <v>473</v>
      </c>
      <c r="C2933" s="3" t="s">
        <v>3918</v>
      </c>
      <c r="D2933" s="3"/>
    </row>
    <row r="2934" spans="1:4">
      <c r="A2934" s="2">
        <v>162</v>
      </c>
      <c r="B2934" s="2" t="s">
        <v>473</v>
      </c>
      <c r="C2934" s="2" t="s">
        <v>3919</v>
      </c>
      <c r="D2934" s="2"/>
    </row>
    <row r="2935" spans="1:4">
      <c r="A2935" s="3">
        <v>162</v>
      </c>
      <c r="B2935" s="3" t="s">
        <v>473</v>
      </c>
      <c r="C2935" s="3" t="s">
        <v>3920</v>
      </c>
      <c r="D2935" s="3"/>
    </row>
    <row r="2936" spans="1:4">
      <c r="A2936" s="2">
        <v>162</v>
      </c>
      <c r="B2936" s="2" t="s">
        <v>473</v>
      </c>
      <c r="C2936" s="2" t="s">
        <v>3921</v>
      </c>
      <c r="D2936" s="2"/>
    </row>
    <row r="2937" spans="1:4">
      <c r="A2937" s="3">
        <v>162</v>
      </c>
      <c r="B2937" s="3" t="s">
        <v>473</v>
      </c>
      <c r="C2937" s="3" t="s">
        <v>3922</v>
      </c>
      <c r="D2937" s="3"/>
    </row>
    <row r="2938" spans="1:4">
      <c r="A2938" s="2">
        <v>162</v>
      </c>
      <c r="B2938" s="2" t="s">
        <v>473</v>
      </c>
      <c r="C2938" s="2" t="s">
        <v>3923</v>
      </c>
      <c r="D2938" s="2"/>
    </row>
    <row r="2939" spans="1:4">
      <c r="A2939" s="3">
        <v>162</v>
      </c>
      <c r="B2939" s="3" t="s">
        <v>473</v>
      </c>
      <c r="C2939" s="3" t="s">
        <v>3924</v>
      </c>
      <c r="D2939" s="3"/>
    </row>
    <row r="2940" spans="1:4">
      <c r="A2940" s="2">
        <v>162</v>
      </c>
      <c r="B2940" s="2" t="s">
        <v>473</v>
      </c>
      <c r="C2940" s="2" t="s">
        <v>3925</v>
      </c>
      <c r="D2940" s="2"/>
    </row>
    <row r="2941" spans="1:4">
      <c r="A2941" s="3">
        <v>162</v>
      </c>
      <c r="B2941" s="3" t="s">
        <v>473</v>
      </c>
      <c r="C2941" s="3" t="s">
        <v>3926</v>
      </c>
      <c r="D2941" s="3"/>
    </row>
    <row r="2942" spans="1:4">
      <c r="A2942" s="2">
        <v>162</v>
      </c>
      <c r="B2942" s="2" t="s">
        <v>473</v>
      </c>
      <c r="C2942" s="2" t="s">
        <v>3927</v>
      </c>
      <c r="D2942" s="2"/>
    </row>
    <row r="2943" spans="1:4">
      <c r="A2943" s="3">
        <v>162</v>
      </c>
      <c r="B2943" s="3" t="s">
        <v>473</v>
      </c>
      <c r="C2943" s="3" t="s">
        <v>3928</v>
      </c>
      <c r="D2943" s="3"/>
    </row>
    <row r="2944" spans="1:4">
      <c r="A2944" s="2">
        <v>162</v>
      </c>
      <c r="B2944" s="2" t="s">
        <v>473</v>
      </c>
      <c r="C2944" s="2" t="s">
        <v>3929</v>
      </c>
      <c r="D2944" s="2"/>
    </row>
    <row r="2945" spans="1:4">
      <c r="A2945" s="3">
        <v>162</v>
      </c>
      <c r="B2945" s="3" t="s">
        <v>473</v>
      </c>
      <c r="C2945" s="3" t="s">
        <v>3930</v>
      </c>
      <c r="D2945" s="3"/>
    </row>
    <row r="2946" spans="1:4">
      <c r="A2946" s="2">
        <v>162</v>
      </c>
      <c r="B2946" s="2" t="s">
        <v>473</v>
      </c>
      <c r="C2946" s="2" t="s">
        <v>3931</v>
      </c>
      <c r="D2946" s="2"/>
    </row>
    <row r="2947" spans="1:4">
      <c r="A2947" s="3">
        <v>162</v>
      </c>
      <c r="B2947" s="3" t="s">
        <v>473</v>
      </c>
      <c r="C2947" s="3" t="s">
        <v>3932</v>
      </c>
      <c r="D2947" s="3"/>
    </row>
    <row r="2948" spans="1:4">
      <c r="A2948" s="2">
        <v>162</v>
      </c>
      <c r="B2948" s="2" t="s">
        <v>473</v>
      </c>
      <c r="C2948" s="2" t="s">
        <v>3933</v>
      </c>
      <c r="D2948" s="2"/>
    </row>
    <row r="2949" spans="1:4">
      <c r="A2949" s="3">
        <v>162</v>
      </c>
      <c r="B2949" s="3" t="s">
        <v>473</v>
      </c>
      <c r="C2949" s="3" t="s">
        <v>3934</v>
      </c>
      <c r="D2949" s="3"/>
    </row>
    <row r="2950" spans="1:4">
      <c r="A2950" s="2">
        <v>162</v>
      </c>
      <c r="B2950" s="2" t="s">
        <v>473</v>
      </c>
      <c r="C2950" s="2" t="s">
        <v>3935</v>
      </c>
      <c r="D2950" s="2"/>
    </row>
    <row r="2951" spans="1:4">
      <c r="A2951" s="3">
        <v>162</v>
      </c>
      <c r="B2951" s="3" t="s">
        <v>473</v>
      </c>
      <c r="C2951" s="3" t="s">
        <v>3936</v>
      </c>
      <c r="D2951" s="3"/>
    </row>
    <row r="2952" spans="1:4">
      <c r="A2952" s="2">
        <v>162</v>
      </c>
      <c r="B2952" s="2" t="s">
        <v>473</v>
      </c>
      <c r="C2952" s="2" t="s">
        <v>3937</v>
      </c>
      <c r="D2952" s="2"/>
    </row>
    <row r="2953" spans="1:4">
      <c r="A2953" s="3">
        <v>162</v>
      </c>
      <c r="B2953" s="3" t="s">
        <v>473</v>
      </c>
      <c r="C2953" s="3" t="s">
        <v>3938</v>
      </c>
      <c r="D2953" s="3"/>
    </row>
    <row r="2954" spans="1:4">
      <c r="A2954" s="2">
        <v>162</v>
      </c>
      <c r="B2954" s="2" t="s">
        <v>473</v>
      </c>
      <c r="C2954" s="2" t="s">
        <v>3939</v>
      </c>
      <c r="D2954" s="2"/>
    </row>
    <row r="2955" spans="1:4">
      <c r="A2955" s="3">
        <v>163</v>
      </c>
      <c r="B2955" s="3" t="s">
        <v>587</v>
      </c>
      <c r="C2955" s="3" t="s">
        <v>3940</v>
      </c>
      <c r="D2955" s="3"/>
    </row>
    <row r="2956" spans="1:4">
      <c r="A2956" s="2">
        <v>163</v>
      </c>
      <c r="B2956" s="2" t="s">
        <v>587</v>
      </c>
      <c r="C2956" s="2" t="s">
        <v>3941</v>
      </c>
      <c r="D2956" s="2"/>
    </row>
    <row r="2957" spans="1:4">
      <c r="A2957" s="3">
        <v>163</v>
      </c>
      <c r="B2957" s="3" t="s">
        <v>587</v>
      </c>
      <c r="C2957" s="3" t="s">
        <v>3942</v>
      </c>
      <c r="D2957" s="3"/>
    </row>
    <row r="2958" spans="1:4">
      <c r="A2958" s="2">
        <v>163</v>
      </c>
      <c r="B2958" s="2" t="s">
        <v>587</v>
      </c>
      <c r="C2958" s="2" t="s">
        <v>3943</v>
      </c>
      <c r="D2958" s="2"/>
    </row>
    <row r="2959" spans="1:4">
      <c r="A2959" s="3">
        <v>163</v>
      </c>
      <c r="B2959" s="3" t="s">
        <v>587</v>
      </c>
      <c r="C2959" s="3" t="s">
        <v>3944</v>
      </c>
      <c r="D2959" s="3"/>
    </row>
    <row r="2960" spans="1:4">
      <c r="A2960" s="2">
        <v>163</v>
      </c>
      <c r="B2960" s="2" t="s">
        <v>587</v>
      </c>
      <c r="C2960" s="2" t="s">
        <v>3945</v>
      </c>
      <c r="D2960" s="2"/>
    </row>
    <row r="2961" spans="1:4">
      <c r="A2961" s="3">
        <v>163</v>
      </c>
      <c r="B2961" s="3" t="s">
        <v>587</v>
      </c>
      <c r="C2961" s="3" t="s">
        <v>3946</v>
      </c>
      <c r="D2961" s="3"/>
    </row>
    <row r="2962" spans="1:4">
      <c r="A2962" s="2">
        <v>163</v>
      </c>
      <c r="B2962" s="2" t="s">
        <v>587</v>
      </c>
      <c r="C2962" s="2" t="s">
        <v>3947</v>
      </c>
      <c r="D2962" s="2"/>
    </row>
    <row r="2963" spans="1:4">
      <c r="A2963" s="3">
        <v>163</v>
      </c>
      <c r="B2963" s="3" t="s">
        <v>587</v>
      </c>
      <c r="C2963" s="3" t="s">
        <v>3948</v>
      </c>
      <c r="D2963" s="3"/>
    </row>
    <row r="2964" spans="1:4">
      <c r="A2964" s="2">
        <v>163</v>
      </c>
      <c r="B2964" s="2" t="s">
        <v>587</v>
      </c>
      <c r="C2964" s="2" t="s">
        <v>3949</v>
      </c>
      <c r="D2964" s="2"/>
    </row>
    <row r="2965" spans="1:4">
      <c r="A2965" s="3">
        <v>163</v>
      </c>
      <c r="B2965" s="3" t="s">
        <v>587</v>
      </c>
      <c r="C2965" s="3" t="s">
        <v>3950</v>
      </c>
      <c r="D2965" s="3"/>
    </row>
    <row r="2966" spans="1:4">
      <c r="A2966" s="2">
        <v>163</v>
      </c>
      <c r="B2966" s="2" t="s">
        <v>587</v>
      </c>
      <c r="C2966" s="2" t="s">
        <v>3951</v>
      </c>
      <c r="D2966" s="2"/>
    </row>
    <row r="2967" spans="1:4">
      <c r="A2967" s="3">
        <v>163</v>
      </c>
      <c r="B2967" s="3" t="s">
        <v>587</v>
      </c>
      <c r="C2967" s="3" t="s">
        <v>3952</v>
      </c>
      <c r="D2967" s="3"/>
    </row>
    <row r="2968" spans="1:4">
      <c r="A2968" s="2">
        <v>163</v>
      </c>
      <c r="B2968" s="2" t="s">
        <v>587</v>
      </c>
      <c r="C2968" s="2" t="s">
        <v>3953</v>
      </c>
      <c r="D2968" s="2"/>
    </row>
    <row r="2969" spans="1:4">
      <c r="A2969" s="3">
        <v>163</v>
      </c>
      <c r="B2969" s="3" t="s">
        <v>587</v>
      </c>
      <c r="C2969" s="3" t="s">
        <v>3954</v>
      </c>
      <c r="D2969" s="3"/>
    </row>
    <row r="2970" spans="1:4">
      <c r="A2970" s="2">
        <v>163</v>
      </c>
      <c r="B2970" s="2" t="s">
        <v>587</v>
      </c>
      <c r="C2970" s="2" t="s">
        <v>3955</v>
      </c>
      <c r="D2970" s="2"/>
    </row>
    <row r="2971" spans="1:4">
      <c r="A2971" s="3">
        <v>163</v>
      </c>
      <c r="B2971" s="3" t="s">
        <v>587</v>
      </c>
      <c r="C2971" s="3" t="s">
        <v>3956</v>
      </c>
      <c r="D2971" s="3"/>
    </row>
    <row r="2972" spans="1:4">
      <c r="A2972" s="2">
        <v>163</v>
      </c>
      <c r="B2972" s="2" t="s">
        <v>587</v>
      </c>
      <c r="C2972" s="2" t="s">
        <v>3957</v>
      </c>
      <c r="D2972" s="2"/>
    </row>
    <row r="2973" spans="1:4">
      <c r="A2973" s="3">
        <v>163</v>
      </c>
      <c r="B2973" s="3" t="s">
        <v>587</v>
      </c>
      <c r="C2973" s="3" t="s">
        <v>3958</v>
      </c>
      <c r="D2973" s="3"/>
    </row>
    <row r="2974" spans="1:4">
      <c r="A2974" s="2">
        <v>163</v>
      </c>
      <c r="B2974" s="2" t="s">
        <v>587</v>
      </c>
      <c r="C2974" s="2" t="s">
        <v>3959</v>
      </c>
      <c r="D2974" s="2"/>
    </row>
    <row r="2975" spans="1:4">
      <c r="A2975" s="3">
        <v>163</v>
      </c>
      <c r="B2975" s="3" t="s">
        <v>587</v>
      </c>
      <c r="C2975" s="3" t="s">
        <v>3960</v>
      </c>
      <c r="D2975" s="3"/>
    </row>
    <row r="2976" spans="1:4">
      <c r="A2976" s="2">
        <v>163</v>
      </c>
      <c r="B2976" s="2" t="s">
        <v>587</v>
      </c>
      <c r="C2976" s="2" t="s">
        <v>3961</v>
      </c>
      <c r="D2976" s="2"/>
    </row>
    <row r="2977" spans="1:4">
      <c r="A2977" s="3">
        <v>163</v>
      </c>
      <c r="B2977" s="3" t="s">
        <v>587</v>
      </c>
      <c r="C2977" s="3" t="s">
        <v>3962</v>
      </c>
      <c r="D2977" s="3"/>
    </row>
    <row r="2978" spans="1:4">
      <c r="A2978" s="2">
        <v>163</v>
      </c>
      <c r="B2978" s="2" t="s">
        <v>587</v>
      </c>
      <c r="C2978" s="2" t="s">
        <v>3963</v>
      </c>
      <c r="D2978" s="2"/>
    </row>
    <row r="2979" spans="1:4">
      <c r="A2979" s="3">
        <v>163</v>
      </c>
      <c r="B2979" s="3" t="s">
        <v>587</v>
      </c>
      <c r="C2979" s="3" t="s">
        <v>3964</v>
      </c>
      <c r="D2979" s="3"/>
    </row>
    <row r="2980" spans="1:4">
      <c r="A2980" s="2">
        <v>163</v>
      </c>
      <c r="B2980" s="2" t="s">
        <v>587</v>
      </c>
      <c r="C2980" s="2" t="s">
        <v>3965</v>
      </c>
      <c r="D2980" s="2"/>
    </row>
    <row r="2981" spans="1:4">
      <c r="A2981" s="3">
        <v>163</v>
      </c>
      <c r="B2981" s="3" t="s">
        <v>587</v>
      </c>
      <c r="C2981" s="3" t="s">
        <v>3966</v>
      </c>
      <c r="D2981" s="3"/>
    </row>
    <row r="2982" spans="1:4">
      <c r="A2982" s="2">
        <v>163</v>
      </c>
      <c r="B2982" s="2" t="s">
        <v>587</v>
      </c>
      <c r="C2982" s="2" t="s">
        <v>3967</v>
      </c>
      <c r="D2982" s="2"/>
    </row>
    <row r="2983" spans="1:4">
      <c r="A2983" s="3">
        <v>163</v>
      </c>
      <c r="B2983" s="3" t="s">
        <v>587</v>
      </c>
      <c r="C2983" s="3" t="s">
        <v>3968</v>
      </c>
      <c r="D2983" s="3"/>
    </row>
    <row r="2984" spans="1:4">
      <c r="A2984" s="2">
        <v>163</v>
      </c>
      <c r="B2984" s="2" t="s">
        <v>587</v>
      </c>
      <c r="C2984" s="2" t="s">
        <v>3969</v>
      </c>
      <c r="D2984" s="2"/>
    </row>
    <row r="2985" spans="1:4">
      <c r="A2985" s="3">
        <v>163</v>
      </c>
      <c r="B2985" s="3" t="s">
        <v>587</v>
      </c>
      <c r="C2985" s="3" t="s">
        <v>3970</v>
      </c>
      <c r="D2985" s="3"/>
    </row>
    <row r="2986" spans="1:4">
      <c r="A2986" s="2">
        <v>163</v>
      </c>
      <c r="B2986" s="2" t="s">
        <v>587</v>
      </c>
      <c r="C2986" s="2" t="s">
        <v>3971</v>
      </c>
      <c r="D2986" s="2"/>
    </row>
    <row r="2987" spans="1:4">
      <c r="A2987" s="3">
        <v>163</v>
      </c>
      <c r="B2987" s="3" t="s">
        <v>587</v>
      </c>
      <c r="C2987" s="3" t="s">
        <v>3972</v>
      </c>
      <c r="D2987" s="3"/>
    </row>
    <row r="2988" spans="1:4">
      <c r="A2988" s="2">
        <v>163</v>
      </c>
      <c r="B2988" s="2" t="s">
        <v>587</v>
      </c>
      <c r="C2988" s="2" t="s">
        <v>3973</v>
      </c>
      <c r="D2988" s="2"/>
    </row>
    <row r="2989" spans="1:4">
      <c r="A2989" s="3">
        <v>163</v>
      </c>
      <c r="B2989" s="3" t="s">
        <v>587</v>
      </c>
      <c r="C2989" s="3" t="s">
        <v>3974</v>
      </c>
      <c r="D2989" s="3"/>
    </row>
    <row r="2990" spans="1:4">
      <c r="A2990" s="2">
        <v>163</v>
      </c>
      <c r="B2990" s="2" t="s">
        <v>587</v>
      </c>
      <c r="C2990" s="2" t="s">
        <v>3974</v>
      </c>
      <c r="D2990" s="2"/>
    </row>
    <row r="2991" spans="1:4">
      <c r="A2991" s="3">
        <v>163</v>
      </c>
      <c r="B2991" s="3" t="s">
        <v>587</v>
      </c>
      <c r="C2991" s="3" t="s">
        <v>3975</v>
      </c>
      <c r="D2991" s="3"/>
    </row>
    <row r="2992" spans="1:4">
      <c r="A2992" s="2">
        <v>163</v>
      </c>
      <c r="B2992" s="2" t="s">
        <v>587</v>
      </c>
      <c r="C2992" s="2" t="s">
        <v>3976</v>
      </c>
      <c r="D2992" s="2"/>
    </row>
    <row r="2993" spans="1:4">
      <c r="A2993" s="3">
        <v>163</v>
      </c>
      <c r="B2993" s="3" t="s">
        <v>587</v>
      </c>
      <c r="C2993" s="3" t="s">
        <v>3977</v>
      </c>
      <c r="D2993" s="3"/>
    </row>
    <row r="2994" spans="1:4">
      <c r="A2994" s="2">
        <v>163</v>
      </c>
      <c r="B2994" s="2" t="s">
        <v>587</v>
      </c>
      <c r="C2994" s="2" t="s">
        <v>3978</v>
      </c>
      <c r="D2994" s="2"/>
    </row>
    <row r="2995" spans="1:4">
      <c r="A2995" s="3">
        <v>163</v>
      </c>
      <c r="B2995" s="3" t="s">
        <v>587</v>
      </c>
      <c r="C2995" s="3" t="s">
        <v>3979</v>
      </c>
      <c r="D2995" s="3"/>
    </row>
    <row r="2996" spans="1:4">
      <c r="A2996" s="2">
        <v>163</v>
      </c>
      <c r="B2996" s="2" t="s">
        <v>587</v>
      </c>
      <c r="C2996" s="2" t="s">
        <v>3980</v>
      </c>
      <c r="D2996" s="2"/>
    </row>
    <row r="2997" spans="1:4">
      <c r="A2997" s="3">
        <v>163</v>
      </c>
      <c r="B2997" s="3" t="s">
        <v>587</v>
      </c>
      <c r="C2997" s="3" t="s">
        <v>3981</v>
      </c>
      <c r="D2997" s="3"/>
    </row>
    <row r="2998" spans="1:4">
      <c r="A2998" s="2">
        <v>163</v>
      </c>
      <c r="B2998" s="2" t="s">
        <v>587</v>
      </c>
      <c r="C2998" s="2" t="s">
        <v>3982</v>
      </c>
      <c r="D2998" s="2"/>
    </row>
    <row r="2999" spans="1:4">
      <c r="A2999" s="3">
        <v>163</v>
      </c>
      <c r="B2999" s="3" t="s">
        <v>587</v>
      </c>
      <c r="C2999" s="3" t="s">
        <v>3983</v>
      </c>
      <c r="D2999" s="3"/>
    </row>
    <row r="3000" spans="1:4">
      <c r="A3000" s="2">
        <v>163</v>
      </c>
      <c r="B3000" s="2" t="s">
        <v>587</v>
      </c>
      <c r="C3000" s="2" t="s">
        <v>3984</v>
      </c>
      <c r="D3000" s="2"/>
    </row>
    <row r="3001" spans="1:4">
      <c r="A3001" s="3">
        <v>163</v>
      </c>
      <c r="B3001" s="3" t="s">
        <v>587</v>
      </c>
      <c r="C3001" s="3" t="s">
        <v>3985</v>
      </c>
      <c r="D3001" s="3"/>
    </row>
    <row r="3002" spans="1:4">
      <c r="A3002" s="2">
        <v>163</v>
      </c>
      <c r="B3002" s="2" t="s">
        <v>587</v>
      </c>
      <c r="C3002" s="2" t="s">
        <v>3986</v>
      </c>
      <c r="D3002" s="2"/>
    </row>
    <row r="3003" spans="1:4">
      <c r="A3003" s="3">
        <v>163</v>
      </c>
      <c r="B3003" s="3" t="s">
        <v>587</v>
      </c>
      <c r="C3003" s="3" t="s">
        <v>3987</v>
      </c>
      <c r="D3003" s="3"/>
    </row>
    <row r="3004" spans="1:4">
      <c r="A3004" s="2">
        <v>163</v>
      </c>
      <c r="B3004" s="2" t="s">
        <v>587</v>
      </c>
      <c r="C3004" s="2" t="s">
        <v>3988</v>
      </c>
      <c r="D3004" s="2"/>
    </row>
    <row r="3005" spans="1:4">
      <c r="A3005" s="3">
        <v>164</v>
      </c>
      <c r="B3005" s="3" t="s">
        <v>552</v>
      </c>
      <c r="C3005" s="3" t="s">
        <v>3989</v>
      </c>
      <c r="D3005" s="3"/>
    </row>
    <row r="3006" spans="1:4">
      <c r="A3006" s="2">
        <v>164</v>
      </c>
      <c r="B3006" s="2" t="s">
        <v>552</v>
      </c>
      <c r="C3006" s="2" t="s">
        <v>3990</v>
      </c>
      <c r="D3006" s="2"/>
    </row>
    <row r="3007" spans="1:4">
      <c r="A3007" s="3">
        <v>164</v>
      </c>
      <c r="B3007" s="3" t="s">
        <v>552</v>
      </c>
      <c r="C3007" s="3" t="s">
        <v>3991</v>
      </c>
      <c r="D3007" s="3"/>
    </row>
    <row r="3008" spans="1:4">
      <c r="A3008" s="2">
        <v>164</v>
      </c>
      <c r="B3008" s="2" t="s">
        <v>552</v>
      </c>
      <c r="C3008" s="2" t="s">
        <v>3992</v>
      </c>
      <c r="D3008" s="2"/>
    </row>
    <row r="3009" spans="1:4">
      <c r="A3009" s="3">
        <v>164</v>
      </c>
      <c r="B3009" s="3" t="s">
        <v>552</v>
      </c>
      <c r="C3009" s="3" t="s">
        <v>3993</v>
      </c>
      <c r="D3009" s="3"/>
    </row>
    <row r="3010" spans="1:4">
      <c r="A3010" s="2">
        <v>164</v>
      </c>
      <c r="B3010" s="2" t="s">
        <v>552</v>
      </c>
      <c r="C3010" s="2" t="s">
        <v>3994</v>
      </c>
      <c r="D3010" s="2"/>
    </row>
    <row r="3011" spans="1:4">
      <c r="A3011" s="3">
        <v>164</v>
      </c>
      <c r="B3011" s="3" t="s">
        <v>552</v>
      </c>
      <c r="C3011" s="3" t="s">
        <v>3995</v>
      </c>
      <c r="D3011" s="3"/>
    </row>
    <row r="3012" spans="1:4">
      <c r="A3012" s="2">
        <v>164</v>
      </c>
      <c r="B3012" s="2" t="s">
        <v>552</v>
      </c>
      <c r="C3012" s="2" t="s">
        <v>3996</v>
      </c>
      <c r="D3012" s="2"/>
    </row>
    <row r="3013" spans="1:4">
      <c r="A3013" s="3">
        <v>164</v>
      </c>
      <c r="B3013" s="3" t="s">
        <v>552</v>
      </c>
      <c r="C3013" s="3" t="s">
        <v>3997</v>
      </c>
      <c r="D3013" s="3"/>
    </row>
    <row r="3014" spans="1:4">
      <c r="A3014" s="2">
        <v>164</v>
      </c>
      <c r="B3014" s="2" t="s">
        <v>552</v>
      </c>
      <c r="C3014" s="2" t="s">
        <v>3998</v>
      </c>
      <c r="D3014" s="2"/>
    </row>
    <row r="3015" spans="1:4">
      <c r="A3015" s="3">
        <v>164</v>
      </c>
      <c r="B3015" s="3" t="s">
        <v>552</v>
      </c>
      <c r="C3015" s="3" t="s">
        <v>3999</v>
      </c>
      <c r="D3015" s="3"/>
    </row>
    <row r="3016" spans="1:4">
      <c r="A3016" s="2">
        <v>164</v>
      </c>
      <c r="B3016" s="2" t="s">
        <v>552</v>
      </c>
      <c r="C3016" s="2" t="s">
        <v>4000</v>
      </c>
      <c r="D3016" s="2"/>
    </row>
    <row r="3017" spans="1:4">
      <c r="A3017" s="3">
        <v>164</v>
      </c>
      <c r="B3017" s="3" t="s">
        <v>552</v>
      </c>
      <c r="C3017" s="3" t="s">
        <v>4001</v>
      </c>
      <c r="D3017" s="3"/>
    </row>
    <row r="3018" spans="1:4">
      <c r="A3018" s="2">
        <v>164</v>
      </c>
      <c r="B3018" s="2" t="s">
        <v>552</v>
      </c>
      <c r="C3018" s="2" t="s">
        <v>4002</v>
      </c>
      <c r="D3018" s="2"/>
    </row>
    <row r="3019" spans="1:4">
      <c r="A3019" s="3">
        <v>164</v>
      </c>
      <c r="B3019" s="3" t="s">
        <v>552</v>
      </c>
      <c r="C3019" s="3" t="s">
        <v>4003</v>
      </c>
      <c r="D3019" s="3"/>
    </row>
    <row r="3020" spans="1:4">
      <c r="A3020" s="2">
        <v>164</v>
      </c>
      <c r="B3020" s="2" t="s">
        <v>552</v>
      </c>
      <c r="C3020" s="2" t="s">
        <v>4004</v>
      </c>
      <c r="D3020" s="2"/>
    </row>
    <row r="3021" spans="1:4">
      <c r="A3021" s="3">
        <v>164</v>
      </c>
      <c r="B3021" s="3" t="s">
        <v>552</v>
      </c>
      <c r="C3021" s="3" t="s">
        <v>4005</v>
      </c>
      <c r="D3021" s="3"/>
    </row>
    <row r="3022" spans="1:4">
      <c r="A3022" s="2">
        <v>164</v>
      </c>
      <c r="B3022" s="2" t="s">
        <v>552</v>
      </c>
      <c r="C3022" s="2" t="s">
        <v>4006</v>
      </c>
      <c r="D3022" s="2"/>
    </row>
    <row r="3023" spans="1:4">
      <c r="A3023" s="3">
        <v>164</v>
      </c>
      <c r="B3023" s="3" t="s">
        <v>552</v>
      </c>
      <c r="C3023" s="3" t="s">
        <v>4007</v>
      </c>
      <c r="D3023" s="3"/>
    </row>
    <row r="3024" spans="1:4">
      <c r="A3024" s="2">
        <v>164</v>
      </c>
      <c r="B3024" s="2" t="s">
        <v>552</v>
      </c>
      <c r="C3024" s="2" t="s">
        <v>4008</v>
      </c>
      <c r="D3024" s="2"/>
    </row>
    <row r="3025" spans="1:4">
      <c r="A3025" s="3">
        <v>164</v>
      </c>
      <c r="B3025" s="3" t="s">
        <v>552</v>
      </c>
      <c r="C3025" s="3" t="s">
        <v>4009</v>
      </c>
      <c r="D3025" s="3"/>
    </row>
    <row r="3026" spans="1:4">
      <c r="A3026" s="2">
        <v>164</v>
      </c>
      <c r="B3026" s="2" t="s">
        <v>552</v>
      </c>
      <c r="C3026" s="2" t="s">
        <v>4010</v>
      </c>
      <c r="D3026" s="2"/>
    </row>
    <row r="3027" spans="1:4">
      <c r="A3027" s="3">
        <v>165</v>
      </c>
      <c r="B3027" s="3" t="s">
        <v>568</v>
      </c>
      <c r="C3027" s="3" t="s">
        <v>4011</v>
      </c>
      <c r="D3027" s="3"/>
    </row>
    <row r="3028" spans="1:4">
      <c r="A3028" s="2">
        <v>166</v>
      </c>
      <c r="B3028" s="2" t="s">
        <v>483</v>
      </c>
      <c r="C3028" s="2" t="s">
        <v>4012</v>
      </c>
      <c r="D3028" s="2"/>
    </row>
    <row r="3029" spans="1:4">
      <c r="A3029" s="3">
        <v>166</v>
      </c>
      <c r="B3029" s="3" t="s">
        <v>483</v>
      </c>
      <c r="C3029" s="3" t="s">
        <v>4013</v>
      </c>
      <c r="D3029" s="3"/>
    </row>
    <row r="3030" spans="1:4">
      <c r="A3030" s="2">
        <v>166</v>
      </c>
      <c r="B3030" s="2" t="s">
        <v>483</v>
      </c>
      <c r="C3030" s="2" t="s">
        <v>4014</v>
      </c>
      <c r="D3030" s="2"/>
    </row>
    <row r="3031" spans="1:4">
      <c r="A3031" s="3">
        <v>166</v>
      </c>
      <c r="B3031" s="3" t="s">
        <v>483</v>
      </c>
      <c r="C3031" s="3" t="s">
        <v>4015</v>
      </c>
      <c r="D3031" s="3"/>
    </row>
    <row r="3032" spans="1:4">
      <c r="A3032" s="2">
        <v>166</v>
      </c>
      <c r="B3032" s="2" t="s">
        <v>483</v>
      </c>
      <c r="C3032" s="2" t="s">
        <v>4016</v>
      </c>
      <c r="D3032" s="2"/>
    </row>
    <row r="3033" spans="1:4">
      <c r="A3033" s="3">
        <v>166</v>
      </c>
      <c r="B3033" s="3" t="s">
        <v>483</v>
      </c>
      <c r="C3033" s="3" t="s">
        <v>4017</v>
      </c>
      <c r="D3033" s="3"/>
    </row>
    <row r="3034" spans="1:4">
      <c r="A3034" s="2">
        <v>166</v>
      </c>
      <c r="B3034" s="2" t="s">
        <v>483</v>
      </c>
      <c r="C3034" s="2" t="s">
        <v>4018</v>
      </c>
      <c r="D3034" s="2"/>
    </row>
    <row r="3035" spans="1:4">
      <c r="A3035" s="3">
        <v>166</v>
      </c>
      <c r="B3035" s="3" t="s">
        <v>483</v>
      </c>
      <c r="C3035" s="3" t="s">
        <v>4019</v>
      </c>
      <c r="D3035" s="3"/>
    </row>
    <row r="3036" spans="1:4">
      <c r="A3036" s="2">
        <v>166</v>
      </c>
      <c r="B3036" s="2" t="s">
        <v>483</v>
      </c>
      <c r="C3036" s="2" t="s">
        <v>4020</v>
      </c>
      <c r="D3036" s="2"/>
    </row>
    <row r="3037" spans="1:4">
      <c r="A3037" s="3">
        <v>167</v>
      </c>
      <c r="B3037" s="3" t="s">
        <v>469</v>
      </c>
      <c r="C3037" s="3" t="s">
        <v>4021</v>
      </c>
      <c r="D3037" s="3"/>
    </row>
    <row r="3038" spans="1:4">
      <c r="A3038" s="2">
        <v>167</v>
      </c>
      <c r="B3038" s="2" t="s">
        <v>469</v>
      </c>
      <c r="C3038" s="2" t="s">
        <v>4022</v>
      </c>
      <c r="D3038" s="2"/>
    </row>
    <row r="3039" spans="1:4">
      <c r="A3039" s="3">
        <v>167</v>
      </c>
      <c r="B3039" s="3" t="s">
        <v>469</v>
      </c>
      <c r="C3039" s="3" t="s">
        <v>4023</v>
      </c>
      <c r="D3039" s="3"/>
    </row>
    <row r="3040" spans="1:4">
      <c r="A3040" s="2">
        <v>167</v>
      </c>
      <c r="B3040" s="2" t="s">
        <v>469</v>
      </c>
      <c r="C3040" s="2" t="s">
        <v>4024</v>
      </c>
      <c r="D3040" s="2"/>
    </row>
    <row r="3041" spans="1:4">
      <c r="A3041" s="3">
        <v>167</v>
      </c>
      <c r="B3041" s="3" t="s">
        <v>469</v>
      </c>
      <c r="C3041" s="3" t="s">
        <v>4025</v>
      </c>
      <c r="D3041" s="3"/>
    </row>
    <row r="3042" spans="1:4">
      <c r="A3042" s="2">
        <v>167</v>
      </c>
      <c r="B3042" s="2" t="s">
        <v>469</v>
      </c>
      <c r="C3042" s="2" t="s">
        <v>4026</v>
      </c>
      <c r="D3042" s="2"/>
    </row>
    <row r="3043" spans="1:4">
      <c r="A3043" s="3">
        <v>167</v>
      </c>
      <c r="B3043" s="3" t="s">
        <v>469</v>
      </c>
      <c r="C3043" s="3" t="s">
        <v>4027</v>
      </c>
      <c r="D3043" s="3"/>
    </row>
    <row r="3044" spans="1:4">
      <c r="A3044" s="2">
        <v>167</v>
      </c>
      <c r="B3044" s="2" t="s">
        <v>469</v>
      </c>
      <c r="C3044" s="2" t="s">
        <v>4028</v>
      </c>
      <c r="D3044" s="2"/>
    </row>
    <row r="3045" spans="1:4">
      <c r="A3045" s="3">
        <v>167</v>
      </c>
      <c r="B3045" s="3" t="s">
        <v>469</v>
      </c>
      <c r="C3045" s="3" t="s">
        <v>4029</v>
      </c>
      <c r="D3045" s="3"/>
    </row>
    <row r="3046" spans="1:4">
      <c r="A3046" s="2">
        <v>167</v>
      </c>
      <c r="B3046" s="2" t="s">
        <v>469</v>
      </c>
      <c r="C3046" s="2" t="s">
        <v>4030</v>
      </c>
      <c r="D3046" s="2"/>
    </row>
    <row r="3047" spans="1:4">
      <c r="A3047" s="3">
        <v>167</v>
      </c>
      <c r="B3047" s="3" t="s">
        <v>469</v>
      </c>
      <c r="C3047" s="3" t="s">
        <v>4031</v>
      </c>
      <c r="D3047" s="3"/>
    </row>
    <row r="3048" spans="1:4">
      <c r="A3048" s="2">
        <v>167</v>
      </c>
      <c r="B3048" s="2" t="s">
        <v>469</v>
      </c>
      <c r="C3048" s="2" t="s">
        <v>4032</v>
      </c>
      <c r="D3048" s="2"/>
    </row>
    <row r="3049" spans="1:4">
      <c r="A3049" s="3">
        <v>167</v>
      </c>
      <c r="B3049" s="3" t="s">
        <v>469</v>
      </c>
      <c r="C3049" s="3" t="s">
        <v>4033</v>
      </c>
      <c r="D3049" s="3"/>
    </row>
    <row r="3050" spans="1:4">
      <c r="A3050" s="2">
        <v>167</v>
      </c>
      <c r="B3050" s="2" t="s">
        <v>469</v>
      </c>
      <c r="C3050" s="2" t="s">
        <v>4034</v>
      </c>
      <c r="D3050" s="2"/>
    </row>
    <row r="3051" spans="1:4">
      <c r="A3051" s="3">
        <v>167</v>
      </c>
      <c r="B3051" s="3" t="s">
        <v>469</v>
      </c>
      <c r="C3051" s="3" t="s">
        <v>4035</v>
      </c>
      <c r="D3051" s="3"/>
    </row>
    <row r="3052" spans="1:4">
      <c r="A3052" s="2">
        <v>168</v>
      </c>
      <c r="B3052" s="2" t="s">
        <v>626</v>
      </c>
      <c r="C3052" s="2" t="s">
        <v>4036</v>
      </c>
      <c r="D3052" s="2"/>
    </row>
    <row r="3053" spans="1:4">
      <c r="A3053" s="3">
        <v>168</v>
      </c>
      <c r="B3053" s="3" t="s">
        <v>626</v>
      </c>
      <c r="C3053" s="3" t="s">
        <v>4037</v>
      </c>
      <c r="D3053" s="3"/>
    </row>
    <row r="3054" spans="1:4">
      <c r="A3054" s="2">
        <v>168</v>
      </c>
      <c r="B3054" s="2" t="s">
        <v>626</v>
      </c>
      <c r="C3054" s="2" t="s">
        <v>4038</v>
      </c>
      <c r="D3054" s="2"/>
    </row>
    <row r="3055" spans="1:4">
      <c r="A3055" s="3">
        <v>168</v>
      </c>
      <c r="B3055" s="3" t="s">
        <v>626</v>
      </c>
      <c r="C3055" s="3" t="s">
        <v>4039</v>
      </c>
      <c r="D3055" s="3"/>
    </row>
    <row r="3056" spans="1:4">
      <c r="A3056" s="2">
        <v>168</v>
      </c>
      <c r="B3056" s="2" t="s">
        <v>626</v>
      </c>
      <c r="C3056" s="2" t="s">
        <v>4040</v>
      </c>
      <c r="D3056" s="2"/>
    </row>
    <row r="3057" spans="1:4">
      <c r="A3057" s="3">
        <v>168</v>
      </c>
      <c r="B3057" s="3" t="s">
        <v>626</v>
      </c>
      <c r="C3057" s="3" t="s">
        <v>4041</v>
      </c>
      <c r="D3057" s="3"/>
    </row>
    <row r="3058" spans="1:4">
      <c r="A3058" s="2">
        <v>168</v>
      </c>
      <c r="B3058" s="2" t="s">
        <v>626</v>
      </c>
      <c r="C3058" s="2" t="s">
        <v>4042</v>
      </c>
      <c r="D3058" s="2"/>
    </row>
    <row r="3059" spans="1:4">
      <c r="A3059" s="3">
        <v>168</v>
      </c>
      <c r="B3059" s="3" t="s">
        <v>626</v>
      </c>
      <c r="C3059" s="3" t="s">
        <v>4043</v>
      </c>
      <c r="D3059" s="3"/>
    </row>
    <row r="3060" spans="1:4">
      <c r="A3060" s="2">
        <v>168</v>
      </c>
      <c r="B3060" s="2" t="s">
        <v>626</v>
      </c>
      <c r="C3060" s="2" t="s">
        <v>4044</v>
      </c>
      <c r="D3060" s="2"/>
    </row>
    <row r="3061" spans="1:4">
      <c r="A3061" s="3">
        <v>168</v>
      </c>
      <c r="B3061" s="3" t="s">
        <v>626</v>
      </c>
      <c r="C3061" s="3" t="s">
        <v>4045</v>
      </c>
      <c r="D3061" s="3"/>
    </row>
    <row r="3062" spans="1:4">
      <c r="A3062" s="2">
        <v>168</v>
      </c>
      <c r="B3062" s="2" t="s">
        <v>626</v>
      </c>
      <c r="C3062" s="2" t="s">
        <v>4046</v>
      </c>
      <c r="D3062" s="2"/>
    </row>
    <row r="3063" spans="1:4">
      <c r="A3063" s="3">
        <v>168</v>
      </c>
      <c r="B3063" s="3" t="s">
        <v>626</v>
      </c>
      <c r="C3063" s="3" t="s">
        <v>4047</v>
      </c>
      <c r="D3063" s="3"/>
    </row>
    <row r="3064" spans="1:4">
      <c r="A3064" s="2">
        <v>168</v>
      </c>
      <c r="B3064" s="2" t="s">
        <v>626</v>
      </c>
      <c r="C3064" s="2" t="s">
        <v>4048</v>
      </c>
      <c r="D3064" s="2"/>
    </row>
    <row r="3065" spans="1:4">
      <c r="A3065" s="3">
        <v>168</v>
      </c>
      <c r="B3065" s="3" t="s">
        <v>626</v>
      </c>
      <c r="C3065" s="3" t="s">
        <v>4049</v>
      </c>
      <c r="D3065" s="3"/>
    </row>
    <row r="3066" spans="1:4">
      <c r="A3066" s="2">
        <v>168</v>
      </c>
      <c r="B3066" s="2" t="s">
        <v>626</v>
      </c>
      <c r="C3066" s="2" t="s">
        <v>4050</v>
      </c>
      <c r="D3066" s="2"/>
    </row>
    <row r="3067" spans="1:4">
      <c r="A3067" s="3">
        <v>169</v>
      </c>
      <c r="B3067" s="3" t="s">
        <v>616</v>
      </c>
      <c r="C3067" s="3" t="s">
        <v>4051</v>
      </c>
      <c r="D3067" s="3"/>
    </row>
    <row r="3068" spans="1:4">
      <c r="A3068" s="2">
        <v>169</v>
      </c>
      <c r="B3068" s="2" t="s">
        <v>616</v>
      </c>
      <c r="C3068" s="2" t="s">
        <v>4052</v>
      </c>
      <c r="D3068" s="2"/>
    </row>
    <row r="3069" spans="1:4">
      <c r="A3069" s="3">
        <v>169</v>
      </c>
      <c r="B3069" s="3" t="s">
        <v>616</v>
      </c>
      <c r="C3069" s="3" t="s">
        <v>4053</v>
      </c>
      <c r="D3069" s="3"/>
    </row>
    <row r="3070" spans="1:4">
      <c r="A3070" s="2">
        <v>169</v>
      </c>
      <c r="B3070" s="2" t="s">
        <v>616</v>
      </c>
      <c r="C3070" s="2" t="s">
        <v>4054</v>
      </c>
      <c r="D3070" s="2"/>
    </row>
    <row r="3071" spans="1:4">
      <c r="A3071" s="3">
        <v>169</v>
      </c>
      <c r="B3071" s="3" t="s">
        <v>616</v>
      </c>
      <c r="C3071" s="3" t="s">
        <v>4055</v>
      </c>
      <c r="D3071" s="3"/>
    </row>
    <row r="3072" spans="1:4">
      <c r="A3072" s="2">
        <v>169</v>
      </c>
      <c r="B3072" s="2" t="s">
        <v>616</v>
      </c>
      <c r="C3072" s="2" t="s">
        <v>4056</v>
      </c>
      <c r="D3072" s="2"/>
    </row>
    <row r="3073" spans="1:4">
      <c r="A3073" s="3">
        <v>169</v>
      </c>
      <c r="B3073" s="3" t="s">
        <v>616</v>
      </c>
      <c r="C3073" s="3" t="s">
        <v>4057</v>
      </c>
      <c r="D3073" s="3"/>
    </row>
    <row r="3074" spans="1:4">
      <c r="A3074" s="2">
        <v>169</v>
      </c>
      <c r="B3074" s="2" t="s">
        <v>616</v>
      </c>
      <c r="C3074" s="2" t="s">
        <v>4058</v>
      </c>
      <c r="D3074" s="2"/>
    </row>
    <row r="3075" spans="1:4">
      <c r="A3075" s="3">
        <v>169</v>
      </c>
      <c r="B3075" s="3" t="s">
        <v>616</v>
      </c>
      <c r="C3075" s="3" t="s">
        <v>4059</v>
      </c>
      <c r="D3075" s="3"/>
    </row>
    <row r="3076" spans="1:4">
      <c r="A3076" s="2">
        <v>169</v>
      </c>
      <c r="B3076" s="2" t="s">
        <v>616</v>
      </c>
      <c r="C3076" s="2" t="s">
        <v>4060</v>
      </c>
      <c r="D3076" s="2"/>
    </row>
    <row r="3077" spans="1:4">
      <c r="A3077" s="3">
        <v>169</v>
      </c>
      <c r="B3077" s="3" t="s">
        <v>616</v>
      </c>
      <c r="C3077" s="3" t="s">
        <v>4061</v>
      </c>
      <c r="D3077" s="3"/>
    </row>
    <row r="3078" spans="1:4">
      <c r="A3078" s="2">
        <v>169</v>
      </c>
      <c r="B3078" s="2" t="s">
        <v>616</v>
      </c>
      <c r="C3078" s="2" t="s">
        <v>4062</v>
      </c>
      <c r="D3078" s="2"/>
    </row>
    <row r="3079" spans="1:4">
      <c r="A3079" s="3">
        <v>169</v>
      </c>
      <c r="B3079" s="3" t="s">
        <v>616</v>
      </c>
      <c r="C3079" s="3" t="s">
        <v>4063</v>
      </c>
      <c r="D3079" s="3"/>
    </row>
    <row r="3080" spans="1:4">
      <c r="A3080" s="2">
        <v>169</v>
      </c>
      <c r="B3080" s="2" t="s">
        <v>616</v>
      </c>
      <c r="C3080" s="2" t="s">
        <v>4064</v>
      </c>
      <c r="D3080" s="2"/>
    </row>
    <row r="3081" spans="1:4">
      <c r="A3081" s="3">
        <v>169</v>
      </c>
      <c r="B3081" s="3" t="s">
        <v>616</v>
      </c>
      <c r="C3081" s="3" t="s">
        <v>4065</v>
      </c>
      <c r="D3081" s="3"/>
    </row>
    <row r="3082" spans="1:4">
      <c r="A3082" s="2">
        <v>169</v>
      </c>
      <c r="B3082" s="2" t="s">
        <v>616</v>
      </c>
      <c r="C3082" s="2" t="s">
        <v>4066</v>
      </c>
      <c r="D3082" s="2"/>
    </row>
    <row r="3083" spans="1:4">
      <c r="A3083" s="3">
        <v>169</v>
      </c>
      <c r="B3083" s="3" t="s">
        <v>616</v>
      </c>
      <c r="C3083" s="3" t="s">
        <v>4067</v>
      </c>
      <c r="D3083" s="3"/>
    </row>
    <row r="3084" spans="1:4">
      <c r="A3084" s="2">
        <v>169</v>
      </c>
      <c r="B3084" s="2" t="s">
        <v>616</v>
      </c>
      <c r="C3084" s="2" t="s">
        <v>4068</v>
      </c>
      <c r="D3084" s="2"/>
    </row>
    <row r="3085" spans="1:4">
      <c r="A3085" s="3">
        <v>169</v>
      </c>
      <c r="B3085" s="3" t="s">
        <v>616</v>
      </c>
      <c r="C3085" s="3" t="s">
        <v>4069</v>
      </c>
      <c r="D3085" s="3"/>
    </row>
    <row r="3086" spans="1:4">
      <c r="A3086" s="2">
        <v>169</v>
      </c>
      <c r="B3086" s="2" t="s">
        <v>616</v>
      </c>
      <c r="C3086" s="2" t="s">
        <v>4070</v>
      </c>
      <c r="D3086" s="2"/>
    </row>
    <row r="3087" spans="1:4">
      <c r="A3087" s="3">
        <v>169</v>
      </c>
      <c r="B3087" s="3" t="s">
        <v>616</v>
      </c>
      <c r="C3087" s="3" t="s">
        <v>4071</v>
      </c>
      <c r="D3087" s="3"/>
    </row>
    <row r="3088" spans="1:4">
      <c r="A3088" s="2">
        <v>169</v>
      </c>
      <c r="B3088" s="2" t="s">
        <v>616</v>
      </c>
      <c r="C3088" s="2" t="s">
        <v>4072</v>
      </c>
      <c r="D3088" s="2"/>
    </row>
    <row r="3089" spans="1:4">
      <c r="A3089" s="3">
        <v>169</v>
      </c>
      <c r="B3089" s="3" t="s">
        <v>616</v>
      </c>
      <c r="C3089" s="3" t="s">
        <v>4073</v>
      </c>
      <c r="D3089" s="3"/>
    </row>
    <row r="3090" spans="1:4">
      <c r="A3090" s="2">
        <v>169</v>
      </c>
      <c r="B3090" s="2" t="s">
        <v>616</v>
      </c>
      <c r="C3090" s="2" t="s">
        <v>4074</v>
      </c>
      <c r="D3090" s="2"/>
    </row>
    <row r="3091" spans="1:4">
      <c r="A3091" s="3">
        <v>169</v>
      </c>
      <c r="B3091" s="3" t="s">
        <v>616</v>
      </c>
      <c r="C3091" s="3" t="s">
        <v>4075</v>
      </c>
      <c r="D3091" s="3"/>
    </row>
    <row r="3092" spans="1:4">
      <c r="A3092" s="2">
        <v>169</v>
      </c>
      <c r="B3092" s="2" t="s">
        <v>616</v>
      </c>
      <c r="C3092" s="2" t="s">
        <v>4076</v>
      </c>
      <c r="D3092" s="2"/>
    </row>
    <row r="3093" spans="1:4">
      <c r="A3093" s="3">
        <v>169</v>
      </c>
      <c r="B3093" s="3" t="s">
        <v>616</v>
      </c>
      <c r="C3093" s="3" t="s">
        <v>4077</v>
      </c>
      <c r="D3093" s="3"/>
    </row>
    <row r="3094" spans="1:4">
      <c r="A3094" s="2">
        <v>169</v>
      </c>
      <c r="B3094" s="2" t="s">
        <v>616</v>
      </c>
      <c r="C3094" s="2" t="s">
        <v>4078</v>
      </c>
      <c r="D3094" s="2"/>
    </row>
    <row r="3095" spans="1:4">
      <c r="A3095" s="3">
        <v>169</v>
      </c>
      <c r="B3095" s="3" t="s">
        <v>616</v>
      </c>
      <c r="C3095" s="3" t="s">
        <v>4079</v>
      </c>
      <c r="D3095" s="3"/>
    </row>
    <row r="3096" spans="1:4">
      <c r="A3096" s="2">
        <v>169</v>
      </c>
      <c r="B3096" s="2" t="s">
        <v>616</v>
      </c>
      <c r="C3096" s="2" t="s">
        <v>4080</v>
      </c>
      <c r="D3096" s="2"/>
    </row>
    <row r="3097" spans="1:4">
      <c r="A3097" s="3">
        <v>169</v>
      </c>
      <c r="B3097" s="3" t="s">
        <v>616</v>
      </c>
      <c r="C3097" s="3" t="s">
        <v>4081</v>
      </c>
      <c r="D3097" s="3"/>
    </row>
    <row r="3098" spans="1:4">
      <c r="A3098" s="2">
        <v>169</v>
      </c>
      <c r="B3098" s="2" t="s">
        <v>616</v>
      </c>
      <c r="C3098" s="2" t="s">
        <v>4082</v>
      </c>
      <c r="D3098" s="2"/>
    </row>
    <row r="3099" spans="1:4">
      <c r="A3099" s="3">
        <v>169</v>
      </c>
      <c r="B3099" s="3" t="s">
        <v>616</v>
      </c>
      <c r="C3099" s="3" t="s">
        <v>4083</v>
      </c>
      <c r="D3099" s="3"/>
    </row>
    <row r="3100" spans="1:4">
      <c r="A3100" s="2">
        <v>171</v>
      </c>
      <c r="B3100" s="2" t="s">
        <v>622</v>
      </c>
      <c r="C3100" s="2" t="s">
        <v>4084</v>
      </c>
      <c r="D3100" s="2"/>
    </row>
    <row r="3101" spans="1:4">
      <c r="A3101" s="3">
        <v>171</v>
      </c>
      <c r="B3101" s="3" t="s">
        <v>622</v>
      </c>
      <c r="C3101" s="3" t="s">
        <v>4085</v>
      </c>
      <c r="D3101" s="3"/>
    </row>
    <row r="3102" spans="1:4">
      <c r="A3102" s="2">
        <v>171</v>
      </c>
      <c r="B3102" s="2" t="s">
        <v>622</v>
      </c>
      <c r="C3102" s="2" t="s">
        <v>4086</v>
      </c>
      <c r="D3102" s="2"/>
    </row>
    <row r="3103" spans="1:4">
      <c r="A3103" s="3">
        <v>171</v>
      </c>
      <c r="B3103" s="3" t="s">
        <v>622</v>
      </c>
      <c r="C3103" s="3" t="s">
        <v>4087</v>
      </c>
      <c r="D3103" s="3"/>
    </row>
    <row r="3104" spans="1:4">
      <c r="A3104" s="2">
        <v>171</v>
      </c>
      <c r="B3104" s="2" t="s">
        <v>622</v>
      </c>
      <c r="C3104" s="2" t="s">
        <v>4088</v>
      </c>
      <c r="D3104" s="2"/>
    </row>
    <row r="3105" spans="1:4">
      <c r="A3105" s="3">
        <v>172</v>
      </c>
      <c r="B3105" s="3" t="s">
        <v>630</v>
      </c>
      <c r="C3105" s="3" t="s">
        <v>4089</v>
      </c>
      <c r="D3105" s="3"/>
    </row>
    <row r="3106" spans="1:4">
      <c r="A3106" s="2">
        <v>172</v>
      </c>
      <c r="B3106" s="2" t="s">
        <v>630</v>
      </c>
      <c r="C3106" s="2" t="s">
        <v>4090</v>
      </c>
      <c r="D3106" s="2"/>
    </row>
    <row r="3107" spans="1:4">
      <c r="A3107" s="3">
        <v>172</v>
      </c>
      <c r="B3107" s="3" t="s">
        <v>630</v>
      </c>
      <c r="C3107" s="3" t="s">
        <v>4091</v>
      </c>
      <c r="D3107" s="3"/>
    </row>
    <row r="3108" spans="1:4">
      <c r="A3108" s="2">
        <v>172</v>
      </c>
      <c r="B3108" s="2" t="s">
        <v>630</v>
      </c>
      <c r="C3108" s="2" t="s">
        <v>4092</v>
      </c>
      <c r="D3108" s="2"/>
    </row>
    <row r="3109" spans="1:4">
      <c r="A3109" s="3">
        <v>173</v>
      </c>
      <c r="B3109" s="3" t="s">
        <v>633</v>
      </c>
      <c r="C3109" s="3" t="s">
        <v>4093</v>
      </c>
      <c r="D3109" s="3"/>
    </row>
    <row r="3110" spans="1:4">
      <c r="A3110" s="2">
        <v>173</v>
      </c>
      <c r="B3110" s="2" t="s">
        <v>633</v>
      </c>
      <c r="C3110" s="2" t="s">
        <v>4094</v>
      </c>
      <c r="D3110" s="2"/>
    </row>
    <row r="3111" spans="1:4">
      <c r="A3111" s="3">
        <v>173</v>
      </c>
      <c r="B3111" s="3" t="s">
        <v>633</v>
      </c>
      <c r="C3111" s="3" t="s">
        <v>4095</v>
      </c>
      <c r="D3111" s="3"/>
    </row>
    <row r="3112" spans="1:4">
      <c r="A3112" s="2">
        <v>173</v>
      </c>
      <c r="B3112" s="2" t="s">
        <v>633</v>
      </c>
      <c r="C3112" s="2" t="s">
        <v>4096</v>
      </c>
      <c r="D3112" s="2"/>
    </row>
    <row r="3113" spans="1:4">
      <c r="A3113" s="3">
        <v>173</v>
      </c>
      <c r="B3113" s="3" t="s">
        <v>633</v>
      </c>
      <c r="C3113" s="3" t="s">
        <v>4097</v>
      </c>
      <c r="D3113" s="3"/>
    </row>
    <row r="3114" spans="1:4">
      <c r="A3114" s="2">
        <v>173</v>
      </c>
      <c r="B3114" s="2" t="s">
        <v>633</v>
      </c>
      <c r="C3114" s="2" t="s">
        <v>4098</v>
      </c>
      <c r="D3114" s="2"/>
    </row>
    <row r="3115" spans="1:4">
      <c r="A3115" s="3">
        <v>173</v>
      </c>
      <c r="B3115" s="3" t="s">
        <v>633</v>
      </c>
      <c r="C3115" s="3" t="s">
        <v>4099</v>
      </c>
      <c r="D3115" s="3"/>
    </row>
    <row r="3116" spans="1:4">
      <c r="A3116" s="2">
        <v>173</v>
      </c>
      <c r="B3116" s="2" t="s">
        <v>633</v>
      </c>
      <c r="C3116" s="2" t="s">
        <v>4100</v>
      </c>
      <c r="D3116" s="2"/>
    </row>
    <row r="3117" spans="1:4">
      <c r="A3117" s="3">
        <v>173</v>
      </c>
      <c r="B3117" s="3" t="s">
        <v>633</v>
      </c>
      <c r="C3117" s="3" t="s">
        <v>4101</v>
      </c>
      <c r="D3117" s="3"/>
    </row>
    <row r="3118" spans="1:4">
      <c r="A3118" s="2">
        <v>174</v>
      </c>
      <c r="B3118" s="2" t="s">
        <v>612</v>
      </c>
      <c r="C3118" s="2" t="s">
        <v>4102</v>
      </c>
      <c r="D3118" s="2"/>
    </row>
    <row r="3119" spans="1:4">
      <c r="A3119" s="3">
        <v>175</v>
      </c>
      <c r="B3119" s="3" t="s">
        <v>636</v>
      </c>
      <c r="C3119" s="3" t="s">
        <v>4103</v>
      </c>
      <c r="D3119" s="3"/>
    </row>
    <row r="3120" spans="1:4">
      <c r="A3120" s="2">
        <v>175</v>
      </c>
      <c r="B3120" s="2" t="s">
        <v>636</v>
      </c>
      <c r="C3120" s="2" t="s">
        <v>4104</v>
      </c>
      <c r="D3120" s="2"/>
    </row>
    <row r="3121" spans="1:4">
      <c r="A3121" s="3">
        <v>175</v>
      </c>
      <c r="B3121" s="3" t="s">
        <v>636</v>
      </c>
      <c r="C3121" s="3" t="s">
        <v>4105</v>
      </c>
      <c r="D3121" s="3"/>
    </row>
    <row r="3122" spans="1:4">
      <c r="A3122" s="2">
        <v>175</v>
      </c>
      <c r="B3122" s="2" t="s">
        <v>636</v>
      </c>
      <c r="C3122" s="2" t="s">
        <v>4106</v>
      </c>
      <c r="D3122" s="2"/>
    </row>
    <row r="3123" spans="1:4">
      <c r="A3123" s="3">
        <v>175</v>
      </c>
      <c r="B3123" s="3" t="s">
        <v>636</v>
      </c>
      <c r="C3123" s="3" t="s">
        <v>4107</v>
      </c>
      <c r="D3123" s="3"/>
    </row>
    <row r="3124" spans="1:4">
      <c r="A3124" s="2">
        <v>175</v>
      </c>
      <c r="B3124" s="2" t="s">
        <v>636</v>
      </c>
      <c r="C3124" s="2" t="s">
        <v>4108</v>
      </c>
      <c r="D3124" s="2"/>
    </row>
    <row r="3125" spans="1:4">
      <c r="A3125" s="3">
        <v>175</v>
      </c>
      <c r="B3125" s="3" t="s">
        <v>636</v>
      </c>
      <c r="C3125" s="3" t="s">
        <v>4109</v>
      </c>
      <c r="D3125" s="3"/>
    </row>
    <row r="3126" spans="1:4">
      <c r="A3126" s="2">
        <v>175</v>
      </c>
      <c r="B3126" s="2" t="s">
        <v>636</v>
      </c>
      <c r="C3126" s="2" t="s">
        <v>4110</v>
      </c>
      <c r="D3126" s="2"/>
    </row>
    <row r="3127" spans="1:4">
      <c r="A3127" s="3">
        <v>175</v>
      </c>
      <c r="B3127" s="3" t="s">
        <v>636</v>
      </c>
      <c r="C3127" s="3" t="s">
        <v>4111</v>
      </c>
      <c r="D3127" s="3"/>
    </row>
    <row r="3128" spans="1:4">
      <c r="A3128" s="2">
        <v>175</v>
      </c>
      <c r="B3128" s="2" t="s">
        <v>636</v>
      </c>
      <c r="C3128" s="2" t="s">
        <v>4112</v>
      </c>
      <c r="D3128" s="2"/>
    </row>
    <row r="3129" spans="1:4">
      <c r="A3129" s="3">
        <v>175</v>
      </c>
      <c r="B3129" s="3" t="s">
        <v>636</v>
      </c>
      <c r="C3129" s="3" t="s">
        <v>4113</v>
      </c>
      <c r="D3129" s="3"/>
    </row>
    <row r="3130" spans="1:4">
      <c r="A3130" s="2">
        <v>175</v>
      </c>
      <c r="B3130" s="2" t="s">
        <v>636</v>
      </c>
      <c r="C3130" s="2" t="s">
        <v>4114</v>
      </c>
      <c r="D3130" s="2"/>
    </row>
    <row r="3131" spans="1:4">
      <c r="A3131" s="3">
        <v>175</v>
      </c>
      <c r="B3131" s="3" t="s">
        <v>636</v>
      </c>
      <c r="C3131" s="3" t="s">
        <v>4115</v>
      </c>
      <c r="D3131" s="3"/>
    </row>
    <row r="3132" spans="1:4">
      <c r="A3132" s="2">
        <v>176</v>
      </c>
      <c r="B3132" s="2" t="s">
        <v>609</v>
      </c>
      <c r="C3132" s="2" t="s">
        <v>4116</v>
      </c>
      <c r="D3132" s="2"/>
    </row>
    <row r="3133" spans="1:4">
      <c r="A3133" s="3">
        <v>176</v>
      </c>
      <c r="B3133" s="3" t="s">
        <v>609</v>
      </c>
      <c r="C3133" s="3" t="s">
        <v>4117</v>
      </c>
      <c r="D3133" s="3"/>
    </row>
    <row r="3134" spans="1:4">
      <c r="A3134" s="2">
        <v>176</v>
      </c>
      <c r="B3134" s="2" t="s">
        <v>609</v>
      </c>
      <c r="C3134" s="2" t="s">
        <v>4118</v>
      </c>
      <c r="D3134" s="2"/>
    </row>
    <row r="3135" spans="1:4">
      <c r="A3135" s="3">
        <v>176</v>
      </c>
      <c r="B3135" s="3" t="s">
        <v>609</v>
      </c>
      <c r="C3135" s="3" t="s">
        <v>4119</v>
      </c>
      <c r="D3135" s="3"/>
    </row>
    <row r="3136" spans="1:4">
      <c r="A3136" s="2">
        <v>176</v>
      </c>
      <c r="B3136" s="2" t="s">
        <v>609</v>
      </c>
      <c r="C3136" s="2" t="s">
        <v>4120</v>
      </c>
      <c r="D3136" s="2"/>
    </row>
    <row r="3137" spans="1:4">
      <c r="A3137" s="3">
        <v>176</v>
      </c>
      <c r="B3137" s="3" t="s">
        <v>609</v>
      </c>
      <c r="C3137" s="3" t="s">
        <v>4121</v>
      </c>
      <c r="D3137" s="3"/>
    </row>
    <row r="3138" spans="1:4">
      <c r="A3138" s="2">
        <v>176</v>
      </c>
      <c r="B3138" s="2" t="s">
        <v>609</v>
      </c>
      <c r="C3138" s="2" t="s">
        <v>4122</v>
      </c>
      <c r="D3138" s="2"/>
    </row>
    <row r="3139" spans="1:4">
      <c r="A3139" s="3">
        <v>176</v>
      </c>
      <c r="B3139" s="3" t="s">
        <v>609</v>
      </c>
      <c r="C3139" s="3" t="s">
        <v>4123</v>
      </c>
      <c r="D3139" s="3"/>
    </row>
    <row r="3140" spans="1:4">
      <c r="A3140" s="2">
        <v>176</v>
      </c>
      <c r="B3140" s="2" t="s">
        <v>609</v>
      </c>
      <c r="C3140" s="2" t="s">
        <v>4124</v>
      </c>
      <c r="D3140" s="2"/>
    </row>
    <row r="3141" spans="1:4">
      <c r="A3141" s="3">
        <v>176</v>
      </c>
      <c r="B3141" s="3" t="s">
        <v>609</v>
      </c>
      <c r="C3141" s="3" t="s">
        <v>4125</v>
      </c>
      <c r="D3141" s="3"/>
    </row>
    <row r="3142" spans="1:4">
      <c r="A3142" s="2">
        <v>176</v>
      </c>
      <c r="B3142" s="2" t="s">
        <v>609</v>
      </c>
      <c r="C3142" s="2" t="s">
        <v>4126</v>
      </c>
      <c r="D3142" s="2"/>
    </row>
    <row r="3143" spans="1:4">
      <c r="A3143" s="3">
        <v>176</v>
      </c>
      <c r="B3143" s="3" t="s">
        <v>609</v>
      </c>
      <c r="C3143" s="3" t="s">
        <v>4127</v>
      </c>
      <c r="D3143" s="3"/>
    </row>
    <row r="3144" spans="1:4">
      <c r="A3144" s="2">
        <v>176</v>
      </c>
      <c r="B3144" s="2" t="s">
        <v>609</v>
      </c>
      <c r="C3144" s="2" t="s">
        <v>4128</v>
      </c>
      <c r="D3144" s="2"/>
    </row>
    <row r="3145" spans="1:4">
      <c r="A3145" s="3">
        <v>177</v>
      </c>
      <c r="B3145" s="3" t="s">
        <v>605</v>
      </c>
      <c r="C3145" s="3" t="s">
        <v>4129</v>
      </c>
      <c r="D3145" s="3"/>
    </row>
    <row r="3146" spans="1:4">
      <c r="A3146" s="2">
        <v>177</v>
      </c>
      <c r="B3146" s="2" t="s">
        <v>605</v>
      </c>
      <c r="C3146" s="2" t="s">
        <v>4130</v>
      </c>
      <c r="D3146" s="2"/>
    </row>
    <row r="3147" spans="1:4">
      <c r="A3147" s="3">
        <v>177</v>
      </c>
      <c r="B3147" s="3" t="s">
        <v>605</v>
      </c>
      <c r="C3147" s="3" t="s">
        <v>4131</v>
      </c>
      <c r="D3147" s="3"/>
    </row>
    <row r="3148" spans="1:4">
      <c r="A3148" s="2">
        <v>177</v>
      </c>
      <c r="B3148" s="2" t="s">
        <v>605</v>
      </c>
      <c r="C3148" s="2" t="s">
        <v>4132</v>
      </c>
      <c r="D3148" s="2"/>
    </row>
    <row r="3149" spans="1:4">
      <c r="A3149" s="3">
        <v>177</v>
      </c>
      <c r="B3149" s="3" t="s">
        <v>605</v>
      </c>
      <c r="C3149" s="3" t="s">
        <v>4133</v>
      </c>
      <c r="D3149" s="3"/>
    </row>
    <row r="3150" spans="1:4">
      <c r="A3150" s="2">
        <v>177</v>
      </c>
      <c r="B3150" s="2" t="s">
        <v>605</v>
      </c>
      <c r="C3150" s="2" t="s">
        <v>4134</v>
      </c>
      <c r="D3150" s="2"/>
    </row>
    <row r="3151" spans="1:4">
      <c r="A3151" s="3">
        <v>177</v>
      </c>
      <c r="B3151" s="3" t="s">
        <v>605</v>
      </c>
      <c r="C3151" s="3" t="s">
        <v>4135</v>
      </c>
      <c r="D3151" s="3"/>
    </row>
    <row r="3152" spans="1:4">
      <c r="A3152" s="2">
        <v>177</v>
      </c>
      <c r="B3152" s="2" t="s">
        <v>605</v>
      </c>
      <c r="C3152" s="2" t="s">
        <v>4136</v>
      </c>
      <c r="D3152" s="2"/>
    </row>
    <row r="3153" spans="1:4">
      <c r="A3153" s="3">
        <v>177</v>
      </c>
      <c r="B3153" s="3" t="s">
        <v>605</v>
      </c>
      <c r="C3153" s="3" t="s">
        <v>4137</v>
      </c>
      <c r="D3153" s="3"/>
    </row>
    <row r="3154" spans="1:4">
      <c r="A3154" s="2">
        <v>177</v>
      </c>
      <c r="B3154" s="2" t="s">
        <v>605</v>
      </c>
      <c r="C3154" s="2" t="s">
        <v>4138</v>
      </c>
      <c r="D3154" s="2"/>
    </row>
    <row r="3155" spans="1:4">
      <c r="A3155" s="3">
        <v>177</v>
      </c>
      <c r="B3155" s="3" t="s">
        <v>605</v>
      </c>
      <c r="C3155" s="3" t="s">
        <v>4139</v>
      </c>
      <c r="D3155" s="3"/>
    </row>
    <row r="3156" spans="1:4">
      <c r="A3156" s="2">
        <v>177</v>
      </c>
      <c r="B3156" s="2" t="s">
        <v>605</v>
      </c>
      <c r="C3156" s="2" t="s">
        <v>4140</v>
      </c>
      <c r="D3156" s="2"/>
    </row>
    <row r="3157" spans="1:4">
      <c r="A3157" s="3">
        <v>177</v>
      </c>
      <c r="B3157" s="3" t="s">
        <v>605</v>
      </c>
      <c r="C3157" s="3" t="s">
        <v>4141</v>
      </c>
      <c r="D3157" s="3"/>
    </row>
    <row r="3158" spans="1:4">
      <c r="A3158" s="2">
        <v>177</v>
      </c>
      <c r="B3158" s="2" t="s">
        <v>605</v>
      </c>
      <c r="C3158" s="2" t="s">
        <v>4142</v>
      </c>
      <c r="D3158" s="2"/>
    </row>
    <row r="3159" spans="1:4">
      <c r="A3159" s="3">
        <v>177</v>
      </c>
      <c r="B3159" s="3" t="s">
        <v>605</v>
      </c>
      <c r="C3159" s="3" t="s">
        <v>4143</v>
      </c>
      <c r="D3159" s="3"/>
    </row>
    <row r="3160" spans="1:4">
      <c r="A3160" s="2">
        <v>177</v>
      </c>
      <c r="B3160" s="2" t="s">
        <v>605</v>
      </c>
      <c r="C3160" s="2" t="s">
        <v>4144</v>
      </c>
      <c r="D3160" s="2"/>
    </row>
    <row r="3161" spans="1:4">
      <c r="A3161" s="3">
        <v>177</v>
      </c>
      <c r="B3161" s="3" t="s">
        <v>605</v>
      </c>
      <c r="C3161" s="3" t="s">
        <v>4145</v>
      </c>
      <c r="D3161" s="3"/>
    </row>
    <row r="3162" spans="1:4">
      <c r="A3162" s="2">
        <v>177</v>
      </c>
      <c r="B3162" s="2" t="s">
        <v>605</v>
      </c>
      <c r="C3162" s="2" t="s">
        <v>4146</v>
      </c>
      <c r="D3162" s="2"/>
    </row>
    <row r="3163" spans="1:4">
      <c r="A3163" s="3">
        <v>177</v>
      </c>
      <c r="B3163" s="3" t="s">
        <v>605</v>
      </c>
      <c r="C3163" s="3" t="s">
        <v>4147</v>
      </c>
      <c r="D3163" s="3"/>
    </row>
    <row r="3164" spans="1:4">
      <c r="A3164" s="2">
        <v>178</v>
      </c>
      <c r="B3164" s="2" t="s">
        <v>640</v>
      </c>
      <c r="C3164" s="2" t="s">
        <v>4148</v>
      </c>
      <c r="D3164" s="2"/>
    </row>
    <row r="3165" spans="1:4">
      <c r="A3165" s="3">
        <v>178</v>
      </c>
      <c r="B3165" s="3" t="s">
        <v>640</v>
      </c>
      <c r="C3165" s="3" t="s">
        <v>4149</v>
      </c>
      <c r="D3165" s="3"/>
    </row>
    <row r="3166" spans="1:4">
      <c r="A3166" s="2">
        <v>178</v>
      </c>
      <c r="B3166" s="2" t="s">
        <v>640</v>
      </c>
      <c r="C3166" s="2" t="s">
        <v>4150</v>
      </c>
      <c r="D3166" s="2"/>
    </row>
    <row r="3167" spans="1:4">
      <c r="A3167" s="3">
        <v>178</v>
      </c>
      <c r="B3167" s="3" t="s">
        <v>640</v>
      </c>
      <c r="C3167" s="3" t="s">
        <v>4151</v>
      </c>
      <c r="D3167" s="3"/>
    </row>
    <row r="3168" spans="1:4">
      <c r="A3168" s="2">
        <v>178</v>
      </c>
      <c r="B3168" s="2" t="s">
        <v>640</v>
      </c>
      <c r="C3168" s="2" t="s">
        <v>4152</v>
      </c>
      <c r="D3168" s="2"/>
    </row>
    <row r="3169" spans="1:4">
      <c r="A3169" s="3">
        <v>178</v>
      </c>
      <c r="B3169" s="3" t="s">
        <v>640</v>
      </c>
      <c r="C3169" s="3" t="s">
        <v>4153</v>
      </c>
      <c r="D3169" s="3"/>
    </row>
    <row r="3170" spans="1:4">
      <c r="A3170" s="2">
        <v>178</v>
      </c>
      <c r="B3170" s="2" t="s">
        <v>640</v>
      </c>
      <c r="C3170" s="2" t="s">
        <v>4154</v>
      </c>
      <c r="D3170" s="2"/>
    </row>
    <row r="3171" spans="1:4">
      <c r="A3171" s="3">
        <v>179</v>
      </c>
      <c r="B3171" s="3" t="s">
        <v>603</v>
      </c>
      <c r="C3171" s="3" t="s">
        <v>4155</v>
      </c>
      <c r="D3171" s="3"/>
    </row>
    <row r="3172" spans="1:4">
      <c r="A3172" s="2">
        <v>179</v>
      </c>
      <c r="B3172" s="2" t="s">
        <v>603</v>
      </c>
      <c r="C3172" s="2" t="s">
        <v>4156</v>
      </c>
      <c r="D3172" s="2"/>
    </row>
    <row r="3173" spans="1:4">
      <c r="A3173" s="3">
        <v>179</v>
      </c>
      <c r="B3173" s="3" t="s">
        <v>603</v>
      </c>
      <c r="C3173" s="3" t="s">
        <v>4157</v>
      </c>
      <c r="D3173" s="3"/>
    </row>
    <row r="3174" spans="1:4">
      <c r="A3174" s="2">
        <v>179</v>
      </c>
      <c r="B3174" s="2" t="s">
        <v>603</v>
      </c>
      <c r="C3174" s="2" t="s">
        <v>4158</v>
      </c>
      <c r="D3174" s="2"/>
    </row>
    <row r="3175" spans="1:4">
      <c r="A3175" s="3">
        <v>179</v>
      </c>
      <c r="B3175" s="3" t="s">
        <v>603</v>
      </c>
      <c r="C3175" s="3" t="s">
        <v>4159</v>
      </c>
      <c r="D3175" s="3"/>
    </row>
    <row r="3176" spans="1:4">
      <c r="A3176" s="2">
        <v>179</v>
      </c>
      <c r="B3176" s="2" t="s">
        <v>603</v>
      </c>
      <c r="C3176" s="2" t="s">
        <v>4160</v>
      </c>
      <c r="D3176" s="2"/>
    </row>
    <row r="3177" spans="1:4">
      <c r="A3177" s="3">
        <v>179</v>
      </c>
      <c r="B3177" s="3" t="s">
        <v>603</v>
      </c>
      <c r="C3177" s="3" t="s">
        <v>4161</v>
      </c>
      <c r="D3177" s="3"/>
    </row>
    <row r="3178" spans="1:4">
      <c r="A3178" s="2">
        <v>179</v>
      </c>
      <c r="B3178" s="2" t="s">
        <v>603</v>
      </c>
      <c r="C3178" s="2" t="s">
        <v>4162</v>
      </c>
      <c r="D3178" s="2"/>
    </row>
    <row r="3179" spans="1:4">
      <c r="A3179" s="3">
        <v>179</v>
      </c>
      <c r="B3179" s="3" t="s">
        <v>603</v>
      </c>
      <c r="C3179" s="3" t="s">
        <v>4162</v>
      </c>
      <c r="D3179" s="3"/>
    </row>
    <row r="3180" spans="1:4">
      <c r="A3180" s="2">
        <v>179</v>
      </c>
      <c r="B3180" s="2" t="s">
        <v>603</v>
      </c>
      <c r="C3180" s="2" t="s">
        <v>4163</v>
      </c>
      <c r="D3180" s="2"/>
    </row>
    <row r="3181" spans="1:4">
      <c r="A3181" s="3">
        <v>179</v>
      </c>
      <c r="B3181" s="3" t="s">
        <v>603</v>
      </c>
      <c r="C3181" s="3" t="s">
        <v>4164</v>
      </c>
      <c r="D3181" s="3"/>
    </row>
    <row r="3182" spans="1:4">
      <c r="A3182" s="2">
        <v>179</v>
      </c>
      <c r="B3182" s="2" t="s">
        <v>603</v>
      </c>
      <c r="C3182" s="2" t="s">
        <v>4165</v>
      </c>
      <c r="D3182" s="2"/>
    </row>
    <row r="3183" spans="1:4">
      <c r="A3183" s="3">
        <v>179</v>
      </c>
      <c r="B3183" s="3" t="s">
        <v>603</v>
      </c>
      <c r="C3183" s="3" t="s">
        <v>4166</v>
      </c>
      <c r="D3183" s="3"/>
    </row>
    <row r="3184" spans="1:4">
      <c r="A3184" s="2">
        <v>179</v>
      </c>
      <c r="B3184" s="2" t="s">
        <v>603</v>
      </c>
      <c r="C3184" s="2" t="s">
        <v>4167</v>
      </c>
      <c r="D3184" s="2"/>
    </row>
    <row r="3185" spans="1:4">
      <c r="A3185" s="3">
        <v>179</v>
      </c>
      <c r="B3185" s="3" t="s">
        <v>603</v>
      </c>
      <c r="C3185" s="3" t="s">
        <v>4168</v>
      </c>
      <c r="D3185" s="3"/>
    </row>
    <row r="3186" spans="1:4">
      <c r="A3186" s="2">
        <v>179</v>
      </c>
      <c r="B3186" s="2" t="s">
        <v>603</v>
      </c>
      <c r="C3186" s="2" t="s">
        <v>4169</v>
      </c>
      <c r="D3186" s="2"/>
    </row>
    <row r="3187" spans="1:4">
      <c r="A3187" s="3">
        <v>179</v>
      </c>
      <c r="B3187" s="3" t="s">
        <v>603</v>
      </c>
      <c r="C3187" s="3" t="s">
        <v>4159</v>
      </c>
      <c r="D3187" s="3"/>
    </row>
    <row r="3188" spans="1:4">
      <c r="A3188" s="2">
        <v>179</v>
      </c>
      <c r="B3188" s="2" t="s">
        <v>603</v>
      </c>
      <c r="C3188" s="2" t="s">
        <v>4170</v>
      </c>
      <c r="D3188" s="2"/>
    </row>
    <row r="3189" spans="1:4">
      <c r="A3189" s="3">
        <v>179</v>
      </c>
      <c r="B3189" s="3" t="s">
        <v>603</v>
      </c>
      <c r="C3189" s="3" t="s">
        <v>4171</v>
      </c>
      <c r="D3189" s="3"/>
    </row>
    <row r="3190" spans="1:4">
      <c r="A3190" s="2">
        <v>179</v>
      </c>
      <c r="B3190" s="2" t="s">
        <v>603</v>
      </c>
      <c r="C3190" s="2" t="s">
        <v>4172</v>
      </c>
      <c r="D3190" s="2"/>
    </row>
    <row r="3191" spans="1:4">
      <c r="A3191" s="3">
        <v>179</v>
      </c>
      <c r="B3191" s="3" t="s">
        <v>603</v>
      </c>
      <c r="C3191" s="3" t="s">
        <v>4173</v>
      </c>
      <c r="D3191" s="3"/>
    </row>
    <row r="3192" spans="1:4">
      <c r="A3192" s="2">
        <v>179</v>
      </c>
      <c r="B3192" s="2" t="s">
        <v>603</v>
      </c>
      <c r="C3192" s="2" t="s">
        <v>4174</v>
      </c>
      <c r="D3192" s="2"/>
    </row>
    <row r="3193" spans="1:4">
      <c r="A3193" s="3">
        <v>179</v>
      </c>
      <c r="B3193" s="3" t="s">
        <v>603</v>
      </c>
      <c r="C3193" s="3" t="s">
        <v>4175</v>
      </c>
      <c r="D3193" s="3"/>
    </row>
    <row r="3194" spans="1:4">
      <c r="A3194" s="2">
        <v>179</v>
      </c>
      <c r="B3194" s="2" t="s">
        <v>603</v>
      </c>
      <c r="C3194" s="2" t="s">
        <v>4176</v>
      </c>
      <c r="D3194" s="2"/>
    </row>
    <row r="3195" spans="1:4">
      <c r="A3195" s="3">
        <v>179</v>
      </c>
      <c r="B3195" s="3" t="s">
        <v>603</v>
      </c>
      <c r="C3195" s="3" t="s">
        <v>4177</v>
      </c>
      <c r="D3195" s="3"/>
    </row>
    <row r="3196" spans="1:4">
      <c r="A3196" s="2">
        <v>179</v>
      </c>
      <c r="B3196" s="2" t="s">
        <v>603</v>
      </c>
      <c r="C3196" s="2" t="s">
        <v>4178</v>
      </c>
      <c r="D3196" s="2"/>
    </row>
    <row r="3197" spans="1:4">
      <c r="A3197" s="3">
        <v>179</v>
      </c>
      <c r="B3197" s="3" t="s">
        <v>603</v>
      </c>
      <c r="C3197" s="3" t="s">
        <v>4179</v>
      </c>
      <c r="D3197" s="3"/>
    </row>
    <row r="3198" spans="1:4">
      <c r="A3198" s="2">
        <v>179</v>
      </c>
      <c r="B3198" s="2" t="s">
        <v>603</v>
      </c>
      <c r="C3198" s="2" t="s">
        <v>4180</v>
      </c>
      <c r="D3198" s="2"/>
    </row>
    <row r="3199" spans="1:4">
      <c r="A3199" s="3">
        <v>179</v>
      </c>
      <c r="B3199" s="3" t="s">
        <v>603</v>
      </c>
      <c r="C3199" s="3" t="s">
        <v>4181</v>
      </c>
      <c r="D3199" s="3"/>
    </row>
    <row r="3200" spans="1:4">
      <c r="A3200" s="2">
        <v>179</v>
      </c>
      <c r="B3200" s="2" t="s">
        <v>603</v>
      </c>
      <c r="C3200" s="2" t="s">
        <v>4182</v>
      </c>
      <c r="D3200" s="2"/>
    </row>
    <row r="3201" spans="1:4">
      <c r="A3201" s="3">
        <v>179</v>
      </c>
      <c r="B3201" s="3" t="s">
        <v>603</v>
      </c>
      <c r="C3201" s="3" t="s">
        <v>4183</v>
      </c>
      <c r="D3201" s="3"/>
    </row>
    <row r="3202" spans="1:4">
      <c r="A3202" s="2">
        <v>179</v>
      </c>
      <c r="B3202" s="2" t="s">
        <v>603</v>
      </c>
      <c r="C3202" s="2" t="s">
        <v>4184</v>
      </c>
      <c r="D3202" s="2"/>
    </row>
    <row r="3203" spans="1:4">
      <c r="A3203" s="3">
        <v>179</v>
      </c>
      <c r="B3203" s="3" t="s">
        <v>603</v>
      </c>
      <c r="C3203" s="3" t="s">
        <v>4185</v>
      </c>
      <c r="D3203" s="3"/>
    </row>
    <row r="3204" spans="1:4">
      <c r="A3204" s="2">
        <v>179</v>
      </c>
      <c r="B3204" s="2" t="s">
        <v>603</v>
      </c>
      <c r="C3204" s="2" t="s">
        <v>4186</v>
      </c>
      <c r="D3204" s="2"/>
    </row>
    <row r="3205" spans="1:4">
      <c r="A3205" s="3">
        <v>179</v>
      </c>
      <c r="B3205" s="3" t="s">
        <v>603</v>
      </c>
      <c r="C3205" s="3" t="s">
        <v>4184</v>
      </c>
      <c r="D3205" s="3"/>
    </row>
    <row r="3206" spans="1:4">
      <c r="A3206" s="2">
        <v>179</v>
      </c>
      <c r="B3206" s="2" t="s">
        <v>603</v>
      </c>
      <c r="C3206" s="2" t="s">
        <v>4187</v>
      </c>
      <c r="D3206" s="2"/>
    </row>
    <row r="3207" spans="1:4">
      <c r="A3207" s="3">
        <v>179</v>
      </c>
      <c r="B3207" s="3" t="s">
        <v>603</v>
      </c>
      <c r="C3207" s="3" t="s">
        <v>4188</v>
      </c>
      <c r="D3207" s="3"/>
    </row>
    <row r="3208" spans="1:4">
      <c r="A3208" s="2">
        <v>179</v>
      </c>
      <c r="B3208" s="2" t="s">
        <v>603</v>
      </c>
      <c r="C3208" s="2" t="s">
        <v>4189</v>
      </c>
      <c r="D3208" s="2"/>
    </row>
    <row r="3209" spans="1:4">
      <c r="A3209" s="3">
        <v>179</v>
      </c>
      <c r="B3209" s="3" t="s">
        <v>603</v>
      </c>
      <c r="C3209" s="3" t="s">
        <v>4190</v>
      </c>
      <c r="D3209" s="3"/>
    </row>
    <row r="3210" spans="1:4">
      <c r="A3210" s="2">
        <v>179</v>
      </c>
      <c r="B3210" s="2" t="s">
        <v>603</v>
      </c>
      <c r="C3210" s="2" t="s">
        <v>4191</v>
      </c>
      <c r="D3210" s="2"/>
    </row>
    <row r="3211" spans="1:4">
      <c r="A3211" s="3">
        <v>179</v>
      </c>
      <c r="B3211" s="3" t="s">
        <v>603</v>
      </c>
      <c r="C3211" s="3" t="s">
        <v>4192</v>
      </c>
      <c r="D3211" s="3"/>
    </row>
    <row r="3212" spans="1:4">
      <c r="A3212" s="2">
        <v>179</v>
      </c>
      <c r="B3212" s="2" t="s">
        <v>603</v>
      </c>
      <c r="C3212" s="2" t="s">
        <v>4193</v>
      </c>
      <c r="D3212" s="2"/>
    </row>
    <row r="3213" spans="1:4">
      <c r="A3213" s="3">
        <v>179</v>
      </c>
      <c r="B3213" s="3" t="s">
        <v>603</v>
      </c>
      <c r="C3213" s="3" t="s">
        <v>4194</v>
      </c>
      <c r="D3213" s="3"/>
    </row>
    <row r="3214" spans="1:4">
      <c r="A3214" s="2">
        <v>179</v>
      </c>
      <c r="B3214" s="2" t="s">
        <v>603</v>
      </c>
      <c r="C3214" s="2" t="s">
        <v>4195</v>
      </c>
      <c r="D3214" s="2"/>
    </row>
    <row r="3215" spans="1:4">
      <c r="A3215" s="3">
        <v>179</v>
      </c>
      <c r="B3215" s="3" t="s">
        <v>603</v>
      </c>
      <c r="C3215" s="3" t="s">
        <v>4196</v>
      </c>
      <c r="D3215" s="3"/>
    </row>
    <row r="3216" spans="1:4">
      <c r="A3216" s="2">
        <v>179</v>
      </c>
      <c r="B3216" s="2" t="s">
        <v>603</v>
      </c>
      <c r="C3216" s="2" t="s">
        <v>4197</v>
      </c>
      <c r="D3216" s="2"/>
    </row>
    <row r="3217" spans="1:4">
      <c r="A3217" s="3">
        <v>179</v>
      </c>
      <c r="B3217" s="3" t="s">
        <v>603</v>
      </c>
      <c r="C3217" s="3" t="s">
        <v>4198</v>
      </c>
      <c r="D3217" s="3"/>
    </row>
    <row r="3218" spans="1:4">
      <c r="A3218" s="2">
        <v>179</v>
      </c>
      <c r="B3218" s="2" t="s">
        <v>603</v>
      </c>
      <c r="C3218" s="2" t="s">
        <v>4199</v>
      </c>
      <c r="D3218" s="2"/>
    </row>
    <row r="3219" spans="1:4">
      <c r="A3219" s="3">
        <v>180</v>
      </c>
      <c r="B3219" s="3" t="s">
        <v>649</v>
      </c>
      <c r="C3219" s="3" t="s">
        <v>4200</v>
      </c>
      <c r="D3219" s="3"/>
    </row>
    <row r="3220" spans="1:4">
      <c r="A3220" s="2">
        <v>181</v>
      </c>
      <c r="B3220" s="2" t="s">
        <v>653</v>
      </c>
      <c r="C3220" s="2" t="s">
        <v>4201</v>
      </c>
      <c r="D3220" s="2"/>
    </row>
    <row r="3221" spans="1:4">
      <c r="A3221" s="3">
        <v>182</v>
      </c>
      <c r="B3221" s="3" t="s">
        <v>646</v>
      </c>
      <c r="C3221" s="3" t="s">
        <v>4202</v>
      </c>
      <c r="D3221" s="3"/>
    </row>
    <row r="3222" spans="1:4">
      <c r="A3222" s="2">
        <v>182</v>
      </c>
      <c r="B3222" s="2" t="s">
        <v>646</v>
      </c>
      <c r="C3222" s="2" t="s">
        <v>4203</v>
      </c>
      <c r="D3222" s="2"/>
    </row>
    <row r="3223" spans="1:4">
      <c r="A3223" s="3">
        <v>182</v>
      </c>
      <c r="B3223" s="3" t="s">
        <v>646</v>
      </c>
      <c r="C3223" s="3" t="s">
        <v>4204</v>
      </c>
      <c r="D3223" s="3"/>
    </row>
    <row r="3224" spans="1:4">
      <c r="A3224" s="2">
        <v>182</v>
      </c>
      <c r="B3224" s="2" t="s">
        <v>646</v>
      </c>
      <c r="C3224" s="2" t="s">
        <v>4205</v>
      </c>
      <c r="D3224" s="2"/>
    </row>
    <row r="3225" spans="1:4">
      <c r="A3225" s="3">
        <v>182</v>
      </c>
      <c r="B3225" s="3" t="s">
        <v>646</v>
      </c>
      <c r="C3225" s="3" t="s">
        <v>4206</v>
      </c>
      <c r="D3225" s="3"/>
    </row>
    <row r="3226" spans="1:4">
      <c r="A3226" s="2">
        <v>182</v>
      </c>
      <c r="B3226" s="2" t="s">
        <v>646</v>
      </c>
      <c r="C3226" s="2" t="s">
        <v>4207</v>
      </c>
      <c r="D3226" s="2"/>
    </row>
    <row r="3227" spans="1:4">
      <c r="A3227" s="3">
        <v>182</v>
      </c>
      <c r="B3227" s="3" t="s">
        <v>646</v>
      </c>
      <c r="C3227" s="3" t="s">
        <v>4208</v>
      </c>
      <c r="D3227" s="3"/>
    </row>
    <row r="3228" spans="1:4">
      <c r="A3228" s="2">
        <v>182</v>
      </c>
      <c r="B3228" s="2" t="s">
        <v>646</v>
      </c>
      <c r="C3228" s="2" t="s">
        <v>4209</v>
      </c>
      <c r="D3228" s="2"/>
    </row>
    <row r="3229" spans="1:4">
      <c r="A3229" s="3">
        <v>182</v>
      </c>
      <c r="B3229" s="3" t="s">
        <v>646</v>
      </c>
      <c r="C3229" s="3" t="s">
        <v>4210</v>
      </c>
      <c r="D3229" s="3"/>
    </row>
    <row r="3230" spans="1:4">
      <c r="A3230" s="2">
        <v>182</v>
      </c>
      <c r="B3230" s="2" t="s">
        <v>646</v>
      </c>
      <c r="C3230" s="2" t="s">
        <v>4211</v>
      </c>
      <c r="D3230" s="2"/>
    </row>
    <row r="3231" spans="1:4">
      <c r="A3231" s="3">
        <v>182</v>
      </c>
      <c r="B3231" s="3" t="s">
        <v>646</v>
      </c>
      <c r="C3231" s="3" t="s">
        <v>4212</v>
      </c>
      <c r="D3231" s="3"/>
    </row>
    <row r="3232" spans="1:4">
      <c r="A3232" s="2">
        <v>182</v>
      </c>
      <c r="B3232" s="2" t="s">
        <v>646</v>
      </c>
      <c r="C3232" s="2" t="s">
        <v>4213</v>
      </c>
      <c r="D3232" s="2"/>
    </row>
    <row r="3233" spans="1:4">
      <c r="A3233" s="3">
        <v>182</v>
      </c>
      <c r="B3233" s="3" t="s">
        <v>646</v>
      </c>
      <c r="C3233" s="3" t="s">
        <v>4214</v>
      </c>
      <c r="D3233" s="3"/>
    </row>
    <row r="3234" spans="1:4">
      <c r="A3234" s="2">
        <v>182</v>
      </c>
      <c r="B3234" s="2" t="s">
        <v>646</v>
      </c>
      <c r="C3234" s="2" t="s">
        <v>4215</v>
      </c>
      <c r="D3234" s="2"/>
    </row>
    <row r="3235" spans="1:4">
      <c r="A3235" s="3">
        <v>182</v>
      </c>
      <c r="B3235" s="3" t="s">
        <v>646</v>
      </c>
      <c r="C3235" s="3" t="s">
        <v>4216</v>
      </c>
      <c r="D3235" s="3"/>
    </row>
    <row r="3236" spans="1:4">
      <c r="A3236" s="2">
        <v>182</v>
      </c>
      <c r="B3236" s="2" t="s">
        <v>646</v>
      </c>
      <c r="C3236" s="2" t="s">
        <v>4217</v>
      </c>
      <c r="D3236" s="2"/>
    </row>
    <row r="3237" spans="1:4">
      <c r="A3237" s="3">
        <v>182</v>
      </c>
      <c r="B3237" s="3" t="s">
        <v>646</v>
      </c>
      <c r="C3237" s="3" t="s">
        <v>4218</v>
      </c>
      <c r="D3237" s="3"/>
    </row>
    <row r="3238" spans="1:4">
      <c r="A3238" s="2">
        <v>182</v>
      </c>
      <c r="B3238" s="2" t="s">
        <v>646</v>
      </c>
      <c r="C3238" s="2" t="s">
        <v>4219</v>
      </c>
      <c r="D3238" s="2"/>
    </row>
    <row r="3239" spans="1:4">
      <c r="A3239" s="3">
        <v>182</v>
      </c>
      <c r="B3239" s="3" t="s">
        <v>646</v>
      </c>
      <c r="C3239" s="3" t="s">
        <v>4220</v>
      </c>
      <c r="D3239" s="3"/>
    </row>
    <row r="3240" spans="1:4">
      <c r="A3240" s="2">
        <v>182</v>
      </c>
      <c r="B3240" s="2" t="s">
        <v>646</v>
      </c>
      <c r="C3240" s="2" t="s">
        <v>4221</v>
      </c>
      <c r="D3240" s="2"/>
    </row>
    <row r="3241" spans="1:4">
      <c r="A3241" s="3">
        <v>182</v>
      </c>
      <c r="B3241" s="3" t="s">
        <v>646</v>
      </c>
      <c r="C3241" s="3" t="s">
        <v>4222</v>
      </c>
      <c r="D3241" s="3"/>
    </row>
    <row r="3242" spans="1:4">
      <c r="A3242" s="2">
        <v>182</v>
      </c>
      <c r="B3242" s="2" t="s">
        <v>646</v>
      </c>
      <c r="C3242" s="2" t="s">
        <v>4223</v>
      </c>
      <c r="D3242" s="2"/>
    </row>
    <row r="3243" spans="1:4">
      <c r="A3243" s="3">
        <v>182</v>
      </c>
      <c r="B3243" s="3" t="s">
        <v>646</v>
      </c>
      <c r="C3243" s="3" t="s">
        <v>4224</v>
      </c>
      <c r="D3243" s="3"/>
    </row>
    <row r="3244" spans="1:4">
      <c r="A3244" s="2">
        <v>182</v>
      </c>
      <c r="B3244" s="2" t="s">
        <v>646</v>
      </c>
      <c r="C3244" s="2" t="s">
        <v>4225</v>
      </c>
      <c r="D3244" s="2"/>
    </row>
    <row r="3245" spans="1:4">
      <c r="A3245" s="3">
        <v>182</v>
      </c>
      <c r="B3245" s="3" t="s">
        <v>646</v>
      </c>
      <c r="C3245" s="3" t="s">
        <v>4226</v>
      </c>
      <c r="D3245" s="3"/>
    </row>
    <row r="3246" spans="1:4">
      <c r="A3246" s="2">
        <v>182</v>
      </c>
      <c r="B3246" s="2" t="s">
        <v>646</v>
      </c>
      <c r="C3246" s="2" t="s">
        <v>4227</v>
      </c>
      <c r="D3246" s="2"/>
    </row>
    <row r="3247" spans="1:4">
      <c r="A3247" s="3">
        <v>182</v>
      </c>
      <c r="B3247" s="3" t="s">
        <v>646</v>
      </c>
      <c r="C3247" s="3" t="s">
        <v>4228</v>
      </c>
      <c r="D3247" s="3"/>
    </row>
    <row r="3248" spans="1:4">
      <c r="A3248" s="2">
        <v>182</v>
      </c>
      <c r="B3248" s="2" t="s">
        <v>646</v>
      </c>
      <c r="C3248" s="2" t="s">
        <v>4229</v>
      </c>
      <c r="D3248" s="2"/>
    </row>
    <row r="3249" spans="1:4">
      <c r="A3249" s="3">
        <v>182</v>
      </c>
      <c r="B3249" s="3" t="s">
        <v>646</v>
      </c>
      <c r="C3249" s="3" t="s">
        <v>4230</v>
      </c>
      <c r="D3249" s="3"/>
    </row>
    <row r="3250" spans="1:4">
      <c r="A3250" s="2">
        <v>182</v>
      </c>
      <c r="B3250" s="2" t="s">
        <v>646</v>
      </c>
      <c r="C3250" s="2" t="s">
        <v>4231</v>
      </c>
      <c r="D3250" s="2"/>
    </row>
    <row r="3251" spans="1:4">
      <c r="A3251" s="3">
        <v>182</v>
      </c>
      <c r="B3251" s="3" t="s">
        <v>646</v>
      </c>
      <c r="C3251" s="3" t="s">
        <v>4232</v>
      </c>
      <c r="D3251" s="3"/>
    </row>
    <row r="3252" spans="1:4">
      <c r="A3252" s="2">
        <v>182</v>
      </c>
      <c r="B3252" s="2" t="s">
        <v>646</v>
      </c>
      <c r="C3252" s="2" t="s">
        <v>4233</v>
      </c>
      <c r="D3252" s="2"/>
    </row>
    <row r="3253" spans="1:4">
      <c r="A3253" s="3">
        <v>182</v>
      </c>
      <c r="B3253" s="3" t="s">
        <v>646</v>
      </c>
      <c r="C3253" s="3" t="s">
        <v>4234</v>
      </c>
      <c r="D3253" s="3"/>
    </row>
    <row r="3254" spans="1:4">
      <c r="A3254" s="2">
        <v>182</v>
      </c>
      <c r="B3254" s="2" t="s">
        <v>646</v>
      </c>
      <c r="C3254" s="2" t="s">
        <v>4235</v>
      </c>
      <c r="D3254" s="2"/>
    </row>
    <row r="3255" spans="1:4">
      <c r="A3255" s="3">
        <v>182</v>
      </c>
      <c r="B3255" s="3" t="s">
        <v>646</v>
      </c>
      <c r="C3255" s="3" t="s">
        <v>4236</v>
      </c>
      <c r="D3255" s="3"/>
    </row>
    <row r="3256" spans="1:4">
      <c r="A3256" s="2">
        <v>182</v>
      </c>
      <c r="B3256" s="2" t="s">
        <v>646</v>
      </c>
      <c r="C3256" s="2" t="s">
        <v>4237</v>
      </c>
      <c r="D3256" s="2"/>
    </row>
    <row r="3257" spans="1:4">
      <c r="A3257" s="3">
        <v>182</v>
      </c>
      <c r="B3257" s="3" t="s">
        <v>646</v>
      </c>
      <c r="C3257" s="3" t="s">
        <v>4238</v>
      </c>
      <c r="D3257" s="3"/>
    </row>
    <row r="3258" spans="1:4">
      <c r="A3258" s="2">
        <v>182</v>
      </c>
      <c r="B3258" s="2" t="s">
        <v>646</v>
      </c>
      <c r="C3258" s="2" t="s">
        <v>4239</v>
      </c>
      <c r="D3258" s="2"/>
    </row>
    <row r="3259" spans="1:4">
      <c r="A3259" s="3">
        <v>182</v>
      </c>
      <c r="B3259" s="3" t="s">
        <v>646</v>
      </c>
      <c r="C3259" s="3" t="s">
        <v>4240</v>
      </c>
      <c r="D3259" s="3"/>
    </row>
    <row r="3260" spans="1:4">
      <c r="A3260" s="2">
        <v>182</v>
      </c>
      <c r="B3260" s="2" t="s">
        <v>646</v>
      </c>
      <c r="C3260" s="2" t="s">
        <v>4241</v>
      </c>
      <c r="D3260" s="2"/>
    </row>
    <row r="3261" spans="1:4">
      <c r="A3261" s="3">
        <v>182</v>
      </c>
      <c r="B3261" s="3" t="s">
        <v>646</v>
      </c>
      <c r="C3261" s="3" t="s">
        <v>4242</v>
      </c>
      <c r="D3261" s="3"/>
    </row>
    <row r="3262" spans="1:4">
      <c r="A3262" s="2">
        <v>182</v>
      </c>
      <c r="B3262" s="2" t="s">
        <v>646</v>
      </c>
      <c r="C3262" s="2" t="s">
        <v>4243</v>
      </c>
      <c r="D3262" s="2"/>
    </row>
    <row r="3263" spans="1:4">
      <c r="A3263" s="3">
        <v>182</v>
      </c>
      <c r="B3263" s="3" t="s">
        <v>646</v>
      </c>
      <c r="C3263" s="3" t="s">
        <v>4244</v>
      </c>
      <c r="D3263" s="3"/>
    </row>
    <row r="3264" spans="1:4">
      <c r="A3264" s="2">
        <v>182</v>
      </c>
      <c r="B3264" s="2" t="s">
        <v>646</v>
      </c>
      <c r="C3264" s="2" t="s">
        <v>4245</v>
      </c>
      <c r="D3264" s="2"/>
    </row>
    <row r="3265" spans="1:4">
      <c r="A3265" s="3">
        <v>182</v>
      </c>
      <c r="B3265" s="3" t="s">
        <v>646</v>
      </c>
      <c r="C3265" s="3" t="s">
        <v>4246</v>
      </c>
      <c r="D3265" s="3"/>
    </row>
    <row r="3266" spans="1:4">
      <c r="A3266" s="2">
        <v>182</v>
      </c>
      <c r="B3266" s="2" t="s">
        <v>646</v>
      </c>
      <c r="C3266" s="2" t="s">
        <v>4247</v>
      </c>
      <c r="D3266" s="2"/>
    </row>
    <row r="3267" spans="1:4">
      <c r="A3267" s="3">
        <v>182</v>
      </c>
      <c r="B3267" s="3" t="s">
        <v>646</v>
      </c>
      <c r="C3267" s="3" t="s">
        <v>4248</v>
      </c>
      <c r="D3267" s="3"/>
    </row>
    <row r="3268" spans="1:4">
      <c r="A3268" s="2">
        <v>182</v>
      </c>
      <c r="B3268" s="2" t="s">
        <v>646</v>
      </c>
      <c r="C3268" s="2" t="s">
        <v>4249</v>
      </c>
      <c r="D3268" s="2"/>
    </row>
    <row r="3269" spans="1:4">
      <c r="A3269" s="3">
        <v>182</v>
      </c>
      <c r="B3269" s="3" t="s">
        <v>646</v>
      </c>
      <c r="C3269" s="3">
        <f>n(xp)/∑Nux</f>
        <v>0</v>
      </c>
      <c r="D3269" s="3"/>
    </row>
    <row r="3270" spans="1:4">
      <c r="A3270" s="2">
        <v>182</v>
      </c>
      <c r="B3270" s="2" t="s">
        <v>646</v>
      </c>
      <c r="C3270" s="2" t="s">
        <v>4250</v>
      </c>
      <c r="D3270" s="2"/>
    </row>
    <row r="3271" spans="1:4">
      <c r="A3271" s="3">
        <v>183</v>
      </c>
      <c r="B3271" s="3" t="s">
        <v>660</v>
      </c>
      <c r="C3271" s="3" t="s">
        <v>4251</v>
      </c>
      <c r="D3271" s="3"/>
    </row>
    <row r="3272" spans="1:4">
      <c r="A3272" s="2">
        <v>183</v>
      </c>
      <c r="B3272" s="2" t="s">
        <v>660</v>
      </c>
      <c r="C3272" s="2" t="s">
        <v>4252</v>
      </c>
      <c r="D3272" s="2"/>
    </row>
    <row r="3273" spans="1:4">
      <c r="A3273" s="3">
        <v>183</v>
      </c>
      <c r="B3273" s="3" t="s">
        <v>660</v>
      </c>
      <c r="C3273" s="3" t="s">
        <v>4253</v>
      </c>
      <c r="D3273" s="3"/>
    </row>
    <row r="3274" spans="1:4">
      <c r="A3274" s="2">
        <v>183</v>
      </c>
      <c r="B3274" s="2" t="s">
        <v>660</v>
      </c>
      <c r="C3274" s="2" t="s">
        <v>4254</v>
      </c>
      <c r="D3274" s="2"/>
    </row>
    <row r="3275" spans="1:4">
      <c r="A3275" s="3">
        <v>183</v>
      </c>
      <c r="B3275" s="3" t="s">
        <v>660</v>
      </c>
      <c r="C3275" s="3" t="s">
        <v>4255</v>
      </c>
      <c r="D3275" s="3"/>
    </row>
    <row r="3276" spans="1:4">
      <c r="A3276" s="2">
        <v>183</v>
      </c>
      <c r="B3276" s="2" t="s">
        <v>660</v>
      </c>
      <c r="C3276" s="2" t="s">
        <v>4256</v>
      </c>
      <c r="D3276" s="2"/>
    </row>
    <row r="3277" spans="1:4">
      <c r="A3277" s="3">
        <v>183</v>
      </c>
      <c r="B3277" s="3" t="s">
        <v>660</v>
      </c>
      <c r="C3277" s="3" t="s">
        <v>4257</v>
      </c>
      <c r="D3277" s="3"/>
    </row>
    <row r="3278" spans="1:4">
      <c r="A3278" s="2">
        <v>183</v>
      </c>
      <c r="B3278" s="2" t="s">
        <v>660</v>
      </c>
      <c r="C3278" s="2" t="s">
        <v>4258</v>
      </c>
      <c r="D3278" s="2"/>
    </row>
    <row r="3279" spans="1:4">
      <c r="A3279" s="3">
        <v>183</v>
      </c>
      <c r="B3279" s="3" t="s">
        <v>660</v>
      </c>
      <c r="C3279" s="3" t="s">
        <v>4259</v>
      </c>
      <c r="D3279" s="3"/>
    </row>
    <row r="3280" spans="1:4">
      <c r="A3280" s="2">
        <v>183</v>
      </c>
      <c r="B3280" s="2" t="s">
        <v>660</v>
      </c>
      <c r="C3280" s="2" t="s">
        <v>4260</v>
      </c>
      <c r="D3280" s="2"/>
    </row>
    <row r="3281" spans="1:4">
      <c r="A3281" s="3">
        <v>183</v>
      </c>
      <c r="B3281" s="3" t="s">
        <v>660</v>
      </c>
      <c r="C3281" s="3" t="s">
        <v>4261</v>
      </c>
      <c r="D3281" s="3"/>
    </row>
    <row r="3282" spans="1:4">
      <c r="A3282" s="2">
        <v>183</v>
      </c>
      <c r="B3282" s="2" t="s">
        <v>660</v>
      </c>
      <c r="C3282" s="2" t="s">
        <v>4262</v>
      </c>
      <c r="D3282" s="2"/>
    </row>
    <row r="3283" spans="1:4">
      <c r="A3283" s="3">
        <v>183</v>
      </c>
      <c r="B3283" s="3" t="s">
        <v>660</v>
      </c>
      <c r="C3283" s="3" t="s">
        <v>4263</v>
      </c>
      <c r="D3283" s="3"/>
    </row>
    <row r="3284" spans="1:4">
      <c r="A3284" s="2">
        <v>183</v>
      </c>
      <c r="B3284" s="2" t="s">
        <v>660</v>
      </c>
      <c r="C3284" s="2" t="s">
        <v>4264</v>
      </c>
      <c r="D3284" s="2"/>
    </row>
    <row r="3285" spans="1:4">
      <c r="A3285" s="3">
        <v>183</v>
      </c>
      <c r="B3285" s="3" t="s">
        <v>660</v>
      </c>
      <c r="C3285" s="3" t="s">
        <v>4265</v>
      </c>
      <c r="D3285" s="3"/>
    </row>
    <row r="3286" spans="1:4">
      <c r="A3286" s="2">
        <v>183</v>
      </c>
      <c r="B3286" s="2" t="s">
        <v>660</v>
      </c>
      <c r="C3286" s="2" t="s">
        <v>4266</v>
      </c>
      <c r="D3286" s="2"/>
    </row>
    <row r="3287" spans="1:4">
      <c r="A3287" s="3">
        <v>183</v>
      </c>
      <c r="B3287" s="3" t="s">
        <v>660</v>
      </c>
      <c r="C3287" s="3" t="s">
        <v>4267</v>
      </c>
      <c r="D3287" s="3"/>
    </row>
    <row r="3288" spans="1:4">
      <c r="A3288" s="2">
        <v>183</v>
      </c>
      <c r="B3288" s="2" t="s">
        <v>660</v>
      </c>
      <c r="C3288" s="2" t="s">
        <v>4268</v>
      </c>
      <c r="D3288" s="2"/>
    </row>
    <row r="3289" spans="1:4">
      <c r="A3289" s="3">
        <v>183</v>
      </c>
      <c r="B3289" s="3" t="s">
        <v>660</v>
      </c>
      <c r="C3289" s="3" t="s">
        <v>4269</v>
      </c>
      <c r="D3289" s="3"/>
    </row>
    <row r="3290" spans="1:4">
      <c r="A3290" s="2">
        <v>183</v>
      </c>
      <c r="B3290" s="2" t="s">
        <v>660</v>
      </c>
      <c r="C3290" s="2" t="s">
        <v>4270</v>
      </c>
      <c r="D3290" s="2"/>
    </row>
    <row r="3291" spans="1:4">
      <c r="A3291" s="3">
        <v>183</v>
      </c>
      <c r="B3291" s="3" t="s">
        <v>660</v>
      </c>
      <c r="C3291" s="3" t="s">
        <v>4271</v>
      </c>
      <c r="D3291" s="3"/>
    </row>
    <row r="3292" spans="1:4">
      <c r="A3292" s="2">
        <v>183</v>
      </c>
      <c r="B3292" s="2" t="s">
        <v>660</v>
      </c>
      <c r="C3292" s="2" t="s">
        <v>4272</v>
      </c>
      <c r="D3292" s="2"/>
    </row>
    <row r="3293" spans="1:4">
      <c r="A3293" s="3">
        <v>183</v>
      </c>
      <c r="B3293" s="3" t="s">
        <v>660</v>
      </c>
      <c r="C3293" s="3" t="s">
        <v>4273</v>
      </c>
      <c r="D3293" s="3"/>
    </row>
    <row r="3294" spans="1:4">
      <c r="A3294" s="2">
        <v>183</v>
      </c>
      <c r="B3294" s="2" t="s">
        <v>660</v>
      </c>
      <c r="C3294" s="2" t="s">
        <v>4274</v>
      </c>
      <c r="D3294" s="2"/>
    </row>
    <row r="3295" spans="1:4">
      <c r="A3295" s="3">
        <v>183</v>
      </c>
      <c r="B3295" s="3" t="s">
        <v>660</v>
      </c>
      <c r="C3295" s="3" t="s">
        <v>4275</v>
      </c>
      <c r="D3295" s="3"/>
    </row>
    <row r="3296" spans="1:4">
      <c r="A3296" s="2">
        <v>183</v>
      </c>
      <c r="B3296" s="2" t="s">
        <v>660</v>
      </c>
      <c r="C3296" s="2" t="s">
        <v>4276</v>
      </c>
      <c r="D3296" s="2"/>
    </row>
    <row r="3297" spans="1:4">
      <c r="A3297" s="3">
        <v>183</v>
      </c>
      <c r="B3297" s="3" t="s">
        <v>660</v>
      </c>
      <c r="C3297" s="3" t="s">
        <v>4277</v>
      </c>
      <c r="D3297" s="3"/>
    </row>
    <row r="3298" spans="1:4">
      <c r="A3298" s="2">
        <v>183</v>
      </c>
      <c r="B3298" s="2" t="s">
        <v>660</v>
      </c>
      <c r="C3298" s="2" t="s">
        <v>4278</v>
      </c>
      <c r="D3298" s="2"/>
    </row>
    <row r="3299" spans="1:4">
      <c r="A3299" s="3">
        <v>183</v>
      </c>
      <c r="B3299" s="3" t="s">
        <v>660</v>
      </c>
      <c r="C3299" s="3" t="s">
        <v>4279</v>
      </c>
      <c r="D3299" s="3"/>
    </row>
    <row r="3300" spans="1:4">
      <c r="A3300" s="2">
        <v>183</v>
      </c>
      <c r="B3300" s="2" t="s">
        <v>660</v>
      </c>
      <c r="C3300" s="2" t="s">
        <v>4280</v>
      </c>
      <c r="D3300" s="2"/>
    </row>
    <row r="3301" spans="1:4">
      <c r="A3301" s="3">
        <v>183</v>
      </c>
      <c r="B3301" s="3" t="s">
        <v>660</v>
      </c>
      <c r="C3301" s="3" t="s">
        <v>4281</v>
      </c>
      <c r="D3301" s="3"/>
    </row>
    <row r="3302" spans="1:4">
      <c r="A3302" s="2">
        <v>183</v>
      </c>
      <c r="B3302" s="2" t="s">
        <v>660</v>
      </c>
      <c r="C3302" s="2" t="s">
        <v>4282</v>
      </c>
      <c r="D3302" s="2"/>
    </row>
    <row r="3303" spans="1:4">
      <c r="A3303" s="3">
        <v>183</v>
      </c>
      <c r="B3303" s="3" t="s">
        <v>660</v>
      </c>
      <c r="C3303" s="3" t="s">
        <v>4283</v>
      </c>
      <c r="D3303" s="3"/>
    </row>
    <row r="3304" spans="1:4">
      <c r="A3304" s="2">
        <v>183</v>
      </c>
      <c r="B3304" s="2" t="s">
        <v>660</v>
      </c>
      <c r="C3304" s="2" t="s">
        <v>4284</v>
      </c>
      <c r="D3304" s="2"/>
    </row>
    <row r="3305" spans="1:4">
      <c r="A3305" s="3">
        <v>183</v>
      </c>
      <c r="B3305" s="3" t="s">
        <v>660</v>
      </c>
      <c r="C3305" s="3" t="s">
        <v>4285</v>
      </c>
      <c r="D3305" s="3"/>
    </row>
    <row r="3306" spans="1:4">
      <c r="A3306" s="2">
        <v>183</v>
      </c>
      <c r="B3306" s="2" t="s">
        <v>660</v>
      </c>
      <c r="C3306" s="2" t="s">
        <v>4286</v>
      </c>
      <c r="D3306" s="2"/>
    </row>
    <row r="3307" spans="1:4">
      <c r="A3307" s="3">
        <v>183</v>
      </c>
      <c r="B3307" s="3" t="s">
        <v>660</v>
      </c>
      <c r="C3307" s="3" t="s">
        <v>4287</v>
      </c>
      <c r="D3307" s="3"/>
    </row>
    <row r="3308" spans="1:4">
      <c r="A3308" s="2">
        <v>183</v>
      </c>
      <c r="B3308" s="2" t="s">
        <v>660</v>
      </c>
      <c r="C3308" s="2" t="s">
        <v>4288</v>
      </c>
      <c r="D3308" s="2"/>
    </row>
    <row r="3309" spans="1:4">
      <c r="A3309" s="3">
        <v>183</v>
      </c>
      <c r="B3309" s="3" t="s">
        <v>660</v>
      </c>
      <c r="C3309" s="3" t="s">
        <v>4289</v>
      </c>
      <c r="D3309" s="3"/>
    </row>
    <row r="3310" spans="1:4">
      <c r="A3310" s="2">
        <v>183</v>
      </c>
      <c r="B3310" s="2" t="s">
        <v>660</v>
      </c>
      <c r="C3310" s="2" t="s">
        <v>4290</v>
      </c>
      <c r="D3310" s="2"/>
    </row>
    <row r="3311" spans="1:4">
      <c r="A3311" s="3">
        <v>183</v>
      </c>
      <c r="B3311" s="3" t="s">
        <v>660</v>
      </c>
      <c r="C3311" s="3" t="s">
        <v>4291</v>
      </c>
      <c r="D3311" s="3"/>
    </row>
    <row r="3312" spans="1:4">
      <c r="A3312" s="2">
        <v>183</v>
      </c>
      <c r="B3312" s="2" t="s">
        <v>660</v>
      </c>
      <c r="C3312" s="2" t="s">
        <v>4292</v>
      </c>
      <c r="D3312" s="2"/>
    </row>
    <row r="3313" spans="1:4">
      <c r="A3313" s="3">
        <v>183</v>
      </c>
      <c r="B3313" s="3" t="s">
        <v>660</v>
      </c>
      <c r="C3313" s="3" t="s">
        <v>4293</v>
      </c>
      <c r="D3313" s="3"/>
    </row>
    <row r="3314" spans="1:4">
      <c r="A3314" s="2">
        <v>183</v>
      </c>
      <c r="B3314" s="2" t="s">
        <v>660</v>
      </c>
      <c r="C3314" s="2" t="s">
        <v>4294</v>
      </c>
      <c r="D3314" s="2"/>
    </row>
    <row r="3315" spans="1:4">
      <c r="A3315" s="3">
        <v>183</v>
      </c>
      <c r="B3315" s="3" t="s">
        <v>660</v>
      </c>
      <c r="C3315" s="3" t="s">
        <v>4295</v>
      </c>
      <c r="D3315" s="3"/>
    </row>
    <row r="3316" spans="1:4">
      <c r="A3316" s="2">
        <v>183</v>
      </c>
      <c r="B3316" s="2" t="s">
        <v>660</v>
      </c>
      <c r="C3316" s="2" t="s">
        <v>4296</v>
      </c>
      <c r="D3316" s="2"/>
    </row>
    <row r="3317" spans="1:4">
      <c r="A3317" s="3">
        <v>183</v>
      </c>
      <c r="B3317" s="3" t="s">
        <v>660</v>
      </c>
      <c r="C3317" s="3" t="s">
        <v>4297</v>
      </c>
      <c r="D3317" s="3"/>
    </row>
    <row r="3318" spans="1:4">
      <c r="A3318" s="2">
        <v>183</v>
      </c>
      <c r="B3318" s="2" t="s">
        <v>660</v>
      </c>
      <c r="C3318" s="2" t="s">
        <v>4298</v>
      </c>
      <c r="D3318" s="2"/>
    </row>
    <row r="3319" spans="1:4">
      <c r="A3319" s="3">
        <v>184</v>
      </c>
      <c r="B3319" s="3" t="s">
        <v>662</v>
      </c>
      <c r="C3319" s="3" t="s">
        <v>4299</v>
      </c>
      <c r="D3319" s="3"/>
    </row>
    <row r="3320" spans="1:4">
      <c r="A3320" s="2">
        <v>184</v>
      </c>
      <c r="B3320" s="2" t="s">
        <v>662</v>
      </c>
      <c r="C3320" s="2" t="s">
        <v>4300</v>
      </c>
      <c r="D3320" s="2"/>
    </row>
    <row r="3321" spans="1:4">
      <c r="A3321" s="3">
        <v>184</v>
      </c>
      <c r="B3321" s="3" t="s">
        <v>662</v>
      </c>
      <c r="C3321" s="3" t="s">
        <v>4301</v>
      </c>
      <c r="D3321" s="3"/>
    </row>
    <row r="3322" spans="1:4">
      <c r="A3322" s="2">
        <v>184</v>
      </c>
      <c r="B3322" s="2" t="s">
        <v>662</v>
      </c>
      <c r="C3322" s="2" t="s">
        <v>4302</v>
      </c>
      <c r="D3322" s="2"/>
    </row>
    <row r="3323" spans="1:4">
      <c r="A3323" s="3">
        <v>184</v>
      </c>
      <c r="B3323" s="3" t="s">
        <v>662</v>
      </c>
      <c r="C3323" s="3" t="s">
        <v>4303</v>
      </c>
      <c r="D3323" s="3"/>
    </row>
    <row r="3324" spans="1:4">
      <c r="A3324" s="2">
        <v>184</v>
      </c>
      <c r="B3324" s="2" t="s">
        <v>662</v>
      </c>
      <c r="C3324" s="2" t="s">
        <v>4304</v>
      </c>
      <c r="D3324" s="2"/>
    </row>
    <row r="3325" spans="1:4">
      <c r="A3325" s="3">
        <v>184</v>
      </c>
      <c r="B3325" s="3" t="s">
        <v>662</v>
      </c>
      <c r="C3325" s="3" t="s">
        <v>4305</v>
      </c>
      <c r="D3325" s="3"/>
    </row>
    <row r="3326" spans="1:4">
      <c r="A3326" s="2">
        <v>184</v>
      </c>
      <c r="B3326" s="2" t="s">
        <v>662</v>
      </c>
      <c r="C3326" s="2" t="s">
        <v>4306</v>
      </c>
      <c r="D3326" s="2"/>
    </row>
    <row r="3327" spans="1:4">
      <c r="A3327" s="3">
        <v>184</v>
      </c>
      <c r="B3327" s="3" t="s">
        <v>662</v>
      </c>
      <c r="C3327" s="3" t="s">
        <v>4307</v>
      </c>
      <c r="D3327" s="3"/>
    </row>
    <row r="3328" spans="1:4">
      <c r="A3328" s="2">
        <v>184</v>
      </c>
      <c r="B3328" s="2" t="s">
        <v>662</v>
      </c>
      <c r="C3328" s="2" t="s">
        <v>4308</v>
      </c>
      <c r="D3328" s="2"/>
    </row>
    <row r="3329" spans="1:4">
      <c r="A3329" s="3">
        <v>184</v>
      </c>
      <c r="B3329" s="3" t="s">
        <v>662</v>
      </c>
      <c r="C3329" s="3" t="s">
        <v>4309</v>
      </c>
      <c r="D3329" s="3"/>
    </row>
    <row r="3330" spans="1:4">
      <c r="A3330" s="2">
        <v>184</v>
      </c>
      <c r="B3330" s="2" t="s">
        <v>662</v>
      </c>
      <c r="C3330" s="2" t="s">
        <v>4310</v>
      </c>
      <c r="D3330" s="2"/>
    </row>
    <row r="3331" spans="1:4">
      <c r="A3331" s="3">
        <v>184</v>
      </c>
      <c r="B3331" s="3" t="s">
        <v>662</v>
      </c>
      <c r="C3331" s="3" t="s">
        <v>4311</v>
      </c>
      <c r="D3331" s="3"/>
    </row>
    <row r="3332" spans="1:4">
      <c r="A3332" s="2">
        <v>184</v>
      </c>
      <c r="B3332" s="2" t="s">
        <v>662</v>
      </c>
      <c r="C3332" s="2" t="s">
        <v>4312</v>
      </c>
      <c r="D3332" s="2"/>
    </row>
    <row r="3333" spans="1:4">
      <c r="A3333" s="3">
        <v>184</v>
      </c>
      <c r="B3333" s="3" t="s">
        <v>662</v>
      </c>
      <c r="C3333" s="3" t="s">
        <v>4313</v>
      </c>
      <c r="D3333" s="3"/>
    </row>
    <row r="3334" spans="1:4">
      <c r="A3334" s="2">
        <v>184</v>
      </c>
      <c r="B3334" s="2" t="s">
        <v>662</v>
      </c>
      <c r="C3334" s="2" t="s">
        <v>4314</v>
      </c>
      <c r="D3334" s="2"/>
    </row>
    <row r="3335" spans="1:4">
      <c r="A3335" s="3">
        <v>184</v>
      </c>
      <c r="B3335" s="3" t="s">
        <v>662</v>
      </c>
      <c r="C3335" s="3" t="s">
        <v>4315</v>
      </c>
      <c r="D3335" s="3"/>
    </row>
    <row r="3336" spans="1:4">
      <c r="A3336" s="2">
        <v>184</v>
      </c>
      <c r="B3336" s="2" t="s">
        <v>662</v>
      </c>
      <c r="C3336" s="2" t="s">
        <v>4316</v>
      </c>
      <c r="D3336" s="2"/>
    </row>
    <row r="3337" spans="1:4">
      <c r="A3337" s="3">
        <v>184</v>
      </c>
      <c r="B3337" s="3" t="s">
        <v>662</v>
      </c>
      <c r="C3337" s="3" t="s">
        <v>4317</v>
      </c>
      <c r="D3337" s="3"/>
    </row>
    <row r="3338" spans="1:4">
      <c r="A3338" s="2">
        <v>184</v>
      </c>
      <c r="B3338" s="2" t="s">
        <v>662</v>
      </c>
      <c r="C3338" s="2" t="s">
        <v>4318</v>
      </c>
      <c r="D3338" s="2"/>
    </row>
    <row r="3339" spans="1:4">
      <c r="A3339" s="3">
        <v>184</v>
      </c>
      <c r="B3339" s="3" t="s">
        <v>662</v>
      </c>
      <c r="C3339" s="3" t="s">
        <v>4319</v>
      </c>
      <c r="D3339" s="3"/>
    </row>
    <row r="3340" spans="1:4">
      <c r="A3340" s="2">
        <v>184</v>
      </c>
      <c r="B3340" s="2" t="s">
        <v>662</v>
      </c>
      <c r="C3340" s="2" t="s">
        <v>4320</v>
      </c>
      <c r="D3340" s="2"/>
    </row>
    <row r="3341" spans="1:4">
      <c r="A3341" s="3">
        <v>184</v>
      </c>
      <c r="B3341" s="3" t="s">
        <v>662</v>
      </c>
      <c r="C3341" s="3" t="s">
        <v>4321</v>
      </c>
      <c r="D3341" s="3"/>
    </row>
    <row r="3342" spans="1:4">
      <c r="A3342" s="2">
        <v>184</v>
      </c>
      <c r="B3342" s="2" t="s">
        <v>662</v>
      </c>
      <c r="C3342" s="2" t="s">
        <v>4322</v>
      </c>
      <c r="D3342" s="2"/>
    </row>
    <row r="3343" spans="1:4">
      <c r="A3343" s="3">
        <v>184</v>
      </c>
      <c r="B3343" s="3" t="s">
        <v>662</v>
      </c>
      <c r="C3343" s="3" t="s">
        <v>4323</v>
      </c>
      <c r="D3343" s="3"/>
    </row>
    <row r="3344" spans="1:4">
      <c r="A3344" s="2">
        <v>184</v>
      </c>
      <c r="B3344" s="2" t="s">
        <v>662</v>
      </c>
      <c r="C3344" s="2" t="s">
        <v>4324</v>
      </c>
      <c r="D3344" s="2"/>
    </row>
    <row r="3345" spans="1:4">
      <c r="A3345" s="3">
        <v>184</v>
      </c>
      <c r="B3345" s="3" t="s">
        <v>662</v>
      </c>
      <c r="C3345" s="3" t="s">
        <v>4325</v>
      </c>
      <c r="D3345" s="3"/>
    </row>
    <row r="3346" spans="1:4">
      <c r="A3346" s="2">
        <v>185</v>
      </c>
      <c r="B3346" s="2" t="s">
        <v>667</v>
      </c>
      <c r="C3346" s="2" t="s">
        <v>4326</v>
      </c>
      <c r="D3346" s="2"/>
    </row>
    <row r="3347" spans="1:4">
      <c r="A3347" s="3">
        <v>185</v>
      </c>
      <c r="B3347" s="3" t="s">
        <v>667</v>
      </c>
      <c r="C3347" s="3" t="s">
        <v>4327</v>
      </c>
      <c r="D3347" s="3"/>
    </row>
    <row r="3348" spans="1:4">
      <c r="A3348" s="2">
        <v>185</v>
      </c>
      <c r="B3348" s="2" t="s">
        <v>667</v>
      </c>
      <c r="C3348" s="2" t="s">
        <v>4328</v>
      </c>
      <c r="D3348" s="2"/>
    </row>
    <row r="3349" spans="1:4">
      <c r="A3349" s="3">
        <v>185</v>
      </c>
      <c r="B3349" s="3" t="s">
        <v>667</v>
      </c>
      <c r="C3349" s="3" t="s">
        <v>4329</v>
      </c>
      <c r="D3349" s="3"/>
    </row>
    <row r="3350" spans="1:4">
      <c r="A3350" s="2">
        <v>185</v>
      </c>
      <c r="B3350" s="2" t="s">
        <v>667</v>
      </c>
      <c r="C3350" s="2" t="s">
        <v>4330</v>
      </c>
      <c r="D3350" s="2"/>
    </row>
    <row r="3351" spans="1:4">
      <c r="A3351" s="3">
        <v>185</v>
      </c>
      <c r="B3351" s="3" t="s">
        <v>667</v>
      </c>
      <c r="C3351" s="3" t="s">
        <v>4331</v>
      </c>
      <c r="D3351" s="3"/>
    </row>
    <row r="3352" spans="1:4">
      <c r="A3352" s="2">
        <v>185</v>
      </c>
      <c r="B3352" s="2" t="s">
        <v>667</v>
      </c>
      <c r="C3352" s="2" t="s">
        <v>4332</v>
      </c>
      <c r="D3352" s="2"/>
    </row>
    <row r="3353" spans="1:4">
      <c r="A3353" s="3">
        <v>185</v>
      </c>
      <c r="B3353" s="3" t="s">
        <v>667</v>
      </c>
      <c r="C3353" s="3" t="s">
        <v>4333</v>
      </c>
      <c r="D3353" s="3"/>
    </row>
    <row r="3354" spans="1:4">
      <c r="A3354" s="2">
        <v>185</v>
      </c>
      <c r="B3354" s="2" t="s">
        <v>667</v>
      </c>
      <c r="C3354" s="2" t="s">
        <v>4334</v>
      </c>
      <c r="D3354" s="2"/>
    </row>
    <row r="3355" spans="1:4">
      <c r="A3355" s="3">
        <v>185</v>
      </c>
      <c r="B3355" s="3" t="s">
        <v>667</v>
      </c>
      <c r="C3355" s="3" t="s">
        <v>4335</v>
      </c>
      <c r="D3355" s="3"/>
    </row>
    <row r="3356" spans="1:4">
      <c r="A3356" s="2">
        <v>185</v>
      </c>
      <c r="B3356" s="2" t="s">
        <v>667</v>
      </c>
      <c r="C3356" s="2" t="s">
        <v>4336</v>
      </c>
      <c r="D3356" s="2"/>
    </row>
    <row r="3357" spans="1:4">
      <c r="A3357" s="3">
        <v>185</v>
      </c>
      <c r="B3357" s="3" t="s">
        <v>667</v>
      </c>
      <c r="C3357" s="3" t="s">
        <v>4337</v>
      </c>
      <c r="D3357" s="3"/>
    </row>
    <row r="3358" spans="1:4">
      <c r="A3358" s="2">
        <v>185</v>
      </c>
      <c r="B3358" s="2" t="s">
        <v>667</v>
      </c>
      <c r="C3358" s="2" t="s">
        <v>4338</v>
      </c>
      <c r="D3358" s="2"/>
    </row>
    <row r="3359" spans="1:4">
      <c r="A3359" s="3">
        <v>185</v>
      </c>
      <c r="B3359" s="3" t="s">
        <v>667</v>
      </c>
      <c r="C3359" s="3" t="s">
        <v>4339</v>
      </c>
      <c r="D3359" s="3"/>
    </row>
    <row r="3360" spans="1:4">
      <c r="A3360" s="2">
        <v>185</v>
      </c>
      <c r="B3360" s="2" t="s">
        <v>667</v>
      </c>
      <c r="C3360" s="2" t="s">
        <v>4340</v>
      </c>
      <c r="D3360" s="2"/>
    </row>
    <row r="3361" spans="1:4">
      <c r="A3361" s="3">
        <v>185</v>
      </c>
      <c r="B3361" s="3" t="s">
        <v>667</v>
      </c>
      <c r="C3361" s="3" t="s">
        <v>4341</v>
      </c>
      <c r="D3361" s="3"/>
    </row>
    <row r="3362" spans="1:4">
      <c r="A3362" s="2">
        <v>185</v>
      </c>
      <c r="B3362" s="2" t="s">
        <v>667</v>
      </c>
      <c r="C3362" s="2" t="s">
        <v>4342</v>
      </c>
      <c r="D3362" s="2"/>
    </row>
    <row r="3363" spans="1:4">
      <c r="A3363" s="3">
        <v>185</v>
      </c>
      <c r="B3363" s="3" t="s">
        <v>667</v>
      </c>
      <c r="C3363" s="3" t="s">
        <v>4343</v>
      </c>
      <c r="D3363" s="3"/>
    </row>
    <row r="3364" spans="1:4">
      <c r="A3364" s="2">
        <v>186</v>
      </c>
      <c r="B3364" s="2" t="s">
        <v>469</v>
      </c>
      <c r="C3364" s="2" t="s">
        <v>3544</v>
      </c>
      <c r="D3364" s="2"/>
    </row>
    <row r="3365" spans="1:4">
      <c r="A3365" s="3">
        <v>186</v>
      </c>
      <c r="B3365" s="3" t="s">
        <v>469</v>
      </c>
      <c r="C3365" s="3" t="s">
        <v>3545</v>
      </c>
      <c r="D3365" s="3"/>
    </row>
    <row r="3366" spans="1:4">
      <c r="A3366" s="2">
        <v>186</v>
      </c>
      <c r="B3366" s="2" t="s">
        <v>469</v>
      </c>
      <c r="C3366" s="2" t="s">
        <v>3546</v>
      </c>
      <c r="D3366" s="2"/>
    </row>
    <row r="3367" spans="1:4">
      <c r="A3367" s="3">
        <v>186</v>
      </c>
      <c r="B3367" s="3" t="s">
        <v>469</v>
      </c>
      <c r="C3367" s="3" t="s">
        <v>3547</v>
      </c>
      <c r="D3367" s="3"/>
    </row>
    <row r="3368" spans="1:4">
      <c r="A3368" s="2">
        <v>186</v>
      </c>
      <c r="B3368" s="2" t="s">
        <v>469</v>
      </c>
      <c r="C3368" s="2" t="s">
        <v>3548</v>
      </c>
      <c r="D3368" s="2"/>
    </row>
    <row r="3369" spans="1:4">
      <c r="A3369" s="3">
        <v>186</v>
      </c>
      <c r="B3369" s="3" t="s">
        <v>469</v>
      </c>
      <c r="C3369" s="3" t="s">
        <v>3549</v>
      </c>
      <c r="D3369" s="3"/>
    </row>
    <row r="3370" spans="1:4">
      <c r="A3370" s="2">
        <v>186</v>
      </c>
      <c r="B3370" s="2" t="s">
        <v>469</v>
      </c>
      <c r="C3370" s="2" t="s">
        <v>3550</v>
      </c>
      <c r="D3370" s="2"/>
    </row>
    <row r="3371" spans="1:4">
      <c r="A3371" s="3">
        <v>186</v>
      </c>
      <c r="B3371" s="3" t="s">
        <v>469</v>
      </c>
      <c r="C3371" s="3" t="s">
        <v>3551</v>
      </c>
      <c r="D3371" s="3"/>
    </row>
    <row r="3372" spans="1:4">
      <c r="A3372" s="2">
        <v>186</v>
      </c>
      <c r="B3372" s="2" t="s">
        <v>469</v>
      </c>
      <c r="C3372" s="2" t="s">
        <v>3552</v>
      </c>
      <c r="D3372" s="2"/>
    </row>
    <row r="3373" spans="1:4">
      <c r="A3373" s="3">
        <v>186</v>
      </c>
      <c r="B3373" s="3" t="s">
        <v>469</v>
      </c>
      <c r="C3373" s="3" t="s">
        <v>3553</v>
      </c>
      <c r="D3373" s="3"/>
    </row>
    <row r="3374" spans="1:4">
      <c r="A3374" s="2">
        <v>186</v>
      </c>
      <c r="B3374" s="2" t="s">
        <v>469</v>
      </c>
      <c r="C3374" s="2" t="s">
        <v>3554</v>
      </c>
      <c r="D3374" s="2"/>
    </row>
    <row r="3375" spans="1:4">
      <c r="A3375" s="3">
        <v>186</v>
      </c>
      <c r="B3375" s="3" t="s">
        <v>469</v>
      </c>
      <c r="C3375" s="3" t="s">
        <v>3555</v>
      </c>
      <c r="D3375" s="3"/>
    </row>
    <row r="3376" spans="1:4">
      <c r="A3376" s="2">
        <v>186</v>
      </c>
      <c r="B3376" s="2" t="s">
        <v>469</v>
      </c>
      <c r="C3376" s="2" t="s">
        <v>3556</v>
      </c>
      <c r="D3376" s="2"/>
    </row>
    <row r="3377" spans="1:4">
      <c r="A3377" s="3">
        <v>189</v>
      </c>
      <c r="B3377" s="3" t="s">
        <v>742</v>
      </c>
      <c r="C3377" s="3" t="s">
        <v>4344</v>
      </c>
      <c r="D3377" s="3"/>
    </row>
    <row r="3378" spans="1:4">
      <c r="A3378" s="2">
        <v>189</v>
      </c>
      <c r="B3378" s="2" t="s">
        <v>742</v>
      </c>
      <c r="C3378" s="2" t="s">
        <v>4345</v>
      </c>
      <c r="D3378" s="2"/>
    </row>
    <row r="3379" spans="1:4">
      <c r="A3379" s="3">
        <v>189</v>
      </c>
      <c r="B3379" s="3" t="s">
        <v>742</v>
      </c>
      <c r="C3379" s="3" t="s">
        <v>4346</v>
      </c>
      <c r="D3379" s="3"/>
    </row>
    <row r="3380" spans="1:4">
      <c r="A3380" s="2">
        <v>189</v>
      </c>
      <c r="B3380" s="2" t="s">
        <v>742</v>
      </c>
      <c r="C3380" s="2" t="s">
        <v>4347</v>
      </c>
      <c r="D3380" s="2"/>
    </row>
    <row r="3381" spans="1:4">
      <c r="A3381" s="3">
        <v>189</v>
      </c>
      <c r="B3381" s="3" t="s">
        <v>742</v>
      </c>
      <c r="C3381" s="3" t="s">
        <v>4348</v>
      </c>
      <c r="D3381" s="3"/>
    </row>
    <row r="3382" spans="1:4">
      <c r="A3382" s="2">
        <v>189</v>
      </c>
      <c r="B3382" s="2" t="s">
        <v>742</v>
      </c>
      <c r="C3382" s="2" t="s">
        <v>4349</v>
      </c>
      <c r="D3382" s="2"/>
    </row>
    <row r="3383" spans="1:4">
      <c r="A3383" s="3">
        <v>189</v>
      </c>
      <c r="B3383" s="3" t="s">
        <v>742</v>
      </c>
      <c r="C3383" s="3" t="s">
        <v>4350</v>
      </c>
      <c r="D3383" s="3"/>
    </row>
    <row r="3384" spans="1:4">
      <c r="A3384" s="2">
        <v>189</v>
      </c>
      <c r="B3384" s="2" t="s">
        <v>742</v>
      </c>
      <c r="C3384" s="2" t="s">
        <v>4351</v>
      </c>
      <c r="D3384" s="2"/>
    </row>
    <row r="3385" spans="1:4">
      <c r="A3385" s="3">
        <v>189</v>
      </c>
      <c r="B3385" s="3" t="s">
        <v>742</v>
      </c>
      <c r="C3385" s="3" t="s">
        <v>4352</v>
      </c>
      <c r="D3385" s="3"/>
    </row>
    <row r="3386" spans="1:4">
      <c r="A3386" s="2">
        <v>189</v>
      </c>
      <c r="B3386" s="2" t="s">
        <v>742</v>
      </c>
      <c r="C3386" s="2" t="s">
        <v>4353</v>
      </c>
      <c r="D3386" s="2"/>
    </row>
    <row r="3387" spans="1:4">
      <c r="A3387" s="3">
        <v>189</v>
      </c>
      <c r="B3387" s="3" t="s">
        <v>742</v>
      </c>
      <c r="C3387" s="3" t="s">
        <v>4354</v>
      </c>
      <c r="D3387" s="3"/>
    </row>
    <row r="3388" spans="1:4">
      <c r="A3388" s="2">
        <v>189</v>
      </c>
      <c r="B3388" s="2" t="s">
        <v>742</v>
      </c>
      <c r="C3388" s="2" t="s">
        <v>4355</v>
      </c>
      <c r="D3388" s="2"/>
    </row>
    <row r="3389" spans="1:4">
      <c r="A3389" s="3">
        <v>189</v>
      </c>
      <c r="B3389" s="3" t="s">
        <v>742</v>
      </c>
      <c r="C3389" s="3" t="s">
        <v>4356</v>
      </c>
      <c r="D3389" s="3"/>
    </row>
    <row r="3390" spans="1:4">
      <c r="A3390" s="2">
        <v>189</v>
      </c>
      <c r="B3390" s="2" t="s">
        <v>742</v>
      </c>
      <c r="C3390" s="2" t="s">
        <v>4357</v>
      </c>
      <c r="D3390" s="2"/>
    </row>
    <row r="3391" spans="1:4">
      <c r="A3391" s="3">
        <v>189</v>
      </c>
      <c r="B3391" s="3" t="s">
        <v>742</v>
      </c>
      <c r="C3391" s="3" t="s">
        <v>4358</v>
      </c>
      <c r="D3391" s="3"/>
    </row>
    <row r="3392" spans="1:4">
      <c r="A3392" s="2">
        <v>189</v>
      </c>
      <c r="B3392" s="2" t="s">
        <v>742</v>
      </c>
      <c r="C3392" s="2" t="s">
        <v>4354</v>
      </c>
      <c r="D3392" s="2"/>
    </row>
    <row r="3393" spans="1:4">
      <c r="A3393" s="3">
        <v>189</v>
      </c>
      <c r="B3393" s="3" t="s">
        <v>742</v>
      </c>
      <c r="C3393" s="3" t="s">
        <v>4359</v>
      </c>
      <c r="D3393" s="3"/>
    </row>
    <row r="3394" spans="1:4">
      <c r="A3394" s="2">
        <v>189</v>
      </c>
      <c r="B3394" s="2" t="s">
        <v>742</v>
      </c>
      <c r="C3394" s="2" t="s">
        <v>4360</v>
      </c>
      <c r="D3394" s="2"/>
    </row>
    <row r="3395" spans="1:4">
      <c r="A3395" s="3">
        <v>189</v>
      </c>
      <c r="B3395" s="3" t="s">
        <v>742</v>
      </c>
      <c r="C3395" s="3" t="s">
        <v>4361</v>
      </c>
      <c r="D3395" s="3"/>
    </row>
    <row r="3396" spans="1:4">
      <c r="A3396" s="2">
        <v>189</v>
      </c>
      <c r="B3396" s="2" t="s">
        <v>742</v>
      </c>
      <c r="C3396" s="2" t="s">
        <v>4362</v>
      </c>
      <c r="D3396" s="2"/>
    </row>
    <row r="3397" spans="1:4">
      <c r="A3397" s="3">
        <v>189</v>
      </c>
      <c r="B3397" s="3" t="s">
        <v>742</v>
      </c>
      <c r="C3397" s="3" t="s">
        <v>4363</v>
      </c>
      <c r="D3397" s="3"/>
    </row>
    <row r="3398" spans="1:4">
      <c r="A3398" s="2">
        <v>189</v>
      </c>
      <c r="B3398" s="2" t="s">
        <v>742</v>
      </c>
      <c r="C3398" s="2" t="s">
        <v>4364</v>
      </c>
      <c r="D3398" s="2"/>
    </row>
    <row r="3399" spans="1:4">
      <c r="A3399" s="3">
        <v>189</v>
      </c>
      <c r="B3399" s="3" t="s">
        <v>742</v>
      </c>
      <c r="C3399" s="3" t="s">
        <v>4365</v>
      </c>
      <c r="D3399" s="3"/>
    </row>
    <row r="3400" spans="1:4">
      <c r="A3400" s="2">
        <v>189</v>
      </c>
      <c r="B3400" s="2" t="s">
        <v>742</v>
      </c>
      <c r="C3400" s="2" t="s">
        <v>4366</v>
      </c>
      <c r="D3400" s="2"/>
    </row>
    <row r="3401" spans="1:4">
      <c r="A3401" s="3">
        <v>189</v>
      </c>
      <c r="B3401" s="3" t="s">
        <v>742</v>
      </c>
      <c r="C3401" s="3" t="s">
        <v>4367</v>
      </c>
      <c r="D3401" s="3"/>
    </row>
    <row r="3402" spans="1:4">
      <c r="A3402" s="2">
        <v>189</v>
      </c>
      <c r="B3402" s="2" t="s">
        <v>742</v>
      </c>
      <c r="C3402" s="2" t="s">
        <v>4368</v>
      </c>
      <c r="D3402" s="2"/>
    </row>
    <row r="3403" spans="1:4">
      <c r="A3403" s="3">
        <v>189</v>
      </c>
      <c r="B3403" s="3" t="s">
        <v>742</v>
      </c>
      <c r="C3403" s="3" t="s">
        <v>4369</v>
      </c>
      <c r="D3403" s="3"/>
    </row>
    <row r="3404" spans="1:4">
      <c r="A3404" s="2">
        <v>189</v>
      </c>
      <c r="B3404" s="2" t="s">
        <v>742</v>
      </c>
      <c r="C3404" s="2" t="s">
        <v>4370</v>
      </c>
      <c r="D3404" s="2"/>
    </row>
    <row r="3405" spans="1:4">
      <c r="A3405" s="3">
        <v>189</v>
      </c>
      <c r="B3405" s="3" t="s">
        <v>742</v>
      </c>
      <c r="C3405" s="3" t="s">
        <v>4371</v>
      </c>
      <c r="D3405" s="3"/>
    </row>
    <row r="3406" spans="1:4">
      <c r="A3406" s="2">
        <v>189</v>
      </c>
      <c r="B3406" s="2" t="s">
        <v>742</v>
      </c>
      <c r="C3406" s="2" t="s">
        <v>4372</v>
      </c>
      <c r="D3406" s="2"/>
    </row>
    <row r="3407" spans="1:4">
      <c r="A3407" s="3">
        <v>189</v>
      </c>
      <c r="B3407" s="3" t="s">
        <v>742</v>
      </c>
      <c r="C3407" s="3" t="s">
        <v>4373</v>
      </c>
      <c r="D3407" s="3"/>
    </row>
    <row r="3408" spans="1:4">
      <c r="A3408" s="2">
        <v>189</v>
      </c>
      <c r="B3408" s="2" t="s">
        <v>742</v>
      </c>
      <c r="C3408" s="2" t="s">
        <v>4374</v>
      </c>
      <c r="D3408" s="2"/>
    </row>
    <row r="3409" spans="1:4">
      <c r="A3409" s="3">
        <v>189</v>
      </c>
      <c r="B3409" s="3" t="s">
        <v>742</v>
      </c>
      <c r="C3409" s="3" t="s">
        <v>4375</v>
      </c>
      <c r="D3409" s="3"/>
    </row>
    <row r="3410" spans="1:4">
      <c r="A3410" s="2">
        <v>189</v>
      </c>
      <c r="B3410" s="2" t="s">
        <v>742</v>
      </c>
      <c r="C3410" s="2" t="s">
        <v>4376</v>
      </c>
      <c r="D3410" s="2"/>
    </row>
    <row r="3411" spans="1:4">
      <c r="A3411" s="3">
        <v>189</v>
      </c>
      <c r="B3411" s="3" t="s">
        <v>742</v>
      </c>
      <c r="C3411" s="3" t="s">
        <v>4374</v>
      </c>
      <c r="D3411" s="3"/>
    </row>
    <row r="3412" spans="1:4">
      <c r="A3412" s="2">
        <v>189</v>
      </c>
      <c r="B3412" s="2" t="s">
        <v>742</v>
      </c>
      <c r="C3412" s="2" t="s">
        <v>4377</v>
      </c>
      <c r="D3412" s="2"/>
    </row>
    <row r="3413" spans="1:4">
      <c r="A3413" s="3">
        <v>189</v>
      </c>
      <c r="B3413" s="3" t="s">
        <v>742</v>
      </c>
      <c r="C3413" s="3" t="s">
        <v>4374</v>
      </c>
      <c r="D3413" s="3"/>
    </row>
    <row r="3414" spans="1:4">
      <c r="A3414" s="2">
        <v>189</v>
      </c>
      <c r="B3414" s="2" t="s">
        <v>742</v>
      </c>
      <c r="C3414" s="2" t="s">
        <v>4377</v>
      </c>
      <c r="D3414" s="2"/>
    </row>
    <row r="3415" spans="1:4">
      <c r="A3415" s="3">
        <v>189</v>
      </c>
      <c r="B3415" s="3" t="s">
        <v>742</v>
      </c>
      <c r="C3415" s="3" t="s">
        <v>4375</v>
      </c>
      <c r="D3415" s="3"/>
    </row>
    <row r="3416" spans="1:4">
      <c r="A3416" s="2">
        <v>189</v>
      </c>
      <c r="B3416" s="2" t="s">
        <v>742</v>
      </c>
      <c r="C3416" s="2" t="s">
        <v>4376</v>
      </c>
      <c r="D3416" s="2"/>
    </row>
    <row r="3417" spans="1:4">
      <c r="A3417" s="3">
        <v>189</v>
      </c>
      <c r="B3417" s="3" t="s">
        <v>742</v>
      </c>
      <c r="C3417" s="3" t="s">
        <v>4374</v>
      </c>
      <c r="D3417" s="3"/>
    </row>
    <row r="3418" spans="1:4">
      <c r="A3418" s="2">
        <v>189</v>
      </c>
      <c r="B3418" s="2" t="s">
        <v>742</v>
      </c>
      <c r="C3418" s="2" t="s">
        <v>4377</v>
      </c>
      <c r="D3418" s="2"/>
    </row>
    <row r="3419" spans="1:4">
      <c r="A3419" s="3">
        <v>189</v>
      </c>
      <c r="B3419" s="3" t="s">
        <v>742</v>
      </c>
      <c r="C3419" s="3" t="s">
        <v>4377</v>
      </c>
      <c r="D3419" s="3"/>
    </row>
    <row r="3420" spans="1:4">
      <c r="A3420" s="2">
        <v>189</v>
      </c>
      <c r="B3420" s="2" t="s">
        <v>742</v>
      </c>
      <c r="C3420" s="2" t="s">
        <v>4378</v>
      </c>
      <c r="D3420" s="2"/>
    </row>
    <row r="3421" spans="1:4">
      <c r="A3421" s="3">
        <v>189</v>
      </c>
      <c r="B3421" s="3" t="s">
        <v>742</v>
      </c>
      <c r="C3421" s="3" t="s">
        <v>4376</v>
      </c>
      <c r="D3421" s="3"/>
    </row>
    <row r="3422" spans="1:4">
      <c r="A3422" s="2">
        <v>189</v>
      </c>
      <c r="B3422" s="2" t="s">
        <v>742</v>
      </c>
      <c r="C3422" s="2" t="s">
        <v>4379</v>
      </c>
      <c r="D3422" s="2"/>
    </row>
    <row r="3423" spans="1:4">
      <c r="A3423" s="3">
        <v>189</v>
      </c>
      <c r="B3423" s="3" t="s">
        <v>742</v>
      </c>
      <c r="C3423" s="3" t="s">
        <v>4375</v>
      </c>
      <c r="D3423" s="3"/>
    </row>
    <row r="3424" spans="1:4">
      <c r="A3424" s="2">
        <v>189</v>
      </c>
      <c r="B3424" s="2" t="s">
        <v>742</v>
      </c>
      <c r="C3424" s="2" t="s">
        <v>4376</v>
      </c>
      <c r="D3424" s="2"/>
    </row>
    <row r="3425" spans="1:4">
      <c r="A3425" s="3">
        <v>189</v>
      </c>
      <c r="B3425" s="3" t="s">
        <v>742</v>
      </c>
      <c r="C3425" s="3" t="s">
        <v>4380</v>
      </c>
      <c r="D3425" s="3"/>
    </row>
    <row r="3426" spans="1:4">
      <c r="A3426" s="2">
        <v>189</v>
      </c>
      <c r="B3426" s="2" t="s">
        <v>742</v>
      </c>
      <c r="C3426" s="2" t="s">
        <v>4378</v>
      </c>
      <c r="D3426" s="2"/>
    </row>
    <row r="3427" spans="1:4">
      <c r="A3427" s="3">
        <v>190</v>
      </c>
      <c r="B3427" s="3" t="s">
        <v>717</v>
      </c>
      <c r="C3427" s="3" t="s">
        <v>4381</v>
      </c>
      <c r="D3427" s="3"/>
    </row>
    <row r="3428" spans="1:4">
      <c r="A3428" s="2">
        <v>190</v>
      </c>
      <c r="B3428" s="2" t="s">
        <v>717</v>
      </c>
      <c r="C3428" s="2" t="s">
        <v>4382</v>
      </c>
      <c r="D3428" s="2"/>
    </row>
    <row r="3429" spans="1:4">
      <c r="A3429" s="3">
        <v>190</v>
      </c>
      <c r="B3429" s="3" t="s">
        <v>717</v>
      </c>
      <c r="C3429" s="3" t="s">
        <v>4383</v>
      </c>
      <c r="D3429" s="3"/>
    </row>
    <row r="3430" spans="1:4">
      <c r="A3430" s="2">
        <v>190</v>
      </c>
      <c r="B3430" s="2" t="s">
        <v>717</v>
      </c>
      <c r="C3430" s="2" t="s">
        <v>4384</v>
      </c>
      <c r="D3430" s="2"/>
    </row>
    <row r="3431" spans="1:4">
      <c r="A3431" s="3">
        <v>190</v>
      </c>
      <c r="B3431" s="3" t="s">
        <v>717</v>
      </c>
      <c r="C3431" s="3" t="s">
        <v>4384</v>
      </c>
      <c r="D3431" s="3"/>
    </row>
    <row r="3432" spans="1:4">
      <c r="A3432" s="2">
        <v>190</v>
      </c>
      <c r="B3432" s="2" t="s">
        <v>717</v>
      </c>
      <c r="C3432" s="2" t="s">
        <v>4385</v>
      </c>
      <c r="D3432" s="2"/>
    </row>
    <row r="3433" spans="1:4">
      <c r="A3433" s="3">
        <v>190</v>
      </c>
      <c r="B3433" s="3" t="s">
        <v>717</v>
      </c>
      <c r="C3433" s="3" t="s">
        <v>4386</v>
      </c>
      <c r="D3433" s="3"/>
    </row>
    <row r="3434" spans="1:4">
      <c r="A3434" s="2">
        <v>191</v>
      </c>
      <c r="B3434" s="2" t="s">
        <v>719</v>
      </c>
      <c r="C3434" s="2" t="s">
        <v>4387</v>
      </c>
      <c r="D3434" s="2"/>
    </row>
    <row r="3435" spans="1:4">
      <c r="A3435" s="3">
        <v>191</v>
      </c>
      <c r="B3435" s="3" t="s">
        <v>719</v>
      </c>
      <c r="C3435" s="3" t="s">
        <v>4388</v>
      </c>
      <c r="D3435" s="3"/>
    </row>
    <row r="3436" spans="1:4">
      <c r="A3436" s="2">
        <v>191</v>
      </c>
      <c r="B3436" s="2" t="s">
        <v>719</v>
      </c>
      <c r="C3436" s="2" t="s">
        <v>4389</v>
      </c>
      <c r="D3436" s="2"/>
    </row>
    <row r="3437" spans="1:4">
      <c r="A3437" s="3">
        <v>191</v>
      </c>
      <c r="B3437" s="3" t="s">
        <v>719</v>
      </c>
      <c r="C3437" s="3" t="s">
        <v>4390</v>
      </c>
      <c r="D3437" s="3"/>
    </row>
    <row r="3438" spans="1:4">
      <c r="A3438" s="2">
        <v>191</v>
      </c>
      <c r="B3438" s="2" t="s">
        <v>719</v>
      </c>
      <c r="C3438" s="2" t="s">
        <v>4391</v>
      </c>
      <c r="D3438" s="2"/>
    </row>
    <row r="3439" spans="1:4">
      <c r="A3439" s="3">
        <v>191</v>
      </c>
      <c r="B3439" s="3" t="s">
        <v>719</v>
      </c>
      <c r="C3439" s="3" t="s">
        <v>4392</v>
      </c>
      <c r="D3439" s="3"/>
    </row>
    <row r="3440" spans="1:4">
      <c r="A3440" s="2">
        <v>191</v>
      </c>
      <c r="B3440" s="2" t="s">
        <v>719</v>
      </c>
      <c r="C3440" s="2" t="s">
        <v>4393</v>
      </c>
      <c r="D3440" s="2"/>
    </row>
    <row r="3441" spans="1:4">
      <c r="A3441" s="3">
        <v>191</v>
      </c>
      <c r="B3441" s="3" t="s">
        <v>719</v>
      </c>
      <c r="C3441" s="3" t="s">
        <v>4394</v>
      </c>
      <c r="D3441" s="3"/>
    </row>
    <row r="3442" spans="1:4">
      <c r="A3442" s="2">
        <v>191</v>
      </c>
      <c r="B3442" s="2" t="s">
        <v>719</v>
      </c>
      <c r="C3442" s="2" t="s">
        <v>4395</v>
      </c>
      <c r="D3442" s="2"/>
    </row>
    <row r="3443" spans="1:4">
      <c r="A3443" s="3">
        <v>191</v>
      </c>
      <c r="B3443" s="3" t="s">
        <v>719</v>
      </c>
      <c r="C3443" s="3" t="s">
        <v>4396</v>
      </c>
      <c r="D3443" s="3"/>
    </row>
    <row r="3444" spans="1:4">
      <c r="A3444" s="2">
        <v>191</v>
      </c>
      <c r="B3444" s="2" t="s">
        <v>719</v>
      </c>
      <c r="C3444" s="2" t="s">
        <v>4397</v>
      </c>
      <c r="D3444" s="2"/>
    </row>
    <row r="3445" spans="1:4">
      <c r="A3445" s="3">
        <v>191</v>
      </c>
      <c r="B3445" s="3" t="s">
        <v>719</v>
      </c>
      <c r="C3445" s="3" t="s">
        <v>4398</v>
      </c>
      <c r="D3445" s="3"/>
    </row>
    <row r="3446" spans="1:4">
      <c r="A3446" s="2">
        <v>191</v>
      </c>
      <c r="B3446" s="2" t="s">
        <v>719</v>
      </c>
      <c r="C3446" s="2" t="s">
        <v>4399</v>
      </c>
      <c r="D3446" s="2"/>
    </row>
    <row r="3447" spans="1:4">
      <c r="A3447" s="3">
        <v>191</v>
      </c>
      <c r="B3447" s="3" t="s">
        <v>719</v>
      </c>
      <c r="C3447" s="3" t="s">
        <v>4400</v>
      </c>
      <c r="D3447" s="3"/>
    </row>
    <row r="3448" spans="1:4">
      <c r="A3448" s="2">
        <v>191</v>
      </c>
      <c r="B3448" s="2" t="s">
        <v>719</v>
      </c>
      <c r="C3448" s="2" t="s">
        <v>4401</v>
      </c>
      <c r="D3448" s="2"/>
    </row>
    <row r="3449" spans="1:4">
      <c r="A3449" s="3">
        <v>191</v>
      </c>
      <c r="B3449" s="3" t="s">
        <v>719</v>
      </c>
      <c r="C3449" s="3" t="s">
        <v>4402</v>
      </c>
      <c r="D3449" s="3"/>
    </row>
    <row r="3450" spans="1:4">
      <c r="A3450" s="2">
        <v>191</v>
      </c>
      <c r="B3450" s="2" t="s">
        <v>719</v>
      </c>
      <c r="C3450" s="2" t="s">
        <v>4403</v>
      </c>
      <c r="D3450" s="2"/>
    </row>
    <row r="3451" spans="1:4">
      <c r="A3451" s="3">
        <v>191</v>
      </c>
      <c r="B3451" s="3" t="s">
        <v>719</v>
      </c>
      <c r="C3451" s="3" t="s">
        <v>4404</v>
      </c>
      <c r="D3451" s="3"/>
    </row>
    <row r="3452" spans="1:4">
      <c r="A3452" s="2">
        <v>191</v>
      </c>
      <c r="B3452" s="2" t="s">
        <v>719</v>
      </c>
      <c r="C3452" s="2" t="s">
        <v>4405</v>
      </c>
      <c r="D3452" s="2"/>
    </row>
    <row r="3453" spans="1:4">
      <c r="A3453" s="3">
        <v>191</v>
      </c>
      <c r="B3453" s="3" t="s">
        <v>719</v>
      </c>
      <c r="C3453" s="3" t="s">
        <v>4406</v>
      </c>
      <c r="D3453" s="3"/>
    </row>
    <row r="3454" spans="1:4">
      <c r="A3454" s="2">
        <v>191</v>
      </c>
      <c r="B3454" s="2" t="s">
        <v>719</v>
      </c>
      <c r="C3454" s="2" t="s">
        <v>4407</v>
      </c>
      <c r="D3454" s="2"/>
    </row>
    <row r="3455" spans="1:4">
      <c r="A3455" s="3">
        <v>191</v>
      </c>
      <c r="B3455" s="3" t="s">
        <v>719</v>
      </c>
      <c r="C3455" s="3" t="s">
        <v>4408</v>
      </c>
      <c r="D3455" s="3"/>
    </row>
    <row r="3456" spans="1:4">
      <c r="A3456" s="2">
        <v>191</v>
      </c>
      <c r="B3456" s="2" t="s">
        <v>719</v>
      </c>
      <c r="C3456" s="2" t="s">
        <v>4409</v>
      </c>
      <c r="D3456" s="2"/>
    </row>
    <row r="3457" spans="1:4">
      <c r="A3457" s="3">
        <v>191</v>
      </c>
      <c r="B3457" s="3" t="s">
        <v>719</v>
      </c>
      <c r="C3457" s="3" t="s">
        <v>4410</v>
      </c>
      <c r="D3457" s="3"/>
    </row>
    <row r="3458" spans="1:4">
      <c r="A3458" s="2">
        <v>191</v>
      </c>
      <c r="B3458" s="2" t="s">
        <v>719</v>
      </c>
      <c r="C3458" s="2" t="s">
        <v>4411</v>
      </c>
      <c r="D3458" s="2"/>
    </row>
    <row r="3459" spans="1:4">
      <c r="A3459" s="3">
        <v>191</v>
      </c>
      <c r="B3459" s="3" t="s">
        <v>719</v>
      </c>
      <c r="C3459" s="3" t="s">
        <v>4412</v>
      </c>
      <c r="D3459" s="3"/>
    </row>
    <row r="3460" spans="1:4">
      <c r="A3460" s="2">
        <v>191</v>
      </c>
      <c r="B3460" s="2" t="s">
        <v>719</v>
      </c>
      <c r="C3460" s="2" t="s">
        <v>4413</v>
      </c>
      <c r="D3460" s="2"/>
    </row>
    <row r="3461" spans="1:4">
      <c r="A3461" s="3">
        <v>191</v>
      </c>
      <c r="B3461" s="3" t="s">
        <v>719</v>
      </c>
      <c r="C3461" s="3" t="s">
        <v>4414</v>
      </c>
      <c r="D3461" s="3"/>
    </row>
    <row r="3462" spans="1:4">
      <c r="A3462" s="2">
        <v>191</v>
      </c>
      <c r="B3462" s="2" t="s">
        <v>719</v>
      </c>
      <c r="C3462" s="2" t="s">
        <v>4415</v>
      </c>
      <c r="D3462" s="2"/>
    </row>
    <row r="3463" spans="1:4">
      <c r="A3463" s="3">
        <v>191</v>
      </c>
      <c r="B3463" s="3" t="s">
        <v>719</v>
      </c>
      <c r="C3463" s="3" t="s">
        <v>4416</v>
      </c>
      <c r="D3463" s="3"/>
    </row>
    <row r="3464" spans="1:4">
      <c r="A3464" s="2">
        <v>191</v>
      </c>
      <c r="B3464" s="2" t="s">
        <v>719</v>
      </c>
      <c r="C3464" s="2" t="s">
        <v>4417</v>
      </c>
      <c r="D3464" s="2"/>
    </row>
    <row r="3465" spans="1:4">
      <c r="A3465" s="3">
        <v>192</v>
      </c>
      <c r="B3465" s="3" t="s">
        <v>727</v>
      </c>
      <c r="C3465" s="3" t="s">
        <v>4418</v>
      </c>
      <c r="D3465" s="3"/>
    </row>
    <row r="3466" spans="1:4">
      <c r="A3466" s="2">
        <v>192</v>
      </c>
      <c r="B3466" s="2" t="s">
        <v>727</v>
      </c>
      <c r="C3466" s="2" t="s">
        <v>4419</v>
      </c>
      <c r="D3466" s="2"/>
    </row>
    <row r="3467" spans="1:4">
      <c r="A3467" s="3">
        <v>192</v>
      </c>
      <c r="B3467" s="3" t="s">
        <v>727</v>
      </c>
      <c r="C3467" s="3" t="s">
        <v>4420</v>
      </c>
      <c r="D3467" s="3"/>
    </row>
    <row r="3468" spans="1:4">
      <c r="A3468" s="2">
        <v>192</v>
      </c>
      <c r="B3468" s="2" t="s">
        <v>727</v>
      </c>
      <c r="C3468" s="2" t="s">
        <v>4421</v>
      </c>
      <c r="D3468" s="2"/>
    </row>
    <row r="3469" spans="1:4">
      <c r="A3469" s="3">
        <v>192</v>
      </c>
      <c r="B3469" s="3" t="s">
        <v>727</v>
      </c>
      <c r="C3469" s="3" t="s">
        <v>4422</v>
      </c>
      <c r="D3469" s="3"/>
    </row>
    <row r="3470" spans="1:4">
      <c r="A3470" s="2">
        <v>192</v>
      </c>
      <c r="B3470" s="2" t="s">
        <v>727</v>
      </c>
      <c r="C3470" s="2" t="s">
        <v>4423</v>
      </c>
      <c r="D3470" s="2"/>
    </row>
    <row r="3471" spans="1:4">
      <c r="A3471" s="3">
        <v>192</v>
      </c>
      <c r="B3471" s="3" t="s">
        <v>727</v>
      </c>
      <c r="C3471" s="3" t="s">
        <v>4424</v>
      </c>
      <c r="D3471" s="3"/>
    </row>
    <row r="3472" spans="1:4">
      <c r="A3472" s="2">
        <v>192</v>
      </c>
      <c r="B3472" s="2" t="s">
        <v>727</v>
      </c>
      <c r="C3472" s="2" t="s">
        <v>4425</v>
      </c>
      <c r="D3472" s="2"/>
    </row>
    <row r="3473" spans="1:4">
      <c r="A3473" s="3">
        <v>192</v>
      </c>
      <c r="B3473" s="3" t="s">
        <v>727</v>
      </c>
      <c r="C3473" s="3" t="s">
        <v>4426</v>
      </c>
      <c r="D3473" s="3"/>
    </row>
    <row r="3474" spans="1:4">
      <c r="A3474" s="2">
        <v>192</v>
      </c>
      <c r="B3474" s="2" t="s">
        <v>727</v>
      </c>
      <c r="C3474" s="2" t="s">
        <v>4427</v>
      </c>
      <c r="D3474" s="2"/>
    </row>
    <row r="3475" spans="1:4">
      <c r="A3475" s="3">
        <v>192</v>
      </c>
      <c r="B3475" s="3" t="s">
        <v>727</v>
      </c>
      <c r="C3475" s="3" t="s">
        <v>4428</v>
      </c>
      <c r="D3475" s="3"/>
    </row>
    <row r="3476" spans="1:4">
      <c r="A3476" s="2">
        <v>192</v>
      </c>
      <c r="B3476" s="2" t="s">
        <v>727</v>
      </c>
      <c r="C3476" s="2" t="s">
        <v>4429</v>
      </c>
      <c r="D3476" s="2"/>
    </row>
    <row r="3477" spans="1:4">
      <c r="A3477" s="3">
        <v>192</v>
      </c>
      <c r="B3477" s="3" t="s">
        <v>727</v>
      </c>
      <c r="C3477" s="3" t="s">
        <v>4430</v>
      </c>
      <c r="D3477" s="3"/>
    </row>
    <row r="3478" spans="1:4">
      <c r="A3478" s="2">
        <v>192</v>
      </c>
      <c r="B3478" s="2" t="s">
        <v>727</v>
      </c>
      <c r="C3478" s="2">
        <f> 0,∀m= 1, ..., N φ.</f>
        <v>0</v>
      </c>
      <c r="D3478" s="2"/>
    </row>
    <row r="3479" spans="1:4">
      <c r="A3479" s="3">
        <v>192</v>
      </c>
      <c r="B3479" s="3" t="s">
        <v>727</v>
      </c>
      <c r="C3479" s="3" t="s">
        <v>4430</v>
      </c>
      <c r="D3479" s="3"/>
    </row>
    <row r="3480" spans="1:4">
      <c r="A3480" s="2">
        <v>192</v>
      </c>
      <c r="B3480" s="2" t="s">
        <v>727</v>
      </c>
      <c r="C3480" s="2" t="s">
        <v>4431</v>
      </c>
      <c r="D3480" s="2"/>
    </row>
    <row r="3481" spans="1:4">
      <c r="A3481" s="3">
        <v>192</v>
      </c>
      <c r="B3481" s="3" t="s">
        <v>727</v>
      </c>
      <c r="C3481" s="3" t="s">
        <v>4432</v>
      </c>
      <c r="D3481" s="3"/>
    </row>
    <row r="3482" spans="1:4">
      <c r="A3482" s="2">
        <v>192</v>
      </c>
      <c r="B3482" s="2" t="s">
        <v>727</v>
      </c>
      <c r="C3482" s="2" t="s">
        <v>4433</v>
      </c>
      <c r="D3482" s="2"/>
    </row>
    <row r="3483" spans="1:4">
      <c r="A3483" s="3">
        <v>192</v>
      </c>
      <c r="B3483" s="3" t="s">
        <v>727</v>
      </c>
      <c r="C3483" s="3">
        <f> 0,∀m= 1, ..., N φ (4)</f>
        <v>0</v>
      </c>
      <c r="D3483" s="3"/>
    </row>
    <row r="3484" spans="1:4">
      <c r="A3484" s="2">
        <v>192</v>
      </c>
      <c r="B3484" s="2" t="s">
        <v>727</v>
      </c>
      <c r="C3484" s="2" t="s">
        <v>4434</v>
      </c>
      <c r="D3484" s="2"/>
    </row>
    <row r="3485" spans="1:4">
      <c r="A3485" s="3">
        <v>192</v>
      </c>
      <c r="B3485" s="3" t="s">
        <v>727</v>
      </c>
      <c r="C3485" s="3" t="s">
        <v>4435</v>
      </c>
      <c r="D3485" s="3"/>
    </row>
    <row r="3486" spans="1:4">
      <c r="A3486" s="2">
        <v>192</v>
      </c>
      <c r="B3486" s="2" t="s">
        <v>727</v>
      </c>
      <c r="C3486" s="2" t="s">
        <v>4436</v>
      </c>
      <c r="D3486" s="2"/>
    </row>
    <row r="3487" spans="1:4">
      <c r="A3487" s="3">
        <v>192</v>
      </c>
      <c r="B3487" s="3" t="s">
        <v>727</v>
      </c>
      <c r="C3487" s="3" t="s">
        <v>4437</v>
      </c>
      <c r="D3487" s="3"/>
    </row>
    <row r="3488" spans="1:4">
      <c r="A3488" s="2">
        <v>192</v>
      </c>
      <c r="B3488" s="2" t="s">
        <v>727</v>
      </c>
      <c r="C3488" s="2" t="s">
        <v>4438</v>
      </c>
      <c r="D3488" s="2"/>
    </row>
    <row r="3489" spans="1:4">
      <c r="A3489" s="3">
        <v>192</v>
      </c>
      <c r="B3489" s="3" t="s">
        <v>727</v>
      </c>
      <c r="C3489" s="3" t="s">
        <v>4439</v>
      </c>
      <c r="D3489" s="3"/>
    </row>
    <row r="3490" spans="1:4">
      <c r="A3490" s="2">
        <v>192</v>
      </c>
      <c r="B3490" s="2" t="s">
        <v>727</v>
      </c>
      <c r="C3490" s="2" t="s">
        <v>4440</v>
      </c>
      <c r="D3490" s="2"/>
    </row>
    <row r="3491" spans="1:4">
      <c r="A3491" s="3">
        <v>192</v>
      </c>
      <c r="B3491" s="3" t="s">
        <v>727</v>
      </c>
      <c r="C3491" s="3" t="s">
        <v>4441</v>
      </c>
      <c r="D3491" s="3"/>
    </row>
    <row r="3492" spans="1:4">
      <c r="A3492" s="2">
        <v>192</v>
      </c>
      <c r="B3492" s="2" t="s">
        <v>727</v>
      </c>
      <c r="C3492" s="2" t="s">
        <v>4442</v>
      </c>
      <c r="D3492" s="2"/>
    </row>
    <row r="3493" spans="1:4">
      <c r="A3493" s="3">
        <v>192</v>
      </c>
      <c r="B3493" s="3" t="s">
        <v>727</v>
      </c>
      <c r="C3493" s="3" t="s">
        <v>4443</v>
      </c>
      <c r="D3493" s="3"/>
    </row>
    <row r="3494" spans="1:4">
      <c r="A3494" s="2">
        <v>192</v>
      </c>
      <c r="B3494" s="2" t="s">
        <v>727</v>
      </c>
      <c r="C3494" s="2" t="s">
        <v>4432</v>
      </c>
      <c r="D3494" s="2"/>
    </row>
    <row r="3495" spans="1:4">
      <c r="A3495" s="3">
        <v>192</v>
      </c>
      <c r="B3495" s="3" t="s">
        <v>727</v>
      </c>
      <c r="C3495" s="3" t="s">
        <v>4433</v>
      </c>
      <c r="D3495" s="3"/>
    </row>
    <row r="3496" spans="1:4">
      <c r="A3496" s="2">
        <v>192</v>
      </c>
      <c r="B3496" s="2" t="s">
        <v>727</v>
      </c>
      <c r="C3496" s="2" t="s">
        <v>4444</v>
      </c>
      <c r="D3496" s="2"/>
    </row>
    <row r="3497" spans="1:4">
      <c r="A3497" s="3">
        <v>192</v>
      </c>
      <c r="B3497" s="3" t="s">
        <v>727</v>
      </c>
      <c r="C3497" s="3" t="s">
        <v>4433</v>
      </c>
      <c r="D3497" s="3"/>
    </row>
    <row r="3498" spans="1:4">
      <c r="A3498" s="2">
        <v>192</v>
      </c>
      <c r="B3498" s="2" t="s">
        <v>727</v>
      </c>
      <c r="C3498" s="2" t="s">
        <v>4433</v>
      </c>
      <c r="D3498" s="2"/>
    </row>
    <row r="3499" spans="1:4">
      <c r="A3499" s="3">
        <v>192</v>
      </c>
      <c r="B3499" s="3" t="s">
        <v>727</v>
      </c>
      <c r="C3499" s="3" t="s">
        <v>4445</v>
      </c>
      <c r="D3499" s="3"/>
    </row>
    <row r="3500" spans="1:4">
      <c r="A3500" s="2">
        <v>192</v>
      </c>
      <c r="B3500" s="2" t="s">
        <v>727</v>
      </c>
      <c r="C3500" s="2" t="s">
        <v>4446</v>
      </c>
      <c r="D3500" s="2"/>
    </row>
    <row r="3501" spans="1:4">
      <c r="A3501" s="3">
        <v>192</v>
      </c>
      <c r="B3501" s="3" t="s">
        <v>727</v>
      </c>
      <c r="C3501" s="3" t="s">
        <v>4443</v>
      </c>
      <c r="D3501" s="3"/>
    </row>
    <row r="3502" spans="1:4">
      <c r="A3502" s="2">
        <v>192</v>
      </c>
      <c r="B3502" s="2" t="s">
        <v>727</v>
      </c>
      <c r="C3502" s="2" t="s">
        <v>4447</v>
      </c>
      <c r="D3502" s="2"/>
    </row>
    <row r="3503" spans="1:4">
      <c r="A3503" s="3">
        <v>192</v>
      </c>
      <c r="B3503" s="3" t="s">
        <v>727</v>
      </c>
      <c r="C3503" s="3" t="s">
        <v>4448</v>
      </c>
      <c r="D3503" s="3"/>
    </row>
    <row r="3504" spans="1:4">
      <c r="A3504" s="2">
        <v>192</v>
      </c>
      <c r="B3504" s="2" t="s">
        <v>727</v>
      </c>
      <c r="C3504" s="2" t="s">
        <v>4449</v>
      </c>
      <c r="D3504" s="2"/>
    </row>
    <row r="3505" spans="1:4">
      <c r="A3505" s="3">
        <v>192</v>
      </c>
      <c r="B3505" s="3" t="s">
        <v>727</v>
      </c>
      <c r="C3505" s="3" t="s">
        <v>4450</v>
      </c>
      <c r="D3505" s="3"/>
    </row>
    <row r="3506" spans="1:4">
      <c r="A3506" s="2">
        <v>192</v>
      </c>
      <c r="B3506" s="2" t="s">
        <v>727</v>
      </c>
      <c r="C3506" s="2" t="s">
        <v>4451</v>
      </c>
      <c r="D3506" s="2"/>
    </row>
    <row r="3507" spans="1:4">
      <c r="A3507" s="3">
        <v>192</v>
      </c>
      <c r="B3507" s="3" t="s">
        <v>727</v>
      </c>
      <c r="C3507" s="3" t="s">
        <v>4452</v>
      </c>
      <c r="D3507" s="3"/>
    </row>
    <row r="3508" spans="1:4">
      <c r="A3508" s="2">
        <v>192</v>
      </c>
      <c r="B3508" s="2" t="s">
        <v>727</v>
      </c>
      <c r="C3508" s="2" t="s">
        <v>4453</v>
      </c>
      <c r="D3508" s="2"/>
    </row>
    <row r="3509" spans="1:4">
      <c r="A3509" s="3">
        <v>192</v>
      </c>
      <c r="B3509" s="3" t="s">
        <v>727</v>
      </c>
      <c r="C3509" s="3" t="s">
        <v>4454</v>
      </c>
      <c r="D3509" s="3"/>
    </row>
    <row r="3510" spans="1:4">
      <c r="A3510" s="2">
        <v>192</v>
      </c>
      <c r="B3510" s="2" t="s">
        <v>727</v>
      </c>
      <c r="C3510" s="2" t="s">
        <v>4455</v>
      </c>
      <c r="D3510" s="2"/>
    </row>
    <row r="3511" spans="1:4">
      <c r="A3511" s="3">
        <v>192</v>
      </c>
      <c r="B3511" s="3" t="s">
        <v>727</v>
      </c>
      <c r="C3511" s="3" t="s">
        <v>4456</v>
      </c>
      <c r="D3511" s="3"/>
    </row>
    <row r="3512" spans="1:4">
      <c r="A3512" s="2">
        <v>192</v>
      </c>
      <c r="B3512" s="2" t="s">
        <v>727</v>
      </c>
      <c r="C3512" s="2" t="s">
        <v>4455</v>
      </c>
      <c r="D3512" s="2"/>
    </row>
    <row r="3513" spans="1:4">
      <c r="A3513" s="3">
        <v>192</v>
      </c>
      <c r="B3513" s="3" t="s">
        <v>727</v>
      </c>
      <c r="C3513" s="3" t="s">
        <v>4457</v>
      </c>
      <c r="D3513" s="3"/>
    </row>
    <row r="3514" spans="1:4">
      <c r="A3514" s="2">
        <v>192</v>
      </c>
      <c r="B3514" s="2" t="s">
        <v>727</v>
      </c>
      <c r="C3514" s="2" t="s">
        <v>4458</v>
      </c>
      <c r="D3514" s="2"/>
    </row>
    <row r="3515" spans="1:4">
      <c r="A3515" s="3">
        <v>195</v>
      </c>
      <c r="B3515" s="3" t="s">
        <v>734</v>
      </c>
      <c r="C3515" s="3" t="s">
        <v>4459</v>
      </c>
      <c r="D3515" s="3"/>
    </row>
    <row r="3516" spans="1:4">
      <c r="A3516" s="2">
        <v>195</v>
      </c>
      <c r="B3516" s="2" t="s">
        <v>734</v>
      </c>
      <c r="C3516" s="2" t="s">
        <v>4460</v>
      </c>
      <c r="D3516" s="2"/>
    </row>
    <row r="3517" spans="1:4">
      <c r="A3517" s="3">
        <v>195</v>
      </c>
      <c r="B3517" s="3" t="s">
        <v>734</v>
      </c>
      <c r="C3517" s="3" t="s">
        <v>4461</v>
      </c>
      <c r="D3517" s="3"/>
    </row>
    <row r="3518" spans="1:4">
      <c r="A3518" s="2">
        <v>195</v>
      </c>
      <c r="B3518" s="2" t="s">
        <v>734</v>
      </c>
      <c r="C3518" s="2" t="s">
        <v>4462</v>
      </c>
      <c r="D3518" s="2"/>
    </row>
    <row r="3519" spans="1:4">
      <c r="A3519" s="3">
        <v>195</v>
      </c>
      <c r="B3519" s="3" t="s">
        <v>734</v>
      </c>
      <c r="C3519" s="3" t="s">
        <v>4463</v>
      </c>
      <c r="D3519" s="3"/>
    </row>
    <row r="3520" spans="1:4">
      <c r="A3520" s="2">
        <v>195</v>
      </c>
      <c r="B3520" s="2" t="s">
        <v>734</v>
      </c>
      <c r="C3520" s="2" t="s">
        <v>4464</v>
      </c>
      <c r="D3520" s="2"/>
    </row>
    <row r="3521" spans="1:4">
      <c r="A3521" s="3">
        <v>195</v>
      </c>
      <c r="B3521" s="3" t="s">
        <v>734</v>
      </c>
      <c r="C3521" s="3" t="s">
        <v>4465</v>
      </c>
      <c r="D3521" s="3"/>
    </row>
    <row r="3522" spans="1:4">
      <c r="A3522" s="2">
        <v>195</v>
      </c>
      <c r="B3522" s="2" t="s">
        <v>734</v>
      </c>
      <c r="C3522" s="2" t="s">
        <v>4466</v>
      </c>
      <c r="D3522" s="2"/>
    </row>
    <row r="3523" spans="1:4">
      <c r="A3523" s="3">
        <v>195</v>
      </c>
      <c r="B3523" s="3" t="s">
        <v>734</v>
      </c>
      <c r="C3523" s="3" t="s">
        <v>4467</v>
      </c>
      <c r="D3523" s="3"/>
    </row>
    <row r="3524" spans="1:4">
      <c r="A3524" s="2">
        <v>195</v>
      </c>
      <c r="B3524" s="2" t="s">
        <v>734</v>
      </c>
      <c r="C3524" s="2" t="s">
        <v>4468</v>
      </c>
      <c r="D3524" s="2"/>
    </row>
    <row r="3525" spans="1:4">
      <c r="A3525" s="3">
        <v>195</v>
      </c>
      <c r="B3525" s="3" t="s">
        <v>734</v>
      </c>
      <c r="C3525" s="3" t="s">
        <v>4469</v>
      </c>
      <c r="D3525" s="3"/>
    </row>
    <row r="3526" spans="1:4">
      <c r="A3526" s="2">
        <v>195</v>
      </c>
      <c r="B3526" s="2" t="s">
        <v>734</v>
      </c>
      <c r="C3526" s="2" t="s">
        <v>4470</v>
      </c>
      <c r="D3526" s="2"/>
    </row>
    <row r="3527" spans="1:4">
      <c r="A3527" s="3">
        <v>195</v>
      </c>
      <c r="B3527" s="3" t="s">
        <v>734</v>
      </c>
      <c r="C3527" s="3" t="s">
        <v>4471</v>
      </c>
      <c r="D3527" s="3"/>
    </row>
    <row r="3528" spans="1:4">
      <c r="A3528" s="2">
        <v>195</v>
      </c>
      <c r="B3528" s="2" t="s">
        <v>734</v>
      </c>
      <c r="C3528" s="2" t="s">
        <v>4472</v>
      </c>
      <c r="D3528" s="2"/>
    </row>
    <row r="3529" spans="1:4">
      <c r="A3529" s="3">
        <v>195</v>
      </c>
      <c r="B3529" s="3" t="s">
        <v>734</v>
      </c>
      <c r="C3529" s="3" t="s">
        <v>4473</v>
      </c>
      <c r="D3529" s="3"/>
    </row>
    <row r="3530" spans="1:4">
      <c r="A3530" s="2">
        <v>195</v>
      </c>
      <c r="B3530" s="2" t="s">
        <v>734</v>
      </c>
      <c r="C3530" s="2" t="s">
        <v>4474</v>
      </c>
      <c r="D3530" s="2"/>
    </row>
    <row r="3531" spans="1:4">
      <c r="A3531" s="3">
        <v>195</v>
      </c>
      <c r="B3531" s="3" t="s">
        <v>734</v>
      </c>
      <c r="C3531" s="3" t="s">
        <v>4475</v>
      </c>
      <c r="D3531" s="3"/>
    </row>
    <row r="3532" spans="1:4">
      <c r="A3532" s="2">
        <v>195</v>
      </c>
      <c r="B3532" s="2" t="s">
        <v>734</v>
      </c>
      <c r="C3532" s="2" t="s">
        <v>4476</v>
      </c>
      <c r="D3532" s="2"/>
    </row>
    <row r="3533" spans="1:4">
      <c r="A3533" s="3">
        <v>195</v>
      </c>
      <c r="B3533" s="3" t="s">
        <v>734</v>
      </c>
      <c r="C3533" s="3" t="s">
        <v>4477</v>
      </c>
      <c r="D3533" s="3"/>
    </row>
    <row r="3534" spans="1:4">
      <c r="A3534" s="2">
        <v>195</v>
      </c>
      <c r="B3534" s="2" t="s">
        <v>734</v>
      </c>
      <c r="C3534" s="2" t="s">
        <v>4478</v>
      </c>
      <c r="D3534" s="2"/>
    </row>
    <row r="3535" spans="1:4">
      <c r="A3535" s="3">
        <v>195</v>
      </c>
      <c r="B3535" s="3" t="s">
        <v>734</v>
      </c>
      <c r="C3535" s="3" t="s">
        <v>4479</v>
      </c>
      <c r="D3535" s="3"/>
    </row>
    <row r="3536" spans="1:4">
      <c r="A3536" s="2">
        <v>195</v>
      </c>
      <c r="B3536" s="2" t="s">
        <v>734</v>
      </c>
      <c r="C3536" s="2" t="s">
        <v>4480</v>
      </c>
      <c r="D3536" s="2"/>
    </row>
    <row r="3537" spans="1:4">
      <c r="A3537" s="3">
        <v>195</v>
      </c>
      <c r="B3537" s="3" t="s">
        <v>734</v>
      </c>
      <c r="C3537" s="3" t="s">
        <v>4481</v>
      </c>
      <c r="D3537" s="3"/>
    </row>
    <row r="3538" spans="1:4">
      <c r="A3538" s="2">
        <v>195</v>
      </c>
      <c r="B3538" s="2" t="s">
        <v>734</v>
      </c>
      <c r="C3538" s="2" t="s">
        <v>4482</v>
      </c>
      <c r="D3538" s="2"/>
    </row>
    <row r="3539" spans="1:4">
      <c r="A3539" s="3">
        <v>195</v>
      </c>
      <c r="B3539" s="3" t="s">
        <v>734</v>
      </c>
      <c r="C3539" s="3" t="s">
        <v>4483</v>
      </c>
      <c r="D3539" s="3"/>
    </row>
    <row r="3540" spans="1:4">
      <c r="A3540" s="2">
        <v>195</v>
      </c>
      <c r="B3540" s="2" t="s">
        <v>734</v>
      </c>
      <c r="C3540" s="2" t="s">
        <v>4484</v>
      </c>
      <c r="D3540" s="2"/>
    </row>
    <row r="3541" spans="1:4">
      <c r="A3541" s="3">
        <v>195</v>
      </c>
      <c r="B3541" s="3" t="s">
        <v>734</v>
      </c>
      <c r="C3541" s="3" t="s">
        <v>4485</v>
      </c>
      <c r="D3541" s="3"/>
    </row>
    <row r="3542" spans="1:4">
      <c r="A3542" s="2">
        <v>195</v>
      </c>
      <c r="B3542" s="2" t="s">
        <v>734</v>
      </c>
      <c r="C3542" s="2" t="s">
        <v>4486</v>
      </c>
      <c r="D3542" s="2"/>
    </row>
    <row r="3543" spans="1:4">
      <c r="A3543" s="3">
        <v>195</v>
      </c>
      <c r="B3543" s="3" t="s">
        <v>734</v>
      </c>
      <c r="C3543" s="3" t="s">
        <v>4487</v>
      </c>
      <c r="D3543" s="3"/>
    </row>
    <row r="3544" spans="1:4">
      <c r="A3544" s="2">
        <v>195</v>
      </c>
      <c r="B3544" s="2" t="s">
        <v>734</v>
      </c>
      <c r="C3544" s="2" t="s">
        <v>4488</v>
      </c>
      <c r="D3544" s="2"/>
    </row>
    <row r="3545" spans="1:4">
      <c r="A3545" s="3">
        <v>195</v>
      </c>
      <c r="B3545" s="3" t="s">
        <v>734</v>
      </c>
      <c r="C3545" s="3" t="s">
        <v>4489</v>
      </c>
      <c r="D3545" s="3"/>
    </row>
    <row r="3546" spans="1:4">
      <c r="A3546" s="2">
        <v>195</v>
      </c>
      <c r="B3546" s="2" t="s">
        <v>734</v>
      </c>
      <c r="C3546" s="2" t="s">
        <v>4490</v>
      </c>
      <c r="D3546" s="2"/>
    </row>
    <row r="3547" spans="1:4">
      <c r="A3547" s="3">
        <v>195</v>
      </c>
      <c r="B3547" s="3" t="s">
        <v>734</v>
      </c>
      <c r="C3547" s="3" t="s">
        <v>4491</v>
      </c>
      <c r="D3547" s="3"/>
    </row>
    <row r="3548" spans="1:4">
      <c r="A3548" s="2">
        <v>195</v>
      </c>
      <c r="B3548" s="2" t="s">
        <v>734</v>
      </c>
      <c r="C3548" s="2" t="s">
        <v>4492</v>
      </c>
      <c r="D3548" s="2"/>
    </row>
    <row r="3549" spans="1:4">
      <c r="A3549" s="3">
        <v>195</v>
      </c>
      <c r="B3549" s="3" t="s">
        <v>734</v>
      </c>
      <c r="C3549" s="3" t="s">
        <v>4493</v>
      </c>
      <c r="D3549" s="3"/>
    </row>
    <row r="3550" spans="1:4">
      <c r="A3550" s="2">
        <v>195</v>
      </c>
      <c r="B3550" s="2" t="s">
        <v>734</v>
      </c>
      <c r="C3550" s="2" t="s">
        <v>4494</v>
      </c>
      <c r="D3550" s="2"/>
    </row>
    <row r="3551" spans="1:4">
      <c r="A3551" s="3">
        <v>195</v>
      </c>
      <c r="B3551" s="3" t="s">
        <v>734</v>
      </c>
      <c r="C3551" s="3" t="s">
        <v>4495</v>
      </c>
      <c r="D3551" s="3"/>
    </row>
    <row r="3552" spans="1:4">
      <c r="A3552" s="2">
        <v>195</v>
      </c>
      <c r="B3552" s="2" t="s">
        <v>734</v>
      </c>
      <c r="C3552" s="2" t="s">
        <v>4496</v>
      </c>
      <c r="D3552" s="2"/>
    </row>
    <row r="3553" spans="1:4">
      <c r="A3553" s="3">
        <v>195</v>
      </c>
      <c r="B3553" s="3" t="s">
        <v>734</v>
      </c>
      <c r="C3553" s="3" t="s">
        <v>4497</v>
      </c>
      <c r="D3553" s="3"/>
    </row>
    <row r="3554" spans="1:4">
      <c r="A3554" s="2">
        <v>195</v>
      </c>
      <c r="B3554" s="2" t="s">
        <v>734</v>
      </c>
      <c r="C3554" s="2" t="s">
        <v>4498</v>
      </c>
      <c r="D3554" s="2"/>
    </row>
    <row r="3555" spans="1:4">
      <c r="A3555" s="3">
        <v>195</v>
      </c>
      <c r="B3555" s="3" t="s">
        <v>734</v>
      </c>
      <c r="C3555" s="3" t="s">
        <v>4499</v>
      </c>
      <c r="D3555" s="3"/>
    </row>
    <row r="3556" spans="1:4">
      <c r="A3556" s="2">
        <v>195</v>
      </c>
      <c r="B3556" s="2" t="s">
        <v>734</v>
      </c>
      <c r="C3556" s="2" t="s">
        <v>4500</v>
      </c>
      <c r="D3556" s="2"/>
    </row>
    <row r="3557" spans="1:4">
      <c r="A3557" s="3">
        <v>195</v>
      </c>
      <c r="B3557" s="3" t="s">
        <v>734</v>
      </c>
      <c r="C3557" s="3" t="s">
        <v>4501</v>
      </c>
      <c r="D3557" s="3"/>
    </row>
    <row r="3558" spans="1:4">
      <c r="A3558" s="2">
        <v>195</v>
      </c>
      <c r="B3558" s="2" t="s">
        <v>734</v>
      </c>
      <c r="C3558" s="2" t="s">
        <v>4502</v>
      </c>
      <c r="D3558" s="2"/>
    </row>
    <row r="3559" spans="1:4">
      <c r="A3559" s="3">
        <v>195</v>
      </c>
      <c r="B3559" s="3" t="s">
        <v>734</v>
      </c>
      <c r="C3559" s="3" t="s">
        <v>4503</v>
      </c>
      <c r="D3559" s="3"/>
    </row>
    <row r="3560" spans="1:4">
      <c r="A3560" s="2">
        <v>195</v>
      </c>
      <c r="B3560" s="2" t="s">
        <v>734</v>
      </c>
      <c r="C3560" s="2" t="s">
        <v>4504</v>
      </c>
      <c r="D3560" s="2"/>
    </row>
    <row r="3561" spans="1:4">
      <c r="A3561" s="3">
        <v>195</v>
      </c>
      <c r="B3561" s="3" t="s">
        <v>734</v>
      </c>
      <c r="C3561" s="3" t="s">
        <v>4505</v>
      </c>
      <c r="D3561" s="3"/>
    </row>
    <row r="3562" spans="1:4">
      <c r="A3562" s="2">
        <v>195</v>
      </c>
      <c r="B3562" s="2" t="s">
        <v>734</v>
      </c>
      <c r="C3562" s="2" t="s">
        <v>4506</v>
      </c>
      <c r="D3562" s="2"/>
    </row>
    <row r="3563" spans="1:4">
      <c r="A3563" s="3">
        <v>195</v>
      </c>
      <c r="B3563" s="3" t="s">
        <v>734</v>
      </c>
      <c r="C3563" s="3" t="s">
        <v>4507</v>
      </c>
      <c r="D3563" s="3"/>
    </row>
    <row r="3564" spans="1:4">
      <c r="A3564" s="2">
        <v>195</v>
      </c>
      <c r="B3564" s="2" t="s">
        <v>734</v>
      </c>
      <c r="C3564" s="2" t="s">
        <v>4508</v>
      </c>
      <c r="D3564" s="2"/>
    </row>
    <row r="3565" spans="1:4">
      <c r="A3565" s="3">
        <v>196</v>
      </c>
      <c r="B3565" s="3" t="s">
        <v>736</v>
      </c>
      <c r="C3565" s="3" t="s">
        <v>4509</v>
      </c>
      <c r="D3565" s="3"/>
    </row>
    <row r="3566" spans="1:4">
      <c r="A3566" s="2">
        <v>197</v>
      </c>
      <c r="B3566" s="2" t="s">
        <v>690</v>
      </c>
      <c r="C3566" s="2" t="s">
        <v>4510</v>
      </c>
      <c r="D3566" s="2"/>
    </row>
    <row r="3567" spans="1:4">
      <c r="A3567" s="3">
        <v>197</v>
      </c>
      <c r="B3567" s="3" t="s">
        <v>690</v>
      </c>
      <c r="C3567" s="3" t="s">
        <v>4511</v>
      </c>
      <c r="D3567" s="3"/>
    </row>
    <row r="3568" spans="1:4">
      <c r="A3568" s="2">
        <v>197</v>
      </c>
      <c r="B3568" s="2" t="s">
        <v>690</v>
      </c>
      <c r="C3568" s="2" t="s">
        <v>4512</v>
      </c>
      <c r="D3568" s="2"/>
    </row>
    <row r="3569" spans="1:4">
      <c r="A3569" s="3">
        <v>197</v>
      </c>
      <c r="B3569" s="3" t="s">
        <v>690</v>
      </c>
      <c r="C3569" s="3" t="s">
        <v>4513</v>
      </c>
      <c r="D3569" s="3"/>
    </row>
    <row r="3570" spans="1:4">
      <c r="A3570" s="2">
        <v>197</v>
      </c>
      <c r="B3570" s="2" t="s">
        <v>690</v>
      </c>
      <c r="C3570" s="2" t="s">
        <v>4514</v>
      </c>
      <c r="D3570" s="2"/>
    </row>
    <row r="3571" spans="1:4">
      <c r="A3571" s="3">
        <v>197</v>
      </c>
      <c r="B3571" s="3" t="s">
        <v>690</v>
      </c>
      <c r="C3571" s="3" t="s">
        <v>4515</v>
      </c>
      <c r="D3571" s="3"/>
    </row>
    <row r="3572" spans="1:4">
      <c r="A3572" s="2">
        <v>197</v>
      </c>
      <c r="B3572" s="2" t="s">
        <v>690</v>
      </c>
      <c r="C3572" s="2" t="s">
        <v>4516</v>
      </c>
      <c r="D3572" s="2"/>
    </row>
    <row r="3573" spans="1:4">
      <c r="A3573" s="3">
        <v>197</v>
      </c>
      <c r="B3573" s="3" t="s">
        <v>690</v>
      </c>
      <c r="C3573" s="3" t="s">
        <v>4517</v>
      </c>
      <c r="D3573" s="3"/>
    </row>
    <row r="3574" spans="1:4">
      <c r="A3574" s="2">
        <v>197</v>
      </c>
      <c r="B3574" s="2" t="s">
        <v>690</v>
      </c>
      <c r="C3574" s="2" t="s">
        <v>4518</v>
      </c>
      <c r="D3574" s="2"/>
    </row>
    <row r="3575" spans="1:4">
      <c r="A3575" s="3">
        <v>197</v>
      </c>
      <c r="B3575" s="3" t="s">
        <v>690</v>
      </c>
      <c r="C3575" s="3" t="s">
        <v>4519</v>
      </c>
      <c r="D3575" s="3"/>
    </row>
    <row r="3576" spans="1:4">
      <c r="A3576" s="2">
        <v>197</v>
      </c>
      <c r="B3576" s="2" t="s">
        <v>690</v>
      </c>
      <c r="C3576" s="2" t="s">
        <v>4520</v>
      </c>
      <c r="D3576" s="2"/>
    </row>
    <row r="3577" spans="1:4">
      <c r="A3577" s="3">
        <v>197</v>
      </c>
      <c r="B3577" s="3" t="s">
        <v>690</v>
      </c>
      <c r="C3577" s="3" t="s">
        <v>4521</v>
      </c>
      <c r="D3577" s="3"/>
    </row>
    <row r="3578" spans="1:4">
      <c r="A3578" s="2">
        <v>197</v>
      </c>
      <c r="B3578" s="2" t="s">
        <v>690</v>
      </c>
      <c r="C3578" s="2" t="s">
        <v>4522</v>
      </c>
      <c r="D3578" s="2"/>
    </row>
    <row r="3579" spans="1:4">
      <c r="A3579" s="3">
        <v>197</v>
      </c>
      <c r="B3579" s="3" t="s">
        <v>690</v>
      </c>
      <c r="C3579" s="3" t="s">
        <v>4523</v>
      </c>
      <c r="D3579" s="3"/>
    </row>
    <row r="3580" spans="1:4">
      <c r="A3580" s="2">
        <v>197</v>
      </c>
      <c r="B3580" s="2" t="s">
        <v>690</v>
      </c>
      <c r="C3580" s="2" t="s">
        <v>4524</v>
      </c>
      <c r="D3580" s="2"/>
    </row>
    <row r="3581" spans="1:4">
      <c r="A3581" s="3">
        <v>197</v>
      </c>
      <c r="B3581" s="3" t="s">
        <v>690</v>
      </c>
      <c r="C3581" s="3" t="s">
        <v>4525</v>
      </c>
      <c r="D3581" s="3"/>
    </row>
    <row r="3582" spans="1:4">
      <c r="A3582" s="2">
        <v>197</v>
      </c>
      <c r="B3582" s="2" t="s">
        <v>690</v>
      </c>
      <c r="C3582" s="2" t="s">
        <v>4526</v>
      </c>
      <c r="D3582" s="2"/>
    </row>
    <row r="3583" spans="1:4">
      <c r="A3583" s="3">
        <v>197</v>
      </c>
      <c r="B3583" s="3" t="s">
        <v>690</v>
      </c>
      <c r="C3583" s="3" t="s">
        <v>4527</v>
      </c>
      <c r="D3583" s="3"/>
    </row>
    <row r="3584" spans="1:4">
      <c r="A3584" s="2">
        <v>197</v>
      </c>
      <c r="B3584" s="2" t="s">
        <v>690</v>
      </c>
      <c r="C3584" s="2" t="s">
        <v>4528</v>
      </c>
      <c r="D3584" s="2"/>
    </row>
    <row r="3585" spans="1:4">
      <c r="A3585" s="3">
        <v>197</v>
      </c>
      <c r="B3585" s="3" t="s">
        <v>690</v>
      </c>
      <c r="C3585" s="3" t="s">
        <v>4529</v>
      </c>
      <c r="D3585" s="3"/>
    </row>
    <row r="3586" spans="1:4">
      <c r="A3586" s="2">
        <v>197</v>
      </c>
      <c r="B3586" s="2" t="s">
        <v>690</v>
      </c>
      <c r="C3586" s="2" t="s">
        <v>4530</v>
      </c>
      <c r="D3586" s="2"/>
    </row>
    <row r="3587" spans="1:4">
      <c r="A3587" s="3">
        <v>197</v>
      </c>
      <c r="B3587" s="3" t="s">
        <v>690</v>
      </c>
      <c r="C3587" s="3" t="s">
        <v>4531</v>
      </c>
      <c r="D3587" s="3"/>
    </row>
    <row r="3588" spans="1:4">
      <c r="A3588" s="2">
        <v>197</v>
      </c>
      <c r="B3588" s="2" t="s">
        <v>690</v>
      </c>
      <c r="C3588" s="2" t="s">
        <v>4532</v>
      </c>
      <c r="D3588" s="2"/>
    </row>
    <row r="3589" spans="1:4">
      <c r="A3589" s="3">
        <v>197</v>
      </c>
      <c r="B3589" s="3" t="s">
        <v>690</v>
      </c>
      <c r="C3589" s="3" t="s">
        <v>4533</v>
      </c>
      <c r="D3589" s="3"/>
    </row>
    <row r="3590" spans="1:4">
      <c r="A3590" s="2">
        <v>197</v>
      </c>
      <c r="B3590" s="2" t="s">
        <v>690</v>
      </c>
      <c r="C3590" s="2" t="s">
        <v>4534</v>
      </c>
      <c r="D3590" s="2"/>
    </row>
    <row r="3591" spans="1:4">
      <c r="A3591" s="3">
        <v>197</v>
      </c>
      <c r="B3591" s="3" t="s">
        <v>690</v>
      </c>
      <c r="C3591" s="3" t="s">
        <v>4535</v>
      </c>
      <c r="D3591" s="3"/>
    </row>
    <row r="3592" spans="1:4">
      <c r="A3592" s="2">
        <v>197</v>
      </c>
      <c r="B3592" s="2" t="s">
        <v>690</v>
      </c>
      <c r="C3592" s="2" t="s">
        <v>4534</v>
      </c>
      <c r="D3592" s="2"/>
    </row>
    <row r="3593" spans="1:4">
      <c r="A3593" s="3">
        <v>197</v>
      </c>
      <c r="B3593" s="3" t="s">
        <v>690</v>
      </c>
      <c r="C3593" s="3" t="s">
        <v>4536</v>
      </c>
      <c r="D3593" s="3"/>
    </row>
    <row r="3594" spans="1:4">
      <c r="A3594" s="2">
        <v>197</v>
      </c>
      <c r="B3594" s="2" t="s">
        <v>690</v>
      </c>
      <c r="C3594" s="2" t="s">
        <v>4537</v>
      </c>
      <c r="D3594" s="2"/>
    </row>
    <row r="3595" spans="1:4">
      <c r="A3595" s="3">
        <v>197</v>
      </c>
      <c r="B3595" s="3" t="s">
        <v>690</v>
      </c>
      <c r="C3595" s="3" t="s">
        <v>4538</v>
      </c>
      <c r="D3595" s="3"/>
    </row>
    <row r="3596" spans="1:4">
      <c r="A3596" s="2">
        <v>198</v>
      </c>
      <c r="B3596" s="2" t="s">
        <v>698</v>
      </c>
      <c r="C3596" s="2" t="s">
        <v>4539</v>
      </c>
      <c r="D3596" s="2"/>
    </row>
    <row r="3597" spans="1:4">
      <c r="A3597" s="3">
        <v>198</v>
      </c>
      <c r="B3597" s="3" t="s">
        <v>698</v>
      </c>
      <c r="C3597" s="3" t="s">
        <v>4540</v>
      </c>
      <c r="D3597" s="3"/>
    </row>
    <row r="3598" spans="1:4">
      <c r="A3598" s="2">
        <v>198</v>
      </c>
      <c r="B3598" s="2" t="s">
        <v>698</v>
      </c>
      <c r="C3598" s="2" t="s">
        <v>4541</v>
      </c>
      <c r="D3598" s="2"/>
    </row>
    <row r="3599" spans="1:4">
      <c r="A3599" s="3">
        <v>198</v>
      </c>
      <c r="B3599" s="3" t="s">
        <v>698</v>
      </c>
      <c r="C3599" s="3" t="s">
        <v>4542</v>
      </c>
      <c r="D3599" s="3"/>
    </row>
    <row r="3600" spans="1:4">
      <c r="A3600" s="2">
        <v>198</v>
      </c>
      <c r="B3600" s="2" t="s">
        <v>698</v>
      </c>
      <c r="C3600" s="2" t="s">
        <v>4543</v>
      </c>
      <c r="D3600" s="2"/>
    </row>
    <row r="3601" spans="1:4">
      <c r="A3601" s="3">
        <v>198</v>
      </c>
      <c r="B3601" s="3" t="s">
        <v>698</v>
      </c>
      <c r="C3601" s="3" t="s">
        <v>4544</v>
      </c>
      <c r="D3601" s="3"/>
    </row>
    <row r="3602" spans="1:4">
      <c r="A3602" s="2">
        <v>198</v>
      </c>
      <c r="B3602" s="2" t="s">
        <v>698</v>
      </c>
      <c r="C3602" s="2" t="s">
        <v>4545</v>
      </c>
      <c r="D3602" s="2"/>
    </row>
    <row r="3603" spans="1:4">
      <c r="A3603" s="3">
        <v>198</v>
      </c>
      <c r="B3603" s="3" t="s">
        <v>698</v>
      </c>
      <c r="C3603" s="3" t="s">
        <v>4546</v>
      </c>
      <c r="D3603" s="3"/>
    </row>
    <row r="3604" spans="1:4">
      <c r="A3604" s="2">
        <v>198</v>
      </c>
      <c r="B3604" s="2" t="s">
        <v>698</v>
      </c>
      <c r="C3604" s="2" t="s">
        <v>4547</v>
      </c>
      <c r="D3604" s="2"/>
    </row>
    <row r="3605" spans="1:4">
      <c r="A3605" s="3">
        <v>198</v>
      </c>
      <c r="B3605" s="3" t="s">
        <v>698</v>
      </c>
      <c r="C3605" s="3" t="s">
        <v>4548</v>
      </c>
      <c r="D3605" s="3"/>
    </row>
    <row r="3606" spans="1:4">
      <c r="A3606" s="2">
        <v>198</v>
      </c>
      <c r="B3606" s="2" t="s">
        <v>698</v>
      </c>
      <c r="C3606" s="2" t="s">
        <v>4549</v>
      </c>
      <c r="D3606" s="2"/>
    </row>
    <row r="3607" spans="1:4">
      <c r="A3607" s="3">
        <v>198</v>
      </c>
      <c r="B3607" s="3" t="s">
        <v>698</v>
      </c>
      <c r="C3607" s="3" t="s">
        <v>4550</v>
      </c>
      <c r="D3607" s="3"/>
    </row>
    <row r="3608" spans="1:4">
      <c r="A3608" s="2">
        <v>198</v>
      </c>
      <c r="B3608" s="2" t="s">
        <v>698</v>
      </c>
      <c r="C3608" s="2" t="s">
        <v>4551</v>
      </c>
      <c r="D3608" s="2"/>
    </row>
    <row r="3609" spans="1:4">
      <c r="A3609" s="3">
        <v>198</v>
      </c>
      <c r="B3609" s="3" t="s">
        <v>698</v>
      </c>
      <c r="C3609" s="3" t="s">
        <v>4552</v>
      </c>
      <c r="D3609" s="3"/>
    </row>
    <row r="3610" spans="1:4">
      <c r="A3610" s="2">
        <v>198</v>
      </c>
      <c r="B3610" s="2" t="s">
        <v>698</v>
      </c>
      <c r="C3610" s="2" t="s">
        <v>4553</v>
      </c>
      <c r="D3610" s="2"/>
    </row>
    <row r="3611" spans="1:4">
      <c r="A3611" s="3">
        <v>198</v>
      </c>
      <c r="B3611" s="3" t="s">
        <v>698</v>
      </c>
      <c r="C3611" s="3" t="s">
        <v>4554</v>
      </c>
      <c r="D3611" s="3"/>
    </row>
    <row r="3612" spans="1:4">
      <c r="A3612" s="2">
        <v>198</v>
      </c>
      <c r="B3612" s="2" t="s">
        <v>698</v>
      </c>
      <c r="C3612" s="2" t="s">
        <v>4555</v>
      </c>
      <c r="D3612" s="2"/>
    </row>
    <row r="3613" spans="1:4">
      <c r="A3613" s="3">
        <v>198</v>
      </c>
      <c r="B3613" s="3" t="s">
        <v>698</v>
      </c>
      <c r="C3613" s="3" t="s">
        <v>4556</v>
      </c>
      <c r="D3613" s="3"/>
    </row>
    <row r="3614" spans="1:4">
      <c r="A3614" s="2">
        <v>198</v>
      </c>
      <c r="B3614" s="2" t="s">
        <v>698</v>
      </c>
      <c r="C3614" s="2" t="s">
        <v>4557</v>
      </c>
      <c r="D3614" s="2"/>
    </row>
    <row r="3615" spans="1:4">
      <c r="A3615" s="3">
        <v>198</v>
      </c>
      <c r="B3615" s="3" t="s">
        <v>698</v>
      </c>
      <c r="C3615" s="3" t="s">
        <v>4558</v>
      </c>
      <c r="D3615" s="3"/>
    </row>
    <row r="3616" spans="1:4">
      <c r="A3616" s="2">
        <v>198</v>
      </c>
      <c r="B3616" s="2" t="s">
        <v>698</v>
      </c>
      <c r="C3616" s="2" t="s">
        <v>4559</v>
      </c>
      <c r="D3616" s="2"/>
    </row>
    <row r="3617" spans="1:4">
      <c r="A3617" s="3">
        <v>198</v>
      </c>
      <c r="B3617" s="3" t="s">
        <v>698</v>
      </c>
      <c r="C3617" s="3" t="s">
        <v>4560</v>
      </c>
      <c r="D3617" s="3"/>
    </row>
    <row r="3618" spans="1:4">
      <c r="A3618" s="2">
        <v>198</v>
      </c>
      <c r="B3618" s="2" t="s">
        <v>698</v>
      </c>
      <c r="C3618" s="2" t="s">
        <v>4561</v>
      </c>
      <c r="D3618" s="2"/>
    </row>
    <row r="3619" spans="1:4">
      <c r="A3619" s="3">
        <v>198</v>
      </c>
      <c r="B3619" s="3" t="s">
        <v>698</v>
      </c>
      <c r="C3619" s="3" t="s">
        <v>4562</v>
      </c>
      <c r="D3619" s="3"/>
    </row>
    <row r="3620" spans="1:4">
      <c r="A3620" s="2">
        <v>198</v>
      </c>
      <c r="B3620" s="2" t="s">
        <v>698</v>
      </c>
      <c r="C3620" s="2" t="s">
        <v>4563</v>
      </c>
      <c r="D3620" s="2"/>
    </row>
    <row r="3621" spans="1:4">
      <c r="A3621" s="3">
        <v>198</v>
      </c>
      <c r="B3621" s="3" t="s">
        <v>698</v>
      </c>
      <c r="C3621" s="3" t="s">
        <v>4563</v>
      </c>
      <c r="D3621" s="3"/>
    </row>
    <row r="3622" spans="1:4">
      <c r="A3622" s="2">
        <v>198</v>
      </c>
      <c r="B3622" s="2" t="s">
        <v>698</v>
      </c>
      <c r="C3622" s="2" t="s">
        <v>4564</v>
      </c>
      <c r="D3622" s="2"/>
    </row>
    <row r="3623" spans="1:4">
      <c r="A3623" s="3">
        <v>198</v>
      </c>
      <c r="B3623" s="3" t="s">
        <v>698</v>
      </c>
      <c r="C3623" s="3" t="s">
        <v>4565</v>
      </c>
      <c r="D3623" s="3"/>
    </row>
    <row r="3624" spans="1:4">
      <c r="A3624" s="2">
        <v>198</v>
      </c>
      <c r="B3624" s="2" t="s">
        <v>698</v>
      </c>
      <c r="C3624" s="2" t="s">
        <v>4566</v>
      </c>
      <c r="D3624" s="2"/>
    </row>
    <row r="3625" spans="1:4">
      <c r="A3625" s="3">
        <v>198</v>
      </c>
      <c r="B3625" s="3" t="s">
        <v>698</v>
      </c>
      <c r="C3625" s="3" t="s">
        <v>4567</v>
      </c>
      <c r="D3625" s="3"/>
    </row>
    <row r="3626" spans="1:4">
      <c r="A3626" s="2">
        <v>198</v>
      </c>
      <c r="B3626" s="2" t="s">
        <v>698</v>
      </c>
      <c r="C3626" s="2" t="s">
        <v>4568</v>
      </c>
      <c r="D3626" s="2"/>
    </row>
    <row r="3627" spans="1:4">
      <c r="A3627" s="3">
        <v>198</v>
      </c>
      <c r="B3627" s="3" t="s">
        <v>698</v>
      </c>
      <c r="C3627" s="3" t="s">
        <v>4569</v>
      </c>
      <c r="D3627" s="3"/>
    </row>
    <row r="3628" spans="1:4">
      <c r="A3628" s="2">
        <v>198</v>
      </c>
      <c r="B3628" s="2" t="s">
        <v>698</v>
      </c>
      <c r="C3628" s="2" t="s">
        <v>4570</v>
      </c>
      <c r="D3628" s="2"/>
    </row>
    <row r="3629" spans="1:4">
      <c r="A3629" s="3">
        <v>198</v>
      </c>
      <c r="B3629" s="3" t="s">
        <v>698</v>
      </c>
      <c r="C3629" s="3" t="s">
        <v>4571</v>
      </c>
      <c r="D3629" s="3"/>
    </row>
    <row r="3630" spans="1:4">
      <c r="A3630" s="2">
        <v>199</v>
      </c>
      <c r="B3630" s="2" t="s">
        <v>702</v>
      </c>
      <c r="C3630" s="2" t="s">
        <v>4572</v>
      </c>
      <c r="D3630" s="2"/>
    </row>
    <row r="3631" spans="1:4">
      <c r="A3631" s="3">
        <v>199</v>
      </c>
      <c r="B3631" s="3" t="s">
        <v>702</v>
      </c>
      <c r="C3631" s="3" t="s">
        <v>4573</v>
      </c>
      <c r="D3631" s="3"/>
    </row>
    <row r="3632" spans="1:4">
      <c r="A3632" s="2">
        <v>199</v>
      </c>
      <c r="B3632" s="2" t="s">
        <v>702</v>
      </c>
      <c r="C3632" s="2" t="s">
        <v>4574</v>
      </c>
      <c r="D3632" s="2"/>
    </row>
    <row r="3633" spans="1:4">
      <c r="A3633" s="3">
        <v>199</v>
      </c>
      <c r="B3633" s="3" t="s">
        <v>702</v>
      </c>
      <c r="C3633" s="3" t="s">
        <v>4575</v>
      </c>
      <c r="D3633" s="3"/>
    </row>
    <row r="3634" spans="1:4">
      <c r="A3634" s="2">
        <v>199</v>
      </c>
      <c r="B3634" s="2" t="s">
        <v>702</v>
      </c>
      <c r="C3634" s="2" t="s">
        <v>4576</v>
      </c>
      <c r="D3634" s="2"/>
    </row>
    <row r="3635" spans="1:4">
      <c r="A3635" s="3">
        <v>199</v>
      </c>
      <c r="B3635" s="3" t="s">
        <v>702</v>
      </c>
      <c r="C3635" s="3" t="s">
        <v>4577</v>
      </c>
      <c r="D3635" s="3"/>
    </row>
    <row r="3636" spans="1:4">
      <c r="A3636" s="2">
        <v>199</v>
      </c>
      <c r="B3636" s="2" t="s">
        <v>702</v>
      </c>
      <c r="C3636" s="2" t="s">
        <v>4578</v>
      </c>
      <c r="D3636" s="2"/>
    </row>
    <row r="3637" spans="1:4">
      <c r="A3637" s="3">
        <v>199</v>
      </c>
      <c r="B3637" s="3" t="s">
        <v>702</v>
      </c>
      <c r="C3637" s="3" t="s">
        <v>4579</v>
      </c>
      <c r="D3637" s="3"/>
    </row>
    <row r="3638" spans="1:4">
      <c r="A3638" s="2">
        <v>199</v>
      </c>
      <c r="B3638" s="2" t="s">
        <v>702</v>
      </c>
      <c r="C3638" s="2" t="s">
        <v>4580</v>
      </c>
      <c r="D3638" s="2"/>
    </row>
    <row r="3639" spans="1:4">
      <c r="A3639" s="3">
        <v>200</v>
      </c>
      <c r="B3639" s="3" t="s">
        <v>707</v>
      </c>
      <c r="C3639" s="3" t="s">
        <v>4581</v>
      </c>
      <c r="D3639" s="3"/>
    </row>
    <row r="3640" spans="1:4">
      <c r="A3640" s="2">
        <v>200</v>
      </c>
      <c r="B3640" s="2" t="s">
        <v>707</v>
      </c>
      <c r="C3640" s="2" t="s">
        <v>4582</v>
      </c>
      <c r="D3640" s="2"/>
    </row>
    <row r="3641" spans="1:4">
      <c r="A3641" s="3">
        <v>200</v>
      </c>
      <c r="B3641" s="3" t="s">
        <v>707</v>
      </c>
      <c r="C3641" s="3" t="s">
        <v>4583</v>
      </c>
      <c r="D3641" s="3"/>
    </row>
    <row r="3642" spans="1:4">
      <c r="A3642" s="2">
        <v>200</v>
      </c>
      <c r="B3642" s="2" t="s">
        <v>707</v>
      </c>
      <c r="C3642" s="2" t="s">
        <v>4584</v>
      </c>
      <c r="D3642" s="2"/>
    </row>
    <row r="3643" spans="1:4">
      <c r="A3643" s="3">
        <v>200</v>
      </c>
      <c r="B3643" s="3" t="s">
        <v>707</v>
      </c>
      <c r="C3643" s="3" t="s">
        <v>4585</v>
      </c>
      <c r="D3643" s="3"/>
    </row>
    <row r="3644" spans="1:4">
      <c r="A3644" s="2">
        <v>200</v>
      </c>
      <c r="B3644" s="2" t="s">
        <v>707</v>
      </c>
      <c r="C3644" s="2" t="s">
        <v>4586</v>
      </c>
      <c r="D3644" s="2"/>
    </row>
    <row r="3645" spans="1:4">
      <c r="A3645" s="3">
        <v>200</v>
      </c>
      <c r="B3645" s="3" t="s">
        <v>707</v>
      </c>
      <c r="C3645" s="3" t="s">
        <v>4587</v>
      </c>
      <c r="D3645" s="3"/>
    </row>
    <row r="3646" spans="1:4">
      <c r="A3646" s="2">
        <v>200</v>
      </c>
      <c r="B3646" s="2" t="s">
        <v>707</v>
      </c>
      <c r="C3646" s="2" t="s">
        <v>4588</v>
      </c>
      <c r="D3646" s="2"/>
    </row>
    <row r="3647" spans="1:4">
      <c r="A3647" s="3">
        <v>200</v>
      </c>
      <c r="B3647" s="3" t="s">
        <v>707</v>
      </c>
      <c r="C3647" s="3" t="s">
        <v>4589</v>
      </c>
      <c r="D3647" s="3"/>
    </row>
    <row r="3648" spans="1:4">
      <c r="A3648" s="2">
        <v>200</v>
      </c>
      <c r="B3648" s="2" t="s">
        <v>707</v>
      </c>
      <c r="C3648" s="2" t="s">
        <v>4590</v>
      </c>
      <c r="D3648" s="2"/>
    </row>
    <row r="3649" spans="1:4">
      <c r="A3649" s="3">
        <v>200</v>
      </c>
      <c r="B3649" s="3" t="s">
        <v>707</v>
      </c>
      <c r="C3649" s="3" t="s">
        <v>4591</v>
      </c>
      <c r="D3649" s="3"/>
    </row>
    <row r="3650" spans="1:4">
      <c r="A3650" s="2">
        <v>200</v>
      </c>
      <c r="B3650" s="2" t="s">
        <v>707</v>
      </c>
      <c r="C3650" s="2" t="s">
        <v>4592</v>
      </c>
      <c r="D3650" s="2"/>
    </row>
    <row r="3651" spans="1:4">
      <c r="A3651" s="3">
        <v>200</v>
      </c>
      <c r="B3651" s="3" t="s">
        <v>707</v>
      </c>
      <c r="C3651" s="3" t="s">
        <v>4593</v>
      </c>
      <c r="D3651" s="3"/>
    </row>
    <row r="3652" spans="1:4">
      <c r="A3652" s="2">
        <v>200</v>
      </c>
      <c r="B3652" s="2" t="s">
        <v>707</v>
      </c>
      <c r="C3652" s="2" t="s">
        <v>4594</v>
      </c>
      <c r="D3652" s="2"/>
    </row>
    <row r="3653" spans="1:4">
      <c r="A3653" s="3">
        <v>200</v>
      </c>
      <c r="B3653" s="3" t="s">
        <v>707</v>
      </c>
      <c r="C3653" s="3" t="s">
        <v>4595</v>
      </c>
      <c r="D3653" s="3"/>
    </row>
    <row r="3654" spans="1:4">
      <c r="A3654" s="2">
        <v>200</v>
      </c>
      <c r="B3654" s="2" t="s">
        <v>707</v>
      </c>
      <c r="C3654" s="2" t="s">
        <v>4596</v>
      </c>
      <c r="D3654" s="2"/>
    </row>
    <row r="3655" spans="1:4">
      <c r="A3655" s="3">
        <v>200</v>
      </c>
      <c r="B3655" s="3" t="s">
        <v>707</v>
      </c>
      <c r="C3655" s="3" t="s">
        <v>4597</v>
      </c>
      <c r="D3655" s="3"/>
    </row>
    <row r="3656" spans="1:4">
      <c r="A3656" s="2">
        <v>200</v>
      </c>
      <c r="B3656" s="2" t="s">
        <v>707</v>
      </c>
      <c r="C3656" s="2" t="s">
        <v>4598</v>
      </c>
      <c r="D3656" s="2"/>
    </row>
    <row r="3657" spans="1:4">
      <c r="A3657" s="3">
        <v>200</v>
      </c>
      <c r="B3657" s="3" t="s">
        <v>707</v>
      </c>
      <c r="C3657" s="3" t="s">
        <v>4599</v>
      </c>
      <c r="D3657" s="3"/>
    </row>
    <row r="3658" spans="1:4">
      <c r="A3658" s="2">
        <v>200</v>
      </c>
      <c r="B3658" s="2" t="s">
        <v>707</v>
      </c>
      <c r="C3658" s="2" t="s">
        <v>4600</v>
      </c>
      <c r="D3658" s="2"/>
    </row>
    <row r="3659" spans="1:4">
      <c r="A3659" s="3">
        <v>200</v>
      </c>
      <c r="B3659" s="3" t="s">
        <v>707</v>
      </c>
      <c r="C3659" s="3" t="s">
        <v>4601</v>
      </c>
      <c r="D3659" s="3"/>
    </row>
    <row r="3660" spans="1:4">
      <c r="A3660" s="2">
        <v>200</v>
      </c>
      <c r="B3660" s="2" t="s">
        <v>707</v>
      </c>
      <c r="C3660" s="2" t="s">
        <v>4602</v>
      </c>
      <c r="D3660" s="2"/>
    </row>
    <row r="3661" spans="1:4">
      <c r="A3661" s="3">
        <v>200</v>
      </c>
      <c r="B3661" s="3" t="s">
        <v>707</v>
      </c>
      <c r="C3661" s="3" t="s">
        <v>4603</v>
      </c>
      <c r="D3661" s="3"/>
    </row>
    <row r="3662" spans="1:4">
      <c r="A3662" s="2">
        <v>200</v>
      </c>
      <c r="B3662" s="2" t="s">
        <v>707</v>
      </c>
      <c r="C3662" s="2" t="s">
        <v>4604</v>
      </c>
      <c r="D3662" s="2"/>
    </row>
    <row r="3663" spans="1:4">
      <c r="A3663" s="3">
        <v>200</v>
      </c>
      <c r="B3663" s="3" t="s">
        <v>707</v>
      </c>
      <c r="C3663" s="3" t="s">
        <v>4605</v>
      </c>
      <c r="D3663" s="3"/>
    </row>
    <row r="3664" spans="1:4">
      <c r="A3664" s="2">
        <v>200</v>
      </c>
      <c r="B3664" s="2" t="s">
        <v>707</v>
      </c>
      <c r="C3664" s="2" t="s">
        <v>4606</v>
      </c>
      <c r="D3664" s="2"/>
    </row>
    <row r="3665" spans="1:4">
      <c r="A3665" s="3">
        <v>200</v>
      </c>
      <c r="B3665" s="3" t="s">
        <v>707</v>
      </c>
      <c r="C3665" s="3" t="s">
        <v>4607</v>
      </c>
      <c r="D3665" s="3"/>
    </row>
    <row r="3666" spans="1:4">
      <c r="A3666" s="2">
        <v>200</v>
      </c>
      <c r="B3666" s="2" t="s">
        <v>707</v>
      </c>
      <c r="C3666" s="2" t="s">
        <v>4608</v>
      </c>
      <c r="D3666" s="2"/>
    </row>
    <row r="3667" spans="1:4">
      <c r="A3667" s="3">
        <v>200</v>
      </c>
      <c r="B3667" s="3" t="s">
        <v>707</v>
      </c>
      <c r="C3667" s="3" t="s">
        <v>4609</v>
      </c>
      <c r="D3667" s="3"/>
    </row>
    <row r="3668" spans="1:4">
      <c r="A3668" s="2">
        <v>200</v>
      </c>
      <c r="B3668" s="2" t="s">
        <v>707</v>
      </c>
      <c r="C3668" s="2" t="s">
        <v>4610</v>
      </c>
      <c r="D3668" s="2"/>
    </row>
    <row r="3669" spans="1:4">
      <c r="A3669" s="3">
        <v>200</v>
      </c>
      <c r="B3669" s="3" t="s">
        <v>707</v>
      </c>
      <c r="C3669" s="3" t="s">
        <v>4611</v>
      </c>
      <c r="D3669" s="3"/>
    </row>
    <row r="3670" spans="1:4">
      <c r="A3670" s="2">
        <v>200</v>
      </c>
      <c r="B3670" s="2" t="s">
        <v>707</v>
      </c>
      <c r="C3670" s="2" t="s">
        <v>4612</v>
      </c>
      <c r="D3670" s="2"/>
    </row>
    <row r="3671" spans="1:4">
      <c r="A3671" s="3">
        <v>200</v>
      </c>
      <c r="B3671" s="3" t="s">
        <v>707</v>
      </c>
      <c r="C3671" s="3" t="s">
        <v>4613</v>
      </c>
      <c r="D3671" s="3"/>
    </row>
    <row r="3672" spans="1:4">
      <c r="A3672" s="2">
        <v>200</v>
      </c>
      <c r="B3672" s="2" t="s">
        <v>707</v>
      </c>
      <c r="C3672" s="2" t="s">
        <v>4614</v>
      </c>
      <c r="D3672" s="2"/>
    </row>
    <row r="3673" spans="1:4">
      <c r="A3673" s="3">
        <v>200</v>
      </c>
      <c r="B3673" s="3" t="s">
        <v>707</v>
      </c>
      <c r="C3673" s="3" t="s">
        <v>4615</v>
      </c>
      <c r="D3673" s="3"/>
    </row>
    <row r="3674" spans="1:4">
      <c r="A3674" s="2">
        <v>200</v>
      </c>
      <c r="B3674" s="2" t="s">
        <v>707</v>
      </c>
      <c r="C3674" s="2" t="s">
        <v>4616</v>
      </c>
      <c r="D3674" s="2"/>
    </row>
    <row r="3675" spans="1:4">
      <c r="A3675" s="3">
        <v>200</v>
      </c>
      <c r="B3675" s="3" t="s">
        <v>707</v>
      </c>
      <c r="C3675" s="3" t="s">
        <v>4617</v>
      </c>
      <c r="D3675" s="3"/>
    </row>
    <row r="3676" spans="1:4">
      <c r="A3676" s="2">
        <v>200</v>
      </c>
      <c r="B3676" s="2" t="s">
        <v>707</v>
      </c>
      <c r="C3676" s="2" t="s">
        <v>4618</v>
      </c>
      <c r="D3676" s="2"/>
    </row>
    <row r="3677" spans="1:4">
      <c r="A3677" s="3">
        <v>200</v>
      </c>
      <c r="B3677" s="3" t="s">
        <v>707</v>
      </c>
      <c r="C3677" s="3" t="s">
        <v>4619</v>
      </c>
      <c r="D3677" s="3"/>
    </row>
    <row r="3678" spans="1:4">
      <c r="A3678" s="2">
        <v>200</v>
      </c>
      <c r="B3678" s="2" t="s">
        <v>707</v>
      </c>
      <c r="C3678" s="2" t="s">
        <v>4620</v>
      </c>
      <c r="D3678" s="2"/>
    </row>
    <row r="3679" spans="1:4">
      <c r="A3679" s="3">
        <v>200</v>
      </c>
      <c r="B3679" s="3" t="s">
        <v>707</v>
      </c>
      <c r="C3679" s="3" t="s">
        <v>4621</v>
      </c>
      <c r="D3679" s="3"/>
    </row>
    <row r="3680" spans="1:4">
      <c r="A3680" s="2">
        <v>200</v>
      </c>
      <c r="B3680" s="2" t="s">
        <v>707</v>
      </c>
      <c r="C3680" s="2" t="s">
        <v>4622</v>
      </c>
      <c r="D3680" s="2"/>
    </row>
    <row r="3681" spans="1:4">
      <c r="A3681" s="3">
        <v>200</v>
      </c>
      <c r="B3681" s="3" t="s">
        <v>707</v>
      </c>
      <c r="C3681" s="3" t="s">
        <v>4623</v>
      </c>
      <c r="D3681" s="3"/>
    </row>
    <row r="3682" spans="1:4">
      <c r="A3682" s="2">
        <v>200</v>
      </c>
      <c r="B3682" s="2" t="s">
        <v>707</v>
      </c>
      <c r="C3682" s="2" t="s">
        <v>4624</v>
      </c>
      <c r="D3682" s="2"/>
    </row>
    <row r="3683" spans="1:4">
      <c r="A3683" s="3">
        <v>200</v>
      </c>
      <c r="B3683" s="3" t="s">
        <v>707</v>
      </c>
      <c r="C3683" s="3" t="s">
        <v>4625</v>
      </c>
      <c r="D3683" s="3"/>
    </row>
    <row r="3684" spans="1:4">
      <c r="A3684" s="2">
        <v>200</v>
      </c>
      <c r="B3684" s="2" t="s">
        <v>707</v>
      </c>
      <c r="C3684" s="2" t="s">
        <v>4626</v>
      </c>
      <c r="D3684" s="2"/>
    </row>
    <row r="3685" spans="1:4">
      <c r="A3685" s="3">
        <v>200</v>
      </c>
      <c r="B3685" s="3" t="s">
        <v>707</v>
      </c>
      <c r="C3685" s="3" t="s">
        <v>4627</v>
      </c>
      <c r="D3685" s="3"/>
    </row>
    <row r="3686" spans="1:4">
      <c r="A3686" s="2">
        <v>200</v>
      </c>
      <c r="B3686" s="2" t="s">
        <v>707</v>
      </c>
      <c r="C3686" s="2" t="s">
        <v>4628</v>
      </c>
      <c r="D3686" s="2"/>
    </row>
    <row r="3687" spans="1:4">
      <c r="A3687" s="3">
        <v>200</v>
      </c>
      <c r="B3687" s="3" t="s">
        <v>707</v>
      </c>
      <c r="C3687" s="3" t="s">
        <v>4629</v>
      </c>
      <c r="D3687" s="3"/>
    </row>
    <row r="3688" spans="1:4">
      <c r="A3688" s="2">
        <v>200</v>
      </c>
      <c r="B3688" s="2" t="s">
        <v>707</v>
      </c>
      <c r="C3688" s="2" t="s">
        <v>4630</v>
      </c>
      <c r="D3688" s="2"/>
    </row>
    <row r="3689" spans="1:4">
      <c r="A3689" s="3">
        <v>201</v>
      </c>
      <c r="B3689" s="3" t="s">
        <v>695</v>
      </c>
      <c r="C3689" s="3" t="s">
        <v>4631</v>
      </c>
      <c r="D3689" s="3"/>
    </row>
    <row r="3690" spans="1:4">
      <c r="A3690" s="2">
        <v>201</v>
      </c>
      <c r="B3690" s="2" t="s">
        <v>695</v>
      </c>
      <c r="C3690" s="2" t="s">
        <v>4632</v>
      </c>
      <c r="D3690" s="2"/>
    </row>
    <row r="3691" spans="1:4">
      <c r="A3691" s="3">
        <v>201</v>
      </c>
      <c r="B3691" s="3" t="s">
        <v>695</v>
      </c>
      <c r="C3691" s="3" t="s">
        <v>4633</v>
      </c>
      <c r="D3691" s="3"/>
    </row>
    <row r="3692" spans="1:4">
      <c r="A3692" s="2">
        <v>201</v>
      </c>
      <c r="B3692" s="2" t="s">
        <v>695</v>
      </c>
      <c r="C3692" s="2" t="s">
        <v>4634</v>
      </c>
      <c r="D3692" s="2"/>
    </row>
    <row r="3693" spans="1:4">
      <c r="A3693" s="3">
        <v>201</v>
      </c>
      <c r="B3693" s="3" t="s">
        <v>695</v>
      </c>
      <c r="C3693" s="3" t="s">
        <v>4635</v>
      </c>
      <c r="D3693" s="3"/>
    </row>
    <row r="3694" spans="1:4">
      <c r="A3694" s="2">
        <v>201</v>
      </c>
      <c r="B3694" s="2" t="s">
        <v>695</v>
      </c>
      <c r="C3694" s="2" t="s">
        <v>4636</v>
      </c>
      <c r="D3694" s="2"/>
    </row>
    <row r="3695" spans="1:4">
      <c r="A3695" s="3">
        <v>201</v>
      </c>
      <c r="B3695" s="3" t="s">
        <v>695</v>
      </c>
      <c r="C3695" s="3" t="s">
        <v>4637</v>
      </c>
      <c r="D3695" s="3"/>
    </row>
    <row r="3696" spans="1:4">
      <c r="A3696" s="2">
        <v>201</v>
      </c>
      <c r="B3696" s="2" t="s">
        <v>695</v>
      </c>
      <c r="C3696" s="2" t="s">
        <v>4638</v>
      </c>
      <c r="D3696" s="2"/>
    </row>
    <row r="3697" spans="1:4">
      <c r="A3697" s="3">
        <v>201</v>
      </c>
      <c r="B3697" s="3" t="s">
        <v>695</v>
      </c>
      <c r="C3697" s="3" t="s">
        <v>4639</v>
      </c>
      <c r="D3697" s="3"/>
    </row>
    <row r="3698" spans="1:4">
      <c r="A3698" s="2">
        <v>201</v>
      </c>
      <c r="B3698" s="2" t="s">
        <v>695</v>
      </c>
      <c r="C3698" s="2" t="s">
        <v>4640</v>
      </c>
      <c r="D3698" s="2"/>
    </row>
    <row r="3699" spans="1:4">
      <c r="A3699" s="3">
        <v>201</v>
      </c>
      <c r="B3699" s="3" t="s">
        <v>695</v>
      </c>
      <c r="C3699" s="3" t="s">
        <v>4641</v>
      </c>
      <c r="D3699" s="3"/>
    </row>
    <row r="3700" spans="1:4">
      <c r="A3700" s="2">
        <v>201</v>
      </c>
      <c r="B3700" s="2" t="s">
        <v>695</v>
      </c>
      <c r="C3700" s="2" t="s">
        <v>4642</v>
      </c>
      <c r="D3700" s="2"/>
    </row>
    <row r="3701" spans="1:4">
      <c r="A3701" s="3">
        <v>201</v>
      </c>
      <c r="B3701" s="3" t="s">
        <v>695</v>
      </c>
      <c r="C3701" s="3" t="s">
        <v>4643</v>
      </c>
      <c r="D3701" s="3"/>
    </row>
    <row r="3702" spans="1:4">
      <c r="A3702" s="2">
        <v>201</v>
      </c>
      <c r="B3702" s="2" t="s">
        <v>695</v>
      </c>
      <c r="C3702" s="2" t="s">
        <v>4644</v>
      </c>
      <c r="D3702" s="2"/>
    </row>
    <row r="3703" spans="1:4">
      <c r="A3703" s="3">
        <v>201</v>
      </c>
      <c r="B3703" s="3" t="s">
        <v>695</v>
      </c>
      <c r="C3703" s="3" t="s">
        <v>4645</v>
      </c>
      <c r="D3703" s="3"/>
    </row>
    <row r="3704" spans="1:4">
      <c r="A3704" s="2">
        <v>201</v>
      </c>
      <c r="B3704" s="2" t="s">
        <v>695</v>
      </c>
      <c r="C3704" s="2" t="s">
        <v>4646</v>
      </c>
      <c r="D3704" s="2"/>
    </row>
    <row r="3705" spans="1:4">
      <c r="A3705" s="3">
        <v>201</v>
      </c>
      <c r="B3705" s="3" t="s">
        <v>695</v>
      </c>
      <c r="C3705" s="3" t="s">
        <v>4647</v>
      </c>
      <c r="D3705" s="3"/>
    </row>
    <row r="3706" spans="1:4">
      <c r="A3706" s="2">
        <v>201</v>
      </c>
      <c r="B3706" s="2" t="s">
        <v>695</v>
      </c>
      <c r="C3706" s="2" t="s">
        <v>4648</v>
      </c>
      <c r="D3706" s="2"/>
    </row>
    <row r="3707" spans="1:4">
      <c r="A3707" s="3">
        <v>201</v>
      </c>
      <c r="B3707" s="3" t="s">
        <v>695</v>
      </c>
      <c r="C3707" s="3" t="s">
        <v>4649</v>
      </c>
      <c r="D3707" s="3"/>
    </row>
    <row r="3708" spans="1:4">
      <c r="A3708" s="2">
        <v>201</v>
      </c>
      <c r="B3708" s="2" t="s">
        <v>695</v>
      </c>
      <c r="C3708" s="2" t="s">
        <v>4650</v>
      </c>
      <c r="D3708" s="2"/>
    </row>
    <row r="3709" spans="1:4">
      <c r="A3709" s="3">
        <v>201</v>
      </c>
      <c r="B3709" s="3" t="s">
        <v>695</v>
      </c>
      <c r="C3709" s="3" t="s">
        <v>4651</v>
      </c>
      <c r="D3709" s="3"/>
    </row>
    <row r="3710" spans="1:4">
      <c r="A3710" s="2">
        <v>201</v>
      </c>
      <c r="B3710" s="2" t="s">
        <v>695</v>
      </c>
      <c r="C3710" s="2" t="s">
        <v>4652</v>
      </c>
      <c r="D3710" s="2"/>
    </row>
    <row r="3711" spans="1:4">
      <c r="A3711" s="3">
        <v>201</v>
      </c>
      <c r="B3711" s="3" t="s">
        <v>695</v>
      </c>
      <c r="C3711" s="3" t="s">
        <v>4653</v>
      </c>
      <c r="D3711" s="3"/>
    </row>
    <row r="3712" spans="1:4">
      <c r="A3712" s="2">
        <v>201</v>
      </c>
      <c r="B3712" s="2" t="s">
        <v>695</v>
      </c>
      <c r="C3712" s="2" t="s">
        <v>4654</v>
      </c>
      <c r="D3712" s="2"/>
    </row>
    <row r="3713" spans="1:4">
      <c r="A3713" s="3">
        <v>201</v>
      </c>
      <c r="B3713" s="3" t="s">
        <v>695</v>
      </c>
      <c r="C3713" s="3" t="s">
        <v>4655</v>
      </c>
      <c r="D3713" s="3"/>
    </row>
    <row r="3714" spans="1:4">
      <c r="A3714" s="2">
        <v>201</v>
      </c>
      <c r="B3714" s="2" t="s">
        <v>695</v>
      </c>
      <c r="C3714" s="2" t="s">
        <v>4656</v>
      </c>
      <c r="D3714" s="2"/>
    </row>
    <row r="3715" spans="1:4">
      <c r="A3715" s="3">
        <v>201</v>
      </c>
      <c r="B3715" s="3" t="s">
        <v>695</v>
      </c>
      <c r="C3715" s="3" t="s">
        <v>4657</v>
      </c>
      <c r="D3715" s="3"/>
    </row>
    <row r="3716" spans="1:4">
      <c r="A3716" s="2">
        <v>201</v>
      </c>
      <c r="B3716" s="2" t="s">
        <v>695</v>
      </c>
      <c r="C3716" s="2" t="s">
        <v>4658</v>
      </c>
      <c r="D3716" s="2"/>
    </row>
    <row r="3717" spans="1:4">
      <c r="A3717" s="3">
        <v>201</v>
      </c>
      <c r="B3717" s="3" t="s">
        <v>695</v>
      </c>
      <c r="C3717" s="3" t="s">
        <v>4659</v>
      </c>
      <c r="D3717" s="3"/>
    </row>
    <row r="3718" spans="1:4">
      <c r="A3718" s="2">
        <v>201</v>
      </c>
      <c r="B3718" s="2" t="s">
        <v>695</v>
      </c>
      <c r="C3718" s="2" t="s">
        <v>4660</v>
      </c>
      <c r="D3718" s="2"/>
    </row>
    <row r="3719" spans="1:4">
      <c r="A3719" s="3">
        <v>201</v>
      </c>
      <c r="B3719" s="3" t="s">
        <v>695</v>
      </c>
      <c r="C3719" s="3" t="s">
        <v>4661</v>
      </c>
      <c r="D3719" s="3"/>
    </row>
    <row r="3720" spans="1:4">
      <c r="A3720" s="2">
        <v>201</v>
      </c>
      <c r="B3720" s="2" t="s">
        <v>695</v>
      </c>
      <c r="C3720" s="2" t="s">
        <v>4662</v>
      </c>
      <c r="D3720" s="2"/>
    </row>
    <row r="3721" spans="1:4">
      <c r="A3721" s="3">
        <v>201</v>
      </c>
      <c r="B3721" s="3" t="s">
        <v>695</v>
      </c>
      <c r="C3721" s="3" t="s">
        <v>4663</v>
      </c>
      <c r="D3721" s="3"/>
    </row>
    <row r="3722" spans="1:4">
      <c r="A3722" s="2">
        <v>201</v>
      </c>
      <c r="B3722" s="2" t="s">
        <v>695</v>
      </c>
      <c r="C3722" s="2" t="s">
        <v>4664</v>
      </c>
      <c r="D3722" s="2"/>
    </row>
    <row r="3723" spans="1:4">
      <c r="A3723" s="3">
        <v>201</v>
      </c>
      <c r="B3723" s="3" t="s">
        <v>695</v>
      </c>
      <c r="C3723" s="3" t="s">
        <v>4665</v>
      </c>
      <c r="D3723" s="3"/>
    </row>
    <row r="3724" spans="1:4">
      <c r="A3724" s="2">
        <v>201</v>
      </c>
      <c r="B3724" s="2" t="s">
        <v>695</v>
      </c>
      <c r="C3724" s="2" t="s">
        <v>4666</v>
      </c>
      <c r="D3724" s="2"/>
    </row>
    <row r="3725" spans="1:4">
      <c r="A3725" s="3">
        <v>201</v>
      </c>
      <c r="B3725" s="3" t="s">
        <v>695</v>
      </c>
      <c r="C3725" s="3" t="s">
        <v>4667</v>
      </c>
      <c r="D3725" s="3"/>
    </row>
    <row r="3726" spans="1:4">
      <c r="A3726" s="2">
        <v>201</v>
      </c>
      <c r="B3726" s="2" t="s">
        <v>695</v>
      </c>
      <c r="C3726" s="2" t="s">
        <v>4668</v>
      </c>
      <c r="D3726" s="2"/>
    </row>
    <row r="3727" spans="1:4">
      <c r="A3727" s="3">
        <v>201</v>
      </c>
      <c r="B3727" s="3" t="s">
        <v>695</v>
      </c>
      <c r="C3727" s="3" t="s">
        <v>4669</v>
      </c>
      <c r="D3727" s="3"/>
    </row>
    <row r="3728" spans="1:4">
      <c r="A3728" s="2">
        <v>201</v>
      </c>
      <c r="B3728" s="2" t="s">
        <v>695</v>
      </c>
      <c r="C3728" s="2" t="s">
        <v>4670</v>
      </c>
      <c r="D3728" s="2"/>
    </row>
    <row r="3729" spans="1:4">
      <c r="A3729" s="3">
        <v>201</v>
      </c>
      <c r="B3729" s="3" t="s">
        <v>695</v>
      </c>
      <c r="C3729" s="3" t="s">
        <v>4671</v>
      </c>
      <c r="D3729" s="3"/>
    </row>
    <row r="3730" spans="1:4">
      <c r="A3730" s="2">
        <v>201</v>
      </c>
      <c r="B3730" s="2" t="s">
        <v>695</v>
      </c>
      <c r="C3730" s="2" t="s">
        <v>4672</v>
      </c>
      <c r="D3730" s="2"/>
    </row>
    <row r="3731" spans="1:4">
      <c r="A3731" s="3">
        <v>201</v>
      </c>
      <c r="B3731" s="3" t="s">
        <v>695</v>
      </c>
      <c r="C3731" s="3" t="s">
        <v>4673</v>
      </c>
      <c r="D3731" s="3"/>
    </row>
    <row r="3732" spans="1:4">
      <c r="A3732" s="2">
        <v>201</v>
      </c>
      <c r="B3732" s="2" t="s">
        <v>695</v>
      </c>
      <c r="C3732" s="2" t="s">
        <v>4674</v>
      </c>
      <c r="D3732" s="2"/>
    </row>
    <row r="3733" spans="1:4">
      <c r="A3733" s="3">
        <v>201</v>
      </c>
      <c r="B3733" s="3" t="s">
        <v>695</v>
      </c>
      <c r="C3733" s="3" t="s">
        <v>4675</v>
      </c>
      <c r="D3733" s="3"/>
    </row>
    <row r="3734" spans="1:4">
      <c r="A3734" s="2">
        <v>201</v>
      </c>
      <c r="B3734" s="2" t="s">
        <v>695</v>
      </c>
      <c r="C3734" s="2" t="s">
        <v>4676</v>
      </c>
      <c r="D3734" s="2"/>
    </row>
    <row r="3735" spans="1:4">
      <c r="A3735" s="3">
        <v>201</v>
      </c>
      <c r="B3735" s="3" t="s">
        <v>695</v>
      </c>
      <c r="C3735" s="3" t="s">
        <v>4677</v>
      </c>
      <c r="D3735" s="3"/>
    </row>
    <row r="3736" spans="1:4">
      <c r="A3736" s="2">
        <v>201</v>
      </c>
      <c r="B3736" s="2" t="s">
        <v>695</v>
      </c>
      <c r="C3736" s="2" t="s">
        <v>4678</v>
      </c>
      <c r="D3736" s="2"/>
    </row>
    <row r="3737" spans="1:4">
      <c r="A3737" s="3">
        <v>201</v>
      </c>
      <c r="B3737" s="3" t="s">
        <v>695</v>
      </c>
      <c r="C3737" s="3" t="s">
        <v>4679</v>
      </c>
      <c r="D3737" s="3"/>
    </row>
    <row r="3738" spans="1:4">
      <c r="A3738" s="2">
        <v>201</v>
      </c>
      <c r="B3738" s="2" t="s">
        <v>695</v>
      </c>
      <c r="C3738" s="2" t="s">
        <v>4680</v>
      </c>
      <c r="D3738" s="2"/>
    </row>
    <row r="3739" spans="1:4">
      <c r="A3739" s="3">
        <v>202</v>
      </c>
      <c r="B3739" s="3" t="s">
        <v>712</v>
      </c>
      <c r="C3739" s="3" t="s">
        <v>4681</v>
      </c>
      <c r="D3739" s="3"/>
    </row>
    <row r="3740" spans="1:4">
      <c r="A3740" s="2">
        <v>202</v>
      </c>
      <c r="B3740" s="2" t="s">
        <v>712</v>
      </c>
      <c r="C3740" s="2" t="s">
        <v>4682</v>
      </c>
      <c r="D3740" s="2"/>
    </row>
    <row r="3741" spans="1:4">
      <c r="A3741" s="3">
        <v>202</v>
      </c>
      <c r="B3741" s="3" t="s">
        <v>712</v>
      </c>
      <c r="C3741" s="3" t="s">
        <v>4683</v>
      </c>
      <c r="D3741" s="3"/>
    </row>
    <row r="3742" spans="1:4">
      <c r="A3742" s="2">
        <v>202</v>
      </c>
      <c r="B3742" s="2" t="s">
        <v>712</v>
      </c>
      <c r="C3742" s="2" t="s">
        <v>4684</v>
      </c>
      <c r="D3742" s="2"/>
    </row>
    <row r="3743" spans="1:4">
      <c r="A3743" s="3">
        <v>202</v>
      </c>
      <c r="B3743" s="3" t="s">
        <v>712</v>
      </c>
      <c r="C3743" s="3" t="s">
        <v>4685</v>
      </c>
      <c r="D3743" s="3"/>
    </row>
    <row r="3744" spans="1:4">
      <c r="A3744" s="2">
        <v>202</v>
      </c>
      <c r="B3744" s="2" t="s">
        <v>712</v>
      </c>
      <c r="C3744" s="2" t="s">
        <v>4686</v>
      </c>
      <c r="D3744" s="2"/>
    </row>
    <row r="3745" spans="1:4">
      <c r="A3745" s="3">
        <v>202</v>
      </c>
      <c r="B3745" s="3" t="s">
        <v>712</v>
      </c>
      <c r="C3745" s="3" t="s">
        <v>4687</v>
      </c>
      <c r="D3745" s="3"/>
    </row>
    <row r="3746" spans="1:4">
      <c r="A3746" s="2">
        <v>202</v>
      </c>
      <c r="B3746" s="2" t="s">
        <v>712</v>
      </c>
      <c r="C3746" s="2" t="s">
        <v>4688</v>
      </c>
      <c r="D3746" s="2"/>
    </row>
    <row r="3747" spans="1:4">
      <c r="A3747" s="3">
        <v>202</v>
      </c>
      <c r="B3747" s="3" t="s">
        <v>712</v>
      </c>
      <c r="C3747" s="3" t="s">
        <v>4689</v>
      </c>
      <c r="D3747" s="3"/>
    </row>
    <row r="3748" spans="1:4">
      <c r="A3748" s="2">
        <v>202</v>
      </c>
      <c r="B3748" s="2" t="s">
        <v>712</v>
      </c>
      <c r="C3748" s="2" t="s">
        <v>4690</v>
      </c>
      <c r="D3748" s="2"/>
    </row>
    <row r="3749" spans="1:4">
      <c r="A3749" s="3">
        <v>202</v>
      </c>
      <c r="B3749" s="3" t="s">
        <v>712</v>
      </c>
      <c r="C3749" s="3" t="s">
        <v>4691</v>
      </c>
      <c r="D3749" s="3"/>
    </row>
    <row r="3750" spans="1:4">
      <c r="A3750" s="2">
        <v>202</v>
      </c>
      <c r="B3750" s="2" t="s">
        <v>712</v>
      </c>
      <c r="C3750" s="2" t="s">
        <v>4692</v>
      </c>
      <c r="D3750" s="2"/>
    </row>
    <row r="3751" spans="1:4">
      <c r="A3751" s="3">
        <v>202</v>
      </c>
      <c r="B3751" s="3" t="s">
        <v>712</v>
      </c>
      <c r="C3751" s="3" t="s">
        <v>4688</v>
      </c>
      <c r="D3751" s="3"/>
    </row>
    <row r="3752" spans="1:4">
      <c r="A3752" s="2">
        <v>202</v>
      </c>
      <c r="B3752" s="2" t="s">
        <v>712</v>
      </c>
      <c r="C3752" s="2" t="s">
        <v>4693</v>
      </c>
      <c r="D3752" s="2"/>
    </row>
    <row r="3753" spans="1:4">
      <c r="A3753" s="3">
        <v>202</v>
      </c>
      <c r="B3753" s="3" t="s">
        <v>712</v>
      </c>
      <c r="C3753" s="3" t="s">
        <v>4694</v>
      </c>
      <c r="D3753" s="3"/>
    </row>
    <row r="3754" spans="1:4">
      <c r="A3754" s="2">
        <v>202</v>
      </c>
      <c r="B3754" s="2" t="s">
        <v>712</v>
      </c>
      <c r="C3754" s="2" t="s">
        <v>4695</v>
      </c>
      <c r="D3754" s="2"/>
    </row>
    <row r="3755" spans="1:4">
      <c r="A3755" s="3">
        <v>202</v>
      </c>
      <c r="B3755" s="3" t="s">
        <v>712</v>
      </c>
      <c r="C3755" s="3" t="s">
        <v>4696</v>
      </c>
      <c r="D3755" s="3"/>
    </row>
    <row r="3756" spans="1:4">
      <c r="A3756" s="2">
        <v>202</v>
      </c>
      <c r="B3756" s="2" t="s">
        <v>712</v>
      </c>
      <c r="C3756" s="2" t="s">
        <v>4697</v>
      </c>
      <c r="D3756" s="2"/>
    </row>
    <row r="3757" spans="1:4">
      <c r="A3757" s="3">
        <v>202</v>
      </c>
      <c r="B3757" s="3" t="s">
        <v>712</v>
      </c>
      <c r="C3757" s="3" t="s">
        <v>4698</v>
      </c>
      <c r="D3757" s="3"/>
    </row>
    <row r="3758" spans="1:4">
      <c r="A3758" s="2">
        <v>202</v>
      </c>
      <c r="B3758" s="2" t="s">
        <v>712</v>
      </c>
      <c r="C3758" s="2" t="s">
        <v>4699</v>
      </c>
      <c r="D3758" s="2"/>
    </row>
    <row r="3759" spans="1:4">
      <c r="A3759" s="3">
        <v>202</v>
      </c>
      <c r="B3759" s="3" t="s">
        <v>712</v>
      </c>
      <c r="C3759" s="3" t="s">
        <v>4700</v>
      </c>
      <c r="D3759" s="3"/>
    </row>
    <row r="3760" spans="1:4">
      <c r="A3760" s="2">
        <v>202</v>
      </c>
      <c r="B3760" s="2" t="s">
        <v>712</v>
      </c>
      <c r="C3760" s="2" t="s">
        <v>4701</v>
      </c>
      <c r="D3760" s="2"/>
    </row>
    <row r="3761" spans="1:4">
      <c r="A3761" s="3">
        <v>202</v>
      </c>
      <c r="B3761" s="3" t="s">
        <v>712</v>
      </c>
      <c r="C3761" s="3" t="s">
        <v>4702</v>
      </c>
      <c r="D3761" s="3"/>
    </row>
    <row r="3762" spans="1:4">
      <c r="A3762" s="2">
        <v>202</v>
      </c>
      <c r="B3762" s="2" t="s">
        <v>712</v>
      </c>
      <c r="C3762" s="2" t="s">
        <v>4703</v>
      </c>
      <c r="D3762" s="2"/>
    </row>
    <row r="3763" spans="1:4">
      <c r="A3763" s="3">
        <v>202</v>
      </c>
      <c r="B3763" s="3" t="s">
        <v>712</v>
      </c>
      <c r="C3763" s="3" t="s">
        <v>4702</v>
      </c>
      <c r="D3763" s="3"/>
    </row>
    <row r="3764" spans="1:4">
      <c r="A3764" s="2">
        <v>203</v>
      </c>
      <c r="B3764" s="2" t="s">
        <v>681</v>
      </c>
      <c r="C3764" s="2" t="s">
        <v>4704</v>
      </c>
      <c r="D3764" s="2"/>
    </row>
    <row r="3765" spans="1:4">
      <c r="A3765" s="3">
        <v>203</v>
      </c>
      <c r="B3765" s="3" t="s">
        <v>681</v>
      </c>
      <c r="C3765" s="3" t="s">
        <v>4705</v>
      </c>
      <c r="D3765" s="3"/>
    </row>
    <row r="3766" spans="1:4">
      <c r="A3766" s="2">
        <v>203</v>
      </c>
      <c r="B3766" s="2" t="s">
        <v>681</v>
      </c>
      <c r="C3766" s="2" t="s">
        <v>4706</v>
      </c>
      <c r="D3766" s="2"/>
    </row>
    <row r="3767" spans="1:4">
      <c r="A3767" s="3">
        <v>203</v>
      </c>
      <c r="B3767" s="3" t="s">
        <v>681</v>
      </c>
      <c r="C3767" s="3" t="s">
        <v>4707</v>
      </c>
      <c r="D3767" s="3"/>
    </row>
    <row r="3768" spans="1:4">
      <c r="A3768" s="2">
        <v>203</v>
      </c>
      <c r="B3768" s="2" t="s">
        <v>681</v>
      </c>
      <c r="C3768" s="2" t="s">
        <v>4708</v>
      </c>
      <c r="D3768" s="2"/>
    </row>
    <row r="3769" spans="1:4">
      <c r="A3769" s="3">
        <v>203</v>
      </c>
      <c r="B3769" s="3" t="s">
        <v>681</v>
      </c>
      <c r="C3769" s="3" t="s">
        <v>4709</v>
      </c>
      <c r="D3769" s="3"/>
    </row>
    <row r="3770" spans="1:4">
      <c r="A3770" s="2">
        <v>203</v>
      </c>
      <c r="B3770" s="2" t="s">
        <v>681</v>
      </c>
      <c r="C3770" s="2" t="s">
        <v>4710</v>
      </c>
      <c r="D3770" s="2"/>
    </row>
    <row r="3771" spans="1:4">
      <c r="A3771" s="3">
        <v>203</v>
      </c>
      <c r="B3771" s="3" t="s">
        <v>681</v>
      </c>
      <c r="C3771" s="3" t="s">
        <v>4711</v>
      </c>
      <c r="D3771" s="3"/>
    </row>
    <row r="3772" spans="1:4">
      <c r="A3772" s="2">
        <v>203</v>
      </c>
      <c r="B3772" s="2" t="s">
        <v>681</v>
      </c>
      <c r="C3772" s="2" t="s">
        <v>4712</v>
      </c>
      <c r="D3772" s="2"/>
    </row>
    <row r="3773" spans="1:4">
      <c r="A3773" s="3">
        <v>203</v>
      </c>
      <c r="B3773" s="3" t="s">
        <v>681</v>
      </c>
      <c r="C3773" s="3" t="s">
        <v>4713</v>
      </c>
      <c r="D3773" s="3"/>
    </row>
    <row r="3774" spans="1:4">
      <c r="A3774" s="2">
        <v>203</v>
      </c>
      <c r="B3774" s="2" t="s">
        <v>681</v>
      </c>
      <c r="C3774" s="2" t="s">
        <v>4714</v>
      </c>
      <c r="D3774" s="2"/>
    </row>
    <row r="3775" spans="1:4">
      <c r="A3775" s="3">
        <v>203</v>
      </c>
      <c r="B3775" s="3" t="s">
        <v>681</v>
      </c>
      <c r="C3775" s="3" t="s">
        <v>4715</v>
      </c>
      <c r="D3775" s="3"/>
    </row>
    <row r="3776" spans="1:4">
      <c r="A3776" s="2">
        <v>203</v>
      </c>
      <c r="B3776" s="2" t="s">
        <v>681</v>
      </c>
      <c r="C3776" s="2" t="s">
        <v>4716</v>
      </c>
      <c r="D3776" s="2"/>
    </row>
    <row r="3777" spans="1:4">
      <c r="A3777" s="3">
        <v>203</v>
      </c>
      <c r="B3777" s="3" t="s">
        <v>681</v>
      </c>
      <c r="C3777" s="3" t="s">
        <v>4717</v>
      </c>
      <c r="D3777" s="3"/>
    </row>
    <row r="3778" spans="1:4">
      <c r="A3778" s="2">
        <v>203</v>
      </c>
      <c r="B3778" s="2" t="s">
        <v>681</v>
      </c>
      <c r="C3778" s="2" t="s">
        <v>4718</v>
      </c>
      <c r="D3778" s="2"/>
    </row>
    <row r="3779" spans="1:4">
      <c r="A3779" s="3">
        <v>204</v>
      </c>
      <c r="B3779" s="3" t="s">
        <v>685</v>
      </c>
      <c r="C3779" s="3" t="s">
        <v>4719</v>
      </c>
      <c r="D3779" s="3"/>
    </row>
    <row r="3780" spans="1:4">
      <c r="A3780" s="2">
        <v>204</v>
      </c>
      <c r="B3780" s="2" t="s">
        <v>685</v>
      </c>
      <c r="C3780" s="2" t="s">
        <v>4720</v>
      </c>
      <c r="D3780" s="2"/>
    </row>
    <row r="3781" spans="1:4">
      <c r="A3781" s="3">
        <v>204</v>
      </c>
      <c r="B3781" s="3" t="s">
        <v>685</v>
      </c>
      <c r="C3781" s="3" t="s">
        <v>4721</v>
      </c>
      <c r="D3781" s="3"/>
    </row>
    <row r="3782" spans="1:4">
      <c r="A3782" s="2">
        <v>204</v>
      </c>
      <c r="B3782" s="2" t="s">
        <v>685</v>
      </c>
      <c r="C3782" s="2" t="s">
        <v>4722</v>
      </c>
      <c r="D3782" s="2"/>
    </row>
    <row r="3783" spans="1:4">
      <c r="A3783" s="3">
        <v>204</v>
      </c>
      <c r="B3783" s="3" t="s">
        <v>685</v>
      </c>
      <c r="C3783" s="3" t="s">
        <v>4723</v>
      </c>
      <c r="D3783" s="3"/>
    </row>
    <row r="3784" spans="1:4">
      <c r="A3784" s="2">
        <v>204</v>
      </c>
      <c r="B3784" s="2" t="s">
        <v>685</v>
      </c>
      <c r="C3784" s="2" t="s">
        <v>4724</v>
      </c>
      <c r="D3784" s="2"/>
    </row>
    <row r="3785" spans="1:4">
      <c r="A3785" s="3">
        <v>204</v>
      </c>
      <c r="B3785" s="3" t="s">
        <v>685</v>
      </c>
      <c r="C3785" s="3" t="s">
        <v>4725</v>
      </c>
      <c r="D3785" s="3"/>
    </row>
    <row r="3786" spans="1:4">
      <c r="A3786" s="2">
        <v>204</v>
      </c>
      <c r="B3786" s="2" t="s">
        <v>685</v>
      </c>
      <c r="C3786" s="2" t="s">
        <v>4726</v>
      </c>
      <c r="D3786" s="2"/>
    </row>
    <row r="3787" spans="1:4">
      <c r="A3787" s="3">
        <v>204</v>
      </c>
      <c r="B3787" s="3" t="s">
        <v>685</v>
      </c>
      <c r="C3787" s="3" t="s">
        <v>4727</v>
      </c>
      <c r="D3787" s="3"/>
    </row>
    <row r="3788" spans="1:4">
      <c r="A3788" s="2">
        <v>204</v>
      </c>
      <c r="B3788" s="2" t="s">
        <v>685</v>
      </c>
      <c r="C3788" s="2" t="s">
        <v>4728</v>
      </c>
      <c r="D3788" s="2"/>
    </row>
    <row r="3789" spans="1:4">
      <c r="A3789" s="3">
        <v>204</v>
      </c>
      <c r="B3789" s="3" t="s">
        <v>685</v>
      </c>
      <c r="C3789" s="3" t="s">
        <v>4729</v>
      </c>
      <c r="D3789" s="3"/>
    </row>
    <row r="3790" spans="1:4">
      <c r="A3790" s="2">
        <v>204</v>
      </c>
      <c r="B3790" s="2" t="s">
        <v>685</v>
      </c>
      <c r="C3790" s="2" t="s">
        <v>4730</v>
      </c>
      <c r="D3790" s="2"/>
    </row>
    <row r="3791" spans="1:4">
      <c r="A3791" s="3">
        <v>204</v>
      </c>
      <c r="B3791" s="3" t="s">
        <v>685</v>
      </c>
      <c r="C3791" s="3" t="s">
        <v>4731</v>
      </c>
      <c r="D3791" s="3"/>
    </row>
    <row r="3792" spans="1:4">
      <c r="A3792" s="2">
        <v>204</v>
      </c>
      <c r="B3792" s="2" t="s">
        <v>685</v>
      </c>
      <c r="C3792" s="2" t="s">
        <v>4732</v>
      </c>
      <c r="D3792" s="2"/>
    </row>
    <row r="3793" spans="1:4">
      <c r="A3793" s="3">
        <v>204</v>
      </c>
      <c r="B3793" s="3" t="s">
        <v>685</v>
      </c>
      <c r="C3793" s="3" t="s">
        <v>4733</v>
      </c>
      <c r="D3793" s="3"/>
    </row>
    <row r="3794" spans="1:4">
      <c r="A3794" s="2">
        <v>204</v>
      </c>
      <c r="B3794" s="2" t="s">
        <v>685</v>
      </c>
      <c r="C3794" s="2" t="s">
        <v>4734</v>
      </c>
      <c r="D3794" s="2"/>
    </row>
    <row r="3795" spans="1:4">
      <c r="A3795" s="3">
        <v>204</v>
      </c>
      <c r="B3795" s="3" t="s">
        <v>685</v>
      </c>
      <c r="C3795" s="3" t="s">
        <v>4735</v>
      </c>
      <c r="D3795" s="3"/>
    </row>
    <row r="3796" spans="1:4">
      <c r="A3796" s="2">
        <v>204</v>
      </c>
      <c r="B3796" s="2" t="s">
        <v>685</v>
      </c>
      <c r="C3796" s="2" t="s">
        <v>4736</v>
      </c>
      <c r="D3796" s="2"/>
    </row>
    <row r="3797" spans="1:4">
      <c r="A3797" s="3">
        <v>204</v>
      </c>
      <c r="B3797" s="3" t="s">
        <v>685</v>
      </c>
      <c r="C3797" s="3" t="s">
        <v>4737</v>
      </c>
      <c r="D3797" s="3"/>
    </row>
    <row r="3798" spans="1:4">
      <c r="A3798" s="2">
        <v>204</v>
      </c>
      <c r="B3798" s="2" t="s">
        <v>685</v>
      </c>
      <c r="C3798" s="2" t="s">
        <v>4738</v>
      </c>
      <c r="D3798" s="2"/>
    </row>
    <row r="3799" spans="1:4">
      <c r="A3799" s="3">
        <v>204</v>
      </c>
      <c r="B3799" s="3" t="s">
        <v>685</v>
      </c>
      <c r="C3799" s="3" t="s">
        <v>4739</v>
      </c>
      <c r="D3799" s="3"/>
    </row>
    <row r="3800" spans="1:4">
      <c r="A3800" s="2">
        <v>204</v>
      </c>
      <c r="B3800" s="2" t="s">
        <v>685</v>
      </c>
      <c r="C3800" s="2" t="s">
        <v>4740</v>
      </c>
      <c r="D3800" s="2"/>
    </row>
    <row r="3801" spans="1:4">
      <c r="A3801" s="3">
        <v>204</v>
      </c>
      <c r="B3801" s="3" t="s">
        <v>685</v>
      </c>
      <c r="C3801" s="3" t="s">
        <v>4741</v>
      </c>
      <c r="D3801" s="3"/>
    </row>
    <row r="3802" spans="1:4">
      <c r="A3802" s="2">
        <v>204</v>
      </c>
      <c r="B3802" s="2" t="s">
        <v>685</v>
      </c>
      <c r="C3802" s="2" t="s">
        <v>4742</v>
      </c>
      <c r="D3802" s="2"/>
    </row>
    <row r="3803" spans="1:4">
      <c r="A3803" s="3">
        <v>204</v>
      </c>
      <c r="B3803" s="3" t="s">
        <v>685</v>
      </c>
      <c r="C3803" s="3" t="s">
        <v>4743</v>
      </c>
      <c r="D3803" s="3"/>
    </row>
    <row r="3804" spans="1:4">
      <c r="A3804" s="2">
        <v>204</v>
      </c>
      <c r="B3804" s="2" t="s">
        <v>685</v>
      </c>
      <c r="C3804" s="2" t="s">
        <v>4744</v>
      </c>
      <c r="D3804" s="2"/>
    </row>
    <row r="3805" spans="1:4">
      <c r="A3805" s="3">
        <v>204</v>
      </c>
      <c r="B3805" s="3" t="s">
        <v>685</v>
      </c>
      <c r="C3805" s="3" t="s">
        <v>4745</v>
      </c>
      <c r="D3805" s="3"/>
    </row>
    <row r="3806" spans="1:4">
      <c r="A3806" s="2">
        <v>204</v>
      </c>
      <c r="B3806" s="2" t="s">
        <v>685</v>
      </c>
      <c r="C3806" s="2" t="s">
        <v>4746</v>
      </c>
      <c r="D3806" s="2"/>
    </row>
    <row r="3807" spans="1:4">
      <c r="A3807" s="3">
        <v>204</v>
      </c>
      <c r="B3807" s="3" t="s">
        <v>685</v>
      </c>
      <c r="C3807" s="3" t="s">
        <v>4747</v>
      </c>
      <c r="D3807" s="3"/>
    </row>
    <row r="3808" spans="1:4">
      <c r="A3808" s="2">
        <v>204</v>
      </c>
      <c r="B3808" s="2" t="s">
        <v>685</v>
      </c>
      <c r="C3808" s="2" t="s">
        <v>4748</v>
      </c>
      <c r="D3808" s="2"/>
    </row>
    <row r="3809" spans="1:4">
      <c r="A3809" s="3">
        <v>204</v>
      </c>
      <c r="B3809" s="3" t="s">
        <v>685</v>
      </c>
      <c r="C3809" s="3" t="s">
        <v>4746</v>
      </c>
      <c r="D3809" s="3"/>
    </row>
    <row r="3810" spans="1:4">
      <c r="A3810" s="2">
        <v>204</v>
      </c>
      <c r="B3810" s="2" t="s">
        <v>685</v>
      </c>
      <c r="C3810" s="2" t="s">
        <v>4749</v>
      </c>
      <c r="D3810" s="2"/>
    </row>
    <row r="3811" spans="1:4">
      <c r="A3811" s="3">
        <v>204</v>
      </c>
      <c r="B3811" s="3" t="s">
        <v>685</v>
      </c>
      <c r="C3811" s="3" t="s">
        <v>4750</v>
      </c>
      <c r="D3811" s="3"/>
    </row>
    <row r="3812" spans="1:4">
      <c r="A3812" s="2">
        <v>204</v>
      </c>
      <c r="B3812" s="2" t="s">
        <v>685</v>
      </c>
      <c r="C3812" s="2" t="s">
        <v>4751</v>
      </c>
      <c r="D3812" s="2"/>
    </row>
    <row r="3813" spans="1:4">
      <c r="A3813" s="3">
        <v>204</v>
      </c>
      <c r="B3813" s="3" t="s">
        <v>685</v>
      </c>
      <c r="C3813" s="3" t="s">
        <v>4752</v>
      </c>
      <c r="D3813" s="3"/>
    </row>
    <row r="3814" spans="1:4">
      <c r="A3814" s="2">
        <v>204</v>
      </c>
      <c r="B3814" s="2" t="s">
        <v>685</v>
      </c>
      <c r="C3814" s="2" t="s">
        <v>4746</v>
      </c>
      <c r="D3814" s="2"/>
    </row>
    <row r="3815" spans="1:4">
      <c r="A3815" s="3">
        <v>204</v>
      </c>
      <c r="B3815" s="3" t="s">
        <v>685</v>
      </c>
      <c r="C3815" s="3" t="s">
        <v>4753</v>
      </c>
      <c r="D3815" s="3"/>
    </row>
    <row r="3816" spans="1:4">
      <c r="A3816" s="2">
        <v>204</v>
      </c>
      <c r="B3816" s="2" t="s">
        <v>685</v>
      </c>
      <c r="C3816" s="2" t="s">
        <v>4754</v>
      </c>
      <c r="D3816" s="2"/>
    </row>
    <row r="3817" spans="1:4">
      <c r="A3817" s="3">
        <v>204</v>
      </c>
      <c r="B3817" s="3" t="s">
        <v>685</v>
      </c>
      <c r="C3817" s="3" t="s">
        <v>4753</v>
      </c>
      <c r="D3817" s="3"/>
    </row>
    <row r="3818" spans="1:4">
      <c r="A3818" s="2">
        <v>204</v>
      </c>
      <c r="B3818" s="2" t="s">
        <v>685</v>
      </c>
      <c r="C3818" s="2" t="s">
        <v>4755</v>
      </c>
      <c r="D3818" s="2"/>
    </row>
    <row r="3819" spans="1:4">
      <c r="A3819" s="3">
        <v>204</v>
      </c>
      <c r="B3819" s="3" t="s">
        <v>685</v>
      </c>
      <c r="C3819" s="3" t="s">
        <v>4756</v>
      </c>
      <c r="D3819" s="3"/>
    </row>
    <row r="3820" spans="1:4">
      <c r="A3820" s="2">
        <v>204</v>
      </c>
      <c r="B3820" s="2" t="s">
        <v>685</v>
      </c>
      <c r="C3820" s="2" t="s">
        <v>4757</v>
      </c>
      <c r="D3820" s="2"/>
    </row>
    <row r="3821" spans="1:4">
      <c r="A3821" s="3">
        <v>204</v>
      </c>
      <c r="B3821" s="3" t="s">
        <v>685</v>
      </c>
      <c r="C3821" s="3" t="s">
        <v>4758</v>
      </c>
      <c r="D3821" s="3"/>
    </row>
    <row r="3822" spans="1:4">
      <c r="A3822" s="2">
        <v>204</v>
      </c>
      <c r="B3822" s="2" t="s">
        <v>685</v>
      </c>
      <c r="C3822" s="2" t="s">
        <v>4759</v>
      </c>
      <c r="D3822" s="2"/>
    </row>
    <row r="3823" spans="1:4">
      <c r="A3823" s="3">
        <v>204</v>
      </c>
      <c r="B3823" s="3" t="s">
        <v>685</v>
      </c>
      <c r="C3823" s="3" t="s">
        <v>4760</v>
      </c>
      <c r="D3823" s="3"/>
    </row>
    <row r="3824" spans="1:4">
      <c r="A3824" s="2">
        <v>204</v>
      </c>
      <c r="B3824" s="2" t="s">
        <v>685</v>
      </c>
      <c r="C3824" s="2" t="s">
        <v>4761</v>
      </c>
      <c r="D3824" s="2"/>
    </row>
    <row r="3825" spans="1:4">
      <c r="A3825" s="3">
        <v>204</v>
      </c>
      <c r="B3825" s="3" t="s">
        <v>685</v>
      </c>
      <c r="C3825" s="3" t="s">
        <v>4762</v>
      </c>
      <c r="D3825" s="3"/>
    </row>
    <row r="3826" spans="1:4">
      <c r="A3826" s="2">
        <v>204</v>
      </c>
      <c r="B3826" s="2" t="s">
        <v>685</v>
      </c>
      <c r="C3826" s="2" t="s">
        <v>4758</v>
      </c>
      <c r="D3826" s="2"/>
    </row>
    <row r="3827" spans="1:4">
      <c r="A3827" s="3">
        <v>204</v>
      </c>
      <c r="B3827" s="3" t="s">
        <v>685</v>
      </c>
      <c r="C3827" s="3" t="s">
        <v>4759</v>
      </c>
      <c r="D3827" s="3"/>
    </row>
    <row r="3828" spans="1:4">
      <c r="A3828" s="2">
        <v>204</v>
      </c>
      <c r="B3828" s="2" t="s">
        <v>685</v>
      </c>
      <c r="C3828" s="2" t="s">
        <v>4763</v>
      </c>
      <c r="D3828" s="2"/>
    </row>
    <row r="3829" spans="1:4">
      <c r="A3829" s="3">
        <v>205</v>
      </c>
      <c r="B3829" s="3" t="s">
        <v>746</v>
      </c>
      <c r="C3829" s="3" t="s">
        <v>4764</v>
      </c>
      <c r="D3829" s="3"/>
    </row>
    <row r="3830" spans="1:4">
      <c r="A3830" s="2">
        <v>205</v>
      </c>
      <c r="B3830" s="2" t="s">
        <v>746</v>
      </c>
      <c r="C3830" s="2" t="s">
        <v>4765</v>
      </c>
      <c r="D3830" s="2"/>
    </row>
    <row r="3831" spans="1:4">
      <c r="A3831" s="3">
        <v>205</v>
      </c>
      <c r="B3831" s="3" t="s">
        <v>746</v>
      </c>
      <c r="C3831" s="3" t="s">
        <v>4766</v>
      </c>
      <c r="D3831" s="3"/>
    </row>
    <row r="3832" spans="1:4">
      <c r="A3832" s="2">
        <v>205</v>
      </c>
      <c r="B3832" s="2" t="s">
        <v>746</v>
      </c>
      <c r="C3832" s="2" t="s">
        <v>4767</v>
      </c>
      <c r="D3832" s="2"/>
    </row>
    <row r="3833" spans="1:4">
      <c r="A3833" s="3">
        <v>205</v>
      </c>
      <c r="B3833" s="3" t="s">
        <v>746</v>
      </c>
      <c r="C3833" s="3" t="s">
        <v>4768</v>
      </c>
      <c r="D3833" s="3"/>
    </row>
    <row r="3834" spans="1:4">
      <c r="A3834" s="2">
        <v>205</v>
      </c>
      <c r="B3834" s="2" t="s">
        <v>746</v>
      </c>
      <c r="C3834" s="2" t="s">
        <v>4769</v>
      </c>
      <c r="D3834" s="2"/>
    </row>
    <row r="3835" spans="1:4">
      <c r="A3835" s="3">
        <v>205</v>
      </c>
      <c r="B3835" s="3" t="s">
        <v>746</v>
      </c>
      <c r="C3835" s="3" t="s">
        <v>1062</v>
      </c>
      <c r="D3835" s="3"/>
    </row>
    <row r="3836" spans="1:4">
      <c r="A3836" s="2">
        <v>205</v>
      </c>
      <c r="B3836" s="2" t="s">
        <v>746</v>
      </c>
      <c r="C3836" s="2" t="s">
        <v>4770</v>
      </c>
      <c r="D3836" s="2"/>
    </row>
    <row r="3837" spans="1:4">
      <c r="A3837" s="3">
        <v>205</v>
      </c>
      <c r="B3837" s="3" t="s">
        <v>746</v>
      </c>
      <c r="C3837" s="3" t="s">
        <v>4771</v>
      </c>
      <c r="D3837" s="3"/>
    </row>
    <row r="3838" spans="1:4">
      <c r="A3838" s="2">
        <v>205</v>
      </c>
      <c r="B3838" s="2" t="s">
        <v>746</v>
      </c>
      <c r="C3838" s="2" t="s">
        <v>4772</v>
      </c>
      <c r="D3838" s="2"/>
    </row>
    <row r="3839" spans="1:4">
      <c r="A3839" s="3">
        <v>205</v>
      </c>
      <c r="B3839" s="3" t="s">
        <v>746</v>
      </c>
      <c r="C3839" s="3" t="s">
        <v>4773</v>
      </c>
      <c r="D3839" s="3"/>
    </row>
    <row r="3840" spans="1:4">
      <c r="A3840" s="2">
        <v>205</v>
      </c>
      <c r="B3840" s="2" t="s">
        <v>746</v>
      </c>
      <c r="C3840" s="2" t="s">
        <v>1063</v>
      </c>
      <c r="D3840" s="2"/>
    </row>
    <row r="3841" spans="1:4">
      <c r="A3841" s="3">
        <v>205</v>
      </c>
      <c r="B3841" s="3" t="s">
        <v>746</v>
      </c>
      <c r="C3841" s="3" t="s">
        <v>4774</v>
      </c>
      <c r="D3841" s="3"/>
    </row>
    <row r="3842" spans="1:4">
      <c r="A3842" s="2">
        <v>205</v>
      </c>
      <c r="B3842" s="2" t="s">
        <v>746</v>
      </c>
      <c r="C3842" s="2" t="s">
        <v>4775</v>
      </c>
      <c r="D3842" s="2"/>
    </row>
    <row r="3843" spans="1:4">
      <c r="A3843" s="3">
        <v>205</v>
      </c>
      <c r="B3843" s="3" t="s">
        <v>746</v>
      </c>
      <c r="C3843" s="3" t="s">
        <v>4776</v>
      </c>
      <c r="D3843" s="3"/>
    </row>
    <row r="3844" spans="1:4">
      <c r="A3844" s="2">
        <v>205</v>
      </c>
      <c r="B3844" s="2" t="s">
        <v>746</v>
      </c>
      <c r="C3844" s="2" t="s">
        <v>4777</v>
      </c>
      <c r="D3844" s="2"/>
    </row>
    <row r="3845" spans="1:4">
      <c r="A3845" s="3">
        <v>205</v>
      </c>
      <c r="B3845" s="3" t="s">
        <v>746</v>
      </c>
      <c r="C3845" s="3" t="s">
        <v>4778</v>
      </c>
      <c r="D3845" s="3"/>
    </row>
    <row r="3846" spans="1:4">
      <c r="A3846" s="2">
        <v>206</v>
      </c>
      <c r="B3846" s="2" t="s">
        <v>723</v>
      </c>
      <c r="C3846" s="2" t="s">
        <v>4779</v>
      </c>
      <c r="D3846" s="2"/>
    </row>
    <row r="3847" spans="1:4">
      <c r="A3847" s="3">
        <v>206</v>
      </c>
      <c r="B3847" s="3" t="s">
        <v>723</v>
      </c>
      <c r="C3847" s="3" t="s">
        <v>4780</v>
      </c>
      <c r="D3847" s="3"/>
    </row>
    <row r="3848" spans="1:4">
      <c r="A3848" s="2">
        <v>207</v>
      </c>
      <c r="B3848" s="2" t="s">
        <v>749</v>
      </c>
      <c r="C3848" s="2" t="s">
        <v>4781</v>
      </c>
      <c r="D3848" s="2"/>
    </row>
    <row r="3849" spans="1:4">
      <c r="A3849" s="3">
        <v>207</v>
      </c>
      <c r="B3849" s="3" t="s">
        <v>749</v>
      </c>
      <c r="C3849" s="3" t="s">
        <v>4782</v>
      </c>
      <c r="D3849" s="3"/>
    </row>
    <row r="3850" spans="1:4">
      <c r="A3850" s="2">
        <v>207</v>
      </c>
      <c r="B3850" s="2" t="s">
        <v>749</v>
      </c>
      <c r="C3850" s="2" t="s">
        <v>4783</v>
      </c>
      <c r="D3850" s="2"/>
    </row>
    <row r="3851" spans="1:4">
      <c r="A3851" s="3">
        <v>207</v>
      </c>
      <c r="B3851" s="3" t="s">
        <v>749</v>
      </c>
      <c r="C3851" s="3" t="s">
        <v>4784</v>
      </c>
      <c r="D3851" s="3"/>
    </row>
    <row r="3852" spans="1:4">
      <c r="A3852" s="2">
        <v>207</v>
      </c>
      <c r="B3852" s="2" t="s">
        <v>749</v>
      </c>
      <c r="C3852" s="2" t="s">
        <v>4785</v>
      </c>
      <c r="D3852" s="2"/>
    </row>
    <row r="3853" spans="1:4">
      <c r="A3853" s="3">
        <v>207</v>
      </c>
      <c r="B3853" s="3" t="s">
        <v>749</v>
      </c>
      <c r="C3853" s="3" t="s">
        <v>4786</v>
      </c>
      <c r="D3853" s="3"/>
    </row>
    <row r="3854" spans="1:4">
      <c r="A3854" s="2">
        <v>207</v>
      </c>
      <c r="B3854" s="2" t="s">
        <v>749</v>
      </c>
      <c r="C3854" s="2" t="s">
        <v>4787</v>
      </c>
      <c r="D3854" s="2"/>
    </row>
    <row r="3855" spans="1:4">
      <c r="A3855" s="3">
        <v>207</v>
      </c>
      <c r="B3855" s="3" t="s">
        <v>749</v>
      </c>
      <c r="C3855" s="3" t="s">
        <v>4788</v>
      </c>
      <c r="D3855" s="3"/>
    </row>
    <row r="3856" spans="1:4">
      <c r="A3856" s="2">
        <v>207</v>
      </c>
      <c r="B3856" s="2" t="s">
        <v>749</v>
      </c>
      <c r="C3856" s="2" t="s">
        <v>4789</v>
      </c>
      <c r="D3856" s="2"/>
    </row>
    <row r="3857" spans="1:4">
      <c r="A3857" s="3">
        <v>207</v>
      </c>
      <c r="B3857" s="3" t="s">
        <v>749</v>
      </c>
      <c r="C3857" s="3" t="s">
        <v>4790</v>
      </c>
      <c r="D3857" s="3"/>
    </row>
    <row r="3858" spans="1:4">
      <c r="A3858" s="2">
        <v>207</v>
      </c>
      <c r="B3858" s="2" t="s">
        <v>749</v>
      </c>
      <c r="C3858" s="2" t="s">
        <v>4791</v>
      </c>
      <c r="D3858" s="2"/>
    </row>
    <row r="3859" spans="1:4">
      <c r="A3859" s="3">
        <v>207</v>
      </c>
      <c r="B3859" s="3" t="s">
        <v>749</v>
      </c>
      <c r="C3859" s="3" t="s">
        <v>4792</v>
      </c>
      <c r="D3859" s="3"/>
    </row>
    <row r="3860" spans="1:4">
      <c r="A3860" s="2">
        <v>207</v>
      </c>
      <c r="B3860" s="2" t="s">
        <v>749</v>
      </c>
      <c r="C3860" s="2" t="s">
        <v>4793</v>
      </c>
      <c r="D3860" s="2"/>
    </row>
    <row r="3861" spans="1:4">
      <c r="A3861" s="3">
        <v>207</v>
      </c>
      <c r="B3861" s="3" t="s">
        <v>749</v>
      </c>
      <c r="C3861" s="3" t="s">
        <v>4794</v>
      </c>
      <c r="D3861" s="3"/>
    </row>
    <row r="3862" spans="1:4">
      <c r="A3862" s="2">
        <v>207</v>
      </c>
      <c r="B3862" s="2" t="s">
        <v>749</v>
      </c>
      <c r="C3862" s="2" t="s">
        <v>4795</v>
      </c>
      <c r="D3862" s="2"/>
    </row>
    <row r="3863" spans="1:4">
      <c r="A3863" s="3">
        <v>207</v>
      </c>
      <c r="B3863" s="3" t="s">
        <v>749</v>
      </c>
      <c r="C3863" s="3" t="s">
        <v>4796</v>
      </c>
      <c r="D3863" s="3"/>
    </row>
    <row r="3864" spans="1:4">
      <c r="A3864" s="2">
        <v>207</v>
      </c>
      <c r="B3864" s="2" t="s">
        <v>749</v>
      </c>
      <c r="C3864" s="2" t="s">
        <v>4797</v>
      </c>
      <c r="D3864" s="2"/>
    </row>
    <row r="3865" spans="1:4">
      <c r="A3865" s="3">
        <v>207</v>
      </c>
      <c r="B3865" s="3" t="s">
        <v>749</v>
      </c>
      <c r="C3865" s="3" t="s">
        <v>4798</v>
      </c>
      <c r="D3865" s="3"/>
    </row>
    <row r="3866" spans="1:4">
      <c r="A3866" s="2">
        <v>207</v>
      </c>
      <c r="B3866" s="2" t="s">
        <v>749</v>
      </c>
      <c r="C3866" s="2" t="s">
        <v>4799</v>
      </c>
      <c r="D3866" s="2"/>
    </row>
    <row r="3867" spans="1:4">
      <c r="A3867" s="3">
        <v>207</v>
      </c>
      <c r="B3867" s="3" t="s">
        <v>749</v>
      </c>
      <c r="C3867" s="3" t="s">
        <v>4800</v>
      </c>
      <c r="D3867" s="3"/>
    </row>
    <row r="3868" spans="1:4">
      <c r="A3868" s="2">
        <v>207</v>
      </c>
      <c r="B3868" s="2" t="s">
        <v>749</v>
      </c>
      <c r="C3868" s="2" t="s">
        <v>4794</v>
      </c>
      <c r="D3868" s="2"/>
    </row>
    <row r="3869" spans="1:4">
      <c r="A3869" s="3">
        <v>207</v>
      </c>
      <c r="B3869" s="3" t="s">
        <v>749</v>
      </c>
      <c r="C3869" s="3" t="s">
        <v>4795</v>
      </c>
      <c r="D3869" s="3"/>
    </row>
    <row r="3870" spans="1:4">
      <c r="A3870" s="2">
        <v>207</v>
      </c>
      <c r="B3870" s="2" t="s">
        <v>749</v>
      </c>
      <c r="C3870" s="2" t="s">
        <v>4796</v>
      </c>
      <c r="D3870" s="2"/>
    </row>
    <row r="3871" spans="1:4">
      <c r="A3871" s="3">
        <v>207</v>
      </c>
      <c r="B3871" s="3" t="s">
        <v>749</v>
      </c>
      <c r="C3871" s="3" t="s">
        <v>4797</v>
      </c>
      <c r="D3871" s="3"/>
    </row>
    <row r="3872" spans="1:4">
      <c r="A3872" s="2">
        <v>207</v>
      </c>
      <c r="B3872" s="2" t="s">
        <v>749</v>
      </c>
      <c r="C3872" s="2" t="s">
        <v>4801</v>
      </c>
      <c r="D3872" s="2"/>
    </row>
    <row r="3873" spans="1:4">
      <c r="A3873" s="3">
        <v>207</v>
      </c>
      <c r="B3873" s="3" t="s">
        <v>749</v>
      </c>
      <c r="C3873" s="3" t="s">
        <v>4799</v>
      </c>
      <c r="D3873" s="3"/>
    </row>
    <row r="3874" spans="1:4">
      <c r="A3874" s="2">
        <v>207</v>
      </c>
      <c r="B3874" s="2" t="s">
        <v>749</v>
      </c>
      <c r="C3874" s="2" t="s">
        <v>4802</v>
      </c>
      <c r="D3874" s="2"/>
    </row>
    <row r="3875" spans="1:4">
      <c r="A3875" s="3">
        <v>207</v>
      </c>
      <c r="B3875" s="3" t="s">
        <v>749</v>
      </c>
      <c r="C3875" s="3" t="s">
        <v>4795</v>
      </c>
      <c r="D3875" s="3"/>
    </row>
    <row r="3876" spans="1:4">
      <c r="A3876" s="2">
        <v>207</v>
      </c>
      <c r="B3876" s="2" t="s">
        <v>749</v>
      </c>
      <c r="C3876" s="2" t="s">
        <v>4803</v>
      </c>
      <c r="D3876" s="2"/>
    </row>
    <row r="3877" spans="1:4">
      <c r="A3877" s="3">
        <v>207</v>
      </c>
      <c r="B3877" s="3" t="s">
        <v>749</v>
      </c>
      <c r="C3877" s="3" t="s">
        <v>4804</v>
      </c>
      <c r="D3877" s="3"/>
    </row>
    <row r="3878" spans="1:4">
      <c r="A3878" s="2">
        <v>207</v>
      </c>
      <c r="B3878" s="2" t="s">
        <v>749</v>
      </c>
      <c r="C3878" s="2" t="s">
        <v>4805</v>
      </c>
      <c r="D3878" s="2"/>
    </row>
    <row r="3879" spans="1:4">
      <c r="A3879" s="3">
        <v>207</v>
      </c>
      <c r="B3879" s="3" t="s">
        <v>749</v>
      </c>
      <c r="C3879" s="3" t="s">
        <v>4806</v>
      </c>
      <c r="D3879" s="3"/>
    </row>
    <row r="3880" spans="1:4">
      <c r="A3880" s="2">
        <v>207</v>
      </c>
      <c r="B3880" s="2" t="s">
        <v>749</v>
      </c>
      <c r="C3880" s="2" t="s">
        <v>4795</v>
      </c>
      <c r="D3880" s="2"/>
    </row>
    <row r="3881" spans="1:4">
      <c r="A3881" s="3">
        <v>207</v>
      </c>
      <c r="B3881" s="3" t="s">
        <v>749</v>
      </c>
      <c r="C3881" s="3" t="s">
        <v>4803</v>
      </c>
      <c r="D3881" s="3"/>
    </row>
    <row r="3882" spans="1:4">
      <c r="A3882" s="2">
        <v>207</v>
      </c>
      <c r="B3882" s="2" t="s">
        <v>749</v>
      </c>
      <c r="C3882" s="2" t="s">
        <v>4804</v>
      </c>
      <c r="D3882" s="2"/>
    </row>
    <row r="3883" spans="1:4">
      <c r="A3883" s="3">
        <v>207</v>
      </c>
      <c r="B3883" s="3" t="s">
        <v>749</v>
      </c>
      <c r="C3883" s="3" t="s">
        <v>4805</v>
      </c>
      <c r="D3883" s="3"/>
    </row>
    <row r="3884" spans="1:4">
      <c r="A3884" s="2">
        <v>207</v>
      </c>
      <c r="B3884" s="2" t="s">
        <v>749</v>
      </c>
      <c r="C3884" s="2" t="s">
        <v>4806</v>
      </c>
      <c r="D3884" s="2"/>
    </row>
    <row r="3885" spans="1:4">
      <c r="A3885" s="3">
        <v>207</v>
      </c>
      <c r="B3885" s="3" t="s">
        <v>749</v>
      </c>
      <c r="C3885" s="3" t="s">
        <v>4807</v>
      </c>
      <c r="D3885" s="3"/>
    </row>
    <row r="3886" spans="1:4">
      <c r="A3886" s="2">
        <v>207</v>
      </c>
      <c r="B3886" s="2" t="s">
        <v>749</v>
      </c>
      <c r="C3886" s="2" t="s">
        <v>4808</v>
      </c>
      <c r="D3886" s="2"/>
    </row>
    <row r="3887" spans="1:4">
      <c r="A3887" s="3">
        <v>207</v>
      </c>
      <c r="B3887" s="3" t="s">
        <v>749</v>
      </c>
      <c r="C3887" s="3" t="s">
        <v>4809</v>
      </c>
      <c r="D3887" s="3"/>
    </row>
    <row r="3888" spans="1:4">
      <c r="A3888" s="2">
        <v>207</v>
      </c>
      <c r="B3888" s="2" t="s">
        <v>749</v>
      </c>
      <c r="C3888" s="2" t="s">
        <v>4810</v>
      </c>
      <c r="D3888" s="2"/>
    </row>
    <row r="3889" spans="1:4">
      <c r="A3889" s="3">
        <v>207</v>
      </c>
      <c r="B3889" s="3" t="s">
        <v>749</v>
      </c>
      <c r="C3889" s="3" t="s">
        <v>4811</v>
      </c>
      <c r="D3889" s="3"/>
    </row>
    <row r="3890" spans="1:4">
      <c r="A3890" s="2">
        <v>207</v>
      </c>
      <c r="B3890" s="2" t="s">
        <v>749</v>
      </c>
      <c r="C3890" s="2" t="s">
        <v>4812</v>
      </c>
      <c r="D3890" s="2"/>
    </row>
    <row r="3891" spans="1:4">
      <c r="A3891" s="3">
        <v>207</v>
      </c>
      <c r="B3891" s="3" t="s">
        <v>749</v>
      </c>
      <c r="C3891" s="3" t="s">
        <v>4813</v>
      </c>
      <c r="D3891" s="3"/>
    </row>
    <row r="3892" spans="1:4">
      <c r="A3892" s="2">
        <v>207</v>
      </c>
      <c r="B3892" s="2" t="s">
        <v>749</v>
      </c>
      <c r="C3892" s="2" t="s">
        <v>4814</v>
      </c>
      <c r="D3892" s="2"/>
    </row>
    <row r="3893" spans="1:4">
      <c r="A3893" s="3">
        <v>207</v>
      </c>
      <c r="B3893" s="3" t="s">
        <v>749</v>
      </c>
      <c r="C3893" s="3" t="s">
        <v>4810</v>
      </c>
      <c r="D3893" s="3"/>
    </row>
    <row r="3894" spans="1:4">
      <c r="A3894" s="2">
        <v>207</v>
      </c>
      <c r="B3894" s="2" t="s">
        <v>749</v>
      </c>
      <c r="C3894" s="2" t="s">
        <v>4811</v>
      </c>
      <c r="D3894" s="2"/>
    </row>
    <row r="3895" spans="1:4">
      <c r="A3895" s="3">
        <v>207</v>
      </c>
      <c r="B3895" s="3" t="s">
        <v>749</v>
      </c>
      <c r="C3895" s="3" t="s">
        <v>4812</v>
      </c>
      <c r="D3895" s="3"/>
    </row>
    <row r="3896" spans="1:4">
      <c r="A3896" s="2">
        <v>207</v>
      </c>
      <c r="B3896" s="2" t="s">
        <v>749</v>
      </c>
      <c r="C3896" s="2" t="s">
        <v>4813</v>
      </c>
      <c r="D3896" s="2"/>
    </row>
    <row r="3897" spans="1:4">
      <c r="A3897" s="3">
        <v>207</v>
      </c>
      <c r="B3897" s="3" t="s">
        <v>749</v>
      </c>
      <c r="C3897" s="3" t="s">
        <v>4815</v>
      </c>
      <c r="D3897" s="3"/>
    </row>
    <row r="3898" spans="1:4">
      <c r="A3898" s="2">
        <v>209</v>
      </c>
      <c r="B3898" s="2" t="s">
        <v>758</v>
      </c>
      <c r="C3898" s="2" t="s">
        <v>4816</v>
      </c>
      <c r="D3898" s="2"/>
    </row>
    <row r="3899" spans="1:4">
      <c r="A3899" s="3">
        <v>209</v>
      </c>
      <c r="B3899" s="3" t="s">
        <v>758</v>
      </c>
      <c r="C3899" s="3" t="s">
        <v>4817</v>
      </c>
      <c r="D3899" s="3"/>
    </row>
    <row r="3900" spans="1:4">
      <c r="A3900" s="2">
        <v>209</v>
      </c>
      <c r="B3900" s="2" t="s">
        <v>758</v>
      </c>
      <c r="C3900" s="2" t="s">
        <v>4818</v>
      </c>
      <c r="D3900" s="2"/>
    </row>
    <row r="3901" spans="1:4">
      <c r="A3901" s="3">
        <v>209</v>
      </c>
      <c r="B3901" s="3" t="s">
        <v>758</v>
      </c>
      <c r="C3901" s="3" t="s">
        <v>4819</v>
      </c>
      <c r="D3901" s="3"/>
    </row>
    <row r="3902" spans="1:4">
      <c r="A3902" s="2">
        <v>209</v>
      </c>
      <c r="B3902" s="2" t="s">
        <v>758</v>
      </c>
      <c r="C3902" s="2" t="s">
        <v>4820</v>
      </c>
      <c r="D3902" s="2"/>
    </row>
    <row r="3903" spans="1:4">
      <c r="A3903" s="3">
        <v>209</v>
      </c>
      <c r="B3903" s="3" t="s">
        <v>758</v>
      </c>
      <c r="C3903" s="3" t="s">
        <v>4821</v>
      </c>
      <c r="D3903" s="3"/>
    </row>
    <row r="3904" spans="1:4">
      <c r="A3904" s="2">
        <v>209</v>
      </c>
      <c r="B3904" s="2" t="s">
        <v>758</v>
      </c>
      <c r="C3904" s="2" t="s">
        <v>4822</v>
      </c>
      <c r="D3904" s="2"/>
    </row>
    <row r="3905" spans="1:4">
      <c r="A3905" s="3">
        <v>209</v>
      </c>
      <c r="B3905" s="3" t="s">
        <v>758</v>
      </c>
      <c r="C3905" s="3" t="s">
        <v>4823</v>
      </c>
      <c r="D3905" s="3"/>
    </row>
    <row r="3906" spans="1:4">
      <c r="A3906" s="2">
        <v>209</v>
      </c>
      <c r="B3906" s="2" t="s">
        <v>758</v>
      </c>
      <c r="C3906" s="2" t="s">
        <v>4824</v>
      </c>
      <c r="D3906" s="2"/>
    </row>
    <row r="3907" spans="1:4">
      <c r="A3907" s="3">
        <v>209</v>
      </c>
      <c r="B3907" s="3" t="s">
        <v>758</v>
      </c>
      <c r="C3907" s="3" t="s">
        <v>4825</v>
      </c>
      <c r="D3907" s="3"/>
    </row>
    <row r="3908" spans="1:4">
      <c r="A3908" s="2">
        <v>209</v>
      </c>
      <c r="B3908" s="2" t="s">
        <v>758</v>
      </c>
      <c r="C3908" s="2" t="s">
        <v>4826</v>
      </c>
      <c r="D3908" s="2"/>
    </row>
    <row r="3909" spans="1:4">
      <c r="A3909" s="3">
        <v>209</v>
      </c>
      <c r="B3909" s="3" t="s">
        <v>758</v>
      </c>
      <c r="C3909" s="3" t="s">
        <v>4827</v>
      </c>
      <c r="D3909" s="3"/>
    </row>
    <row r="3910" spans="1:4">
      <c r="A3910" s="2">
        <v>209</v>
      </c>
      <c r="B3910" s="2" t="s">
        <v>758</v>
      </c>
      <c r="C3910" s="2" t="s">
        <v>4828</v>
      </c>
      <c r="D3910" s="2"/>
    </row>
    <row r="3911" spans="1:4">
      <c r="A3911" s="3">
        <v>209</v>
      </c>
      <c r="B3911" s="3" t="s">
        <v>758</v>
      </c>
      <c r="C3911" s="3" t="s">
        <v>4829</v>
      </c>
      <c r="D3911" s="3"/>
    </row>
    <row r="3912" spans="1:4">
      <c r="A3912" s="2">
        <v>209</v>
      </c>
      <c r="B3912" s="2" t="s">
        <v>758</v>
      </c>
      <c r="C3912" s="2" t="s">
        <v>4830</v>
      </c>
      <c r="D3912" s="2"/>
    </row>
    <row r="3913" spans="1:4">
      <c r="A3913" s="3">
        <v>209</v>
      </c>
      <c r="B3913" s="3" t="s">
        <v>758</v>
      </c>
      <c r="C3913" s="3" t="s">
        <v>4831</v>
      </c>
      <c r="D3913" s="3"/>
    </row>
    <row r="3914" spans="1:4">
      <c r="A3914" s="2">
        <v>209</v>
      </c>
      <c r="B3914" s="2" t="s">
        <v>758</v>
      </c>
      <c r="C3914" s="2" t="s">
        <v>4832</v>
      </c>
      <c r="D3914" s="2"/>
    </row>
    <row r="3915" spans="1:4">
      <c r="A3915" s="3">
        <v>209</v>
      </c>
      <c r="B3915" s="3" t="s">
        <v>758</v>
      </c>
      <c r="C3915" s="3" t="s">
        <v>4833</v>
      </c>
      <c r="D3915" s="3"/>
    </row>
    <row r="3916" spans="1:4">
      <c r="A3916" s="2">
        <v>209</v>
      </c>
      <c r="B3916" s="2" t="s">
        <v>758</v>
      </c>
      <c r="C3916" s="2" t="s">
        <v>4834</v>
      </c>
      <c r="D3916" s="2"/>
    </row>
    <row r="3917" spans="1:4">
      <c r="A3917" s="3">
        <v>209</v>
      </c>
      <c r="B3917" s="3" t="s">
        <v>758</v>
      </c>
      <c r="C3917" s="3" t="s">
        <v>4835</v>
      </c>
      <c r="D3917" s="3"/>
    </row>
    <row r="3918" spans="1:4">
      <c r="A3918" s="2">
        <v>209</v>
      </c>
      <c r="B3918" s="2" t="s">
        <v>758</v>
      </c>
      <c r="C3918" s="2" t="s">
        <v>4836</v>
      </c>
      <c r="D3918" s="2"/>
    </row>
    <row r="3919" spans="1:4">
      <c r="A3919" s="3">
        <v>209</v>
      </c>
      <c r="B3919" s="3" t="s">
        <v>758</v>
      </c>
      <c r="C3919" s="3" t="s">
        <v>4837</v>
      </c>
      <c r="D3919" s="3"/>
    </row>
    <row r="3920" spans="1:4">
      <c r="A3920" s="2">
        <v>214</v>
      </c>
      <c r="B3920" s="2" t="s">
        <v>870</v>
      </c>
      <c r="C3920" s="2" t="s">
        <v>4838</v>
      </c>
      <c r="D3920" s="2"/>
    </row>
    <row r="3921" spans="1:4">
      <c r="A3921" s="3">
        <v>214</v>
      </c>
      <c r="B3921" s="3" t="s">
        <v>870</v>
      </c>
      <c r="C3921" s="3" t="s">
        <v>4839</v>
      </c>
      <c r="D3921" s="3"/>
    </row>
    <row r="3922" spans="1:4">
      <c r="A3922" s="2">
        <v>214</v>
      </c>
      <c r="B3922" s="2" t="s">
        <v>870</v>
      </c>
      <c r="C3922" s="2" t="s">
        <v>4840</v>
      </c>
      <c r="D3922" s="2"/>
    </row>
    <row r="3923" spans="1:4">
      <c r="A3923" s="3">
        <v>214</v>
      </c>
      <c r="B3923" s="3" t="s">
        <v>870</v>
      </c>
      <c r="C3923" s="3" t="s">
        <v>4841</v>
      </c>
      <c r="D3923" s="3"/>
    </row>
    <row r="3924" spans="1:4">
      <c r="A3924" s="2">
        <v>214</v>
      </c>
      <c r="B3924" s="2" t="s">
        <v>870</v>
      </c>
      <c r="C3924" s="2" t="s">
        <v>4842</v>
      </c>
      <c r="D3924" s="2"/>
    </row>
    <row r="3925" spans="1:4">
      <c r="A3925" s="3">
        <v>214</v>
      </c>
      <c r="B3925" s="3" t="s">
        <v>870</v>
      </c>
      <c r="C3925" s="3">
        <f>1019m3,additional momentum lossduetoreso- servedfastretardation atlowgasdensities(rig=1017</f>
        <v>0</v>
      </c>
      <c r="D3925" s="3"/>
    </row>
    <row r="3926" spans="1:4">
      <c r="A3926" s="2">
        <v>214</v>
      </c>
      <c r="B3926" s="2" t="s">
        <v>870</v>
      </c>
      <c r="C3926" s="2" t="s">
        <v>4843</v>
      </c>
      <c r="D3926" s="2"/>
    </row>
    <row r="3927" spans="1:4">
      <c r="A3927" s="3">
        <v>214</v>
      </c>
      <c r="B3927" s="3" t="s">
        <v>870</v>
      </c>
      <c r="C3927" s="3" t="s">
        <v>4844</v>
      </c>
      <c r="D3927" s="3"/>
    </row>
    <row r="3928" spans="1:4">
      <c r="A3928" s="2">
        <v>215</v>
      </c>
      <c r="B3928" s="2" t="s">
        <v>844</v>
      </c>
      <c r="C3928" s="2" t="s">
        <v>4845</v>
      </c>
      <c r="D3928" s="2"/>
    </row>
    <row r="3929" spans="1:4">
      <c r="A3929" s="3">
        <v>216</v>
      </c>
      <c r="B3929" s="3"/>
      <c r="C3929" s="3" t="s">
        <v>4846</v>
      </c>
      <c r="D3929" s="3"/>
    </row>
    <row r="3930" spans="1:4">
      <c r="A3930" s="2">
        <v>216</v>
      </c>
      <c r="B3930" s="2"/>
      <c r="C3930" s="2" t="s">
        <v>4847</v>
      </c>
      <c r="D3930" s="2"/>
    </row>
    <row r="3931" spans="1:4">
      <c r="A3931" s="3">
        <v>216</v>
      </c>
      <c r="B3931" s="3"/>
      <c r="C3931" s="3" t="s">
        <v>4848</v>
      </c>
      <c r="D3931" s="3"/>
    </row>
    <row r="3932" spans="1:4">
      <c r="A3932" s="2">
        <v>216</v>
      </c>
      <c r="B3932" s="2"/>
      <c r="C3932" s="2" t="s">
        <v>4849</v>
      </c>
      <c r="D3932" s="2"/>
    </row>
    <row r="3933" spans="1:4">
      <c r="A3933" s="3">
        <v>218</v>
      </c>
      <c r="B3933" s="3" t="s">
        <v>789</v>
      </c>
      <c r="C3933" s="3" t="s">
        <v>4850</v>
      </c>
      <c r="D3933" s="3"/>
    </row>
    <row r="3934" spans="1:4">
      <c r="A3934" s="2">
        <v>218</v>
      </c>
      <c r="B3934" s="2" t="s">
        <v>789</v>
      </c>
      <c r="C3934" s="2" t="s">
        <v>4851</v>
      </c>
      <c r="D3934" s="2"/>
    </row>
    <row r="3935" spans="1:4">
      <c r="A3935" s="3">
        <v>219</v>
      </c>
      <c r="B3935" s="3" t="s">
        <v>822</v>
      </c>
      <c r="C3935" s="3" t="s">
        <v>4852</v>
      </c>
      <c r="D3935" s="3"/>
    </row>
    <row r="3936" spans="1:4">
      <c r="A3936" s="2">
        <v>219</v>
      </c>
      <c r="B3936" s="2" t="s">
        <v>822</v>
      </c>
      <c r="C3936" s="2" t="s">
        <v>4853</v>
      </c>
      <c r="D3936" s="2"/>
    </row>
    <row r="3937" spans="1:4">
      <c r="A3937" s="3">
        <v>219</v>
      </c>
      <c r="B3937" s="3" t="s">
        <v>822</v>
      </c>
      <c r="C3937" s="3" t="s">
        <v>4854</v>
      </c>
      <c r="D3937" s="3"/>
    </row>
    <row r="3938" spans="1:4">
      <c r="A3938" s="2">
        <v>219</v>
      </c>
      <c r="B3938" s="2" t="s">
        <v>822</v>
      </c>
      <c r="C3938" s="2" t="s">
        <v>4855</v>
      </c>
      <c r="D3938" s="2"/>
    </row>
    <row r="3939" spans="1:4">
      <c r="A3939" s="3">
        <v>219</v>
      </c>
      <c r="B3939" s="3" t="s">
        <v>822</v>
      </c>
      <c r="C3939" s="3" t="s">
        <v>4856</v>
      </c>
      <c r="D3939" s="3"/>
    </row>
    <row r="3940" spans="1:4">
      <c r="A3940" s="2">
        <v>219</v>
      </c>
      <c r="B3940" s="2" t="s">
        <v>822</v>
      </c>
      <c r="C3940" s="2" t="s">
        <v>4857</v>
      </c>
      <c r="D3940" s="2"/>
    </row>
    <row r="3941" spans="1:4">
      <c r="A3941" s="3">
        <v>219</v>
      </c>
      <c r="B3941" s="3" t="s">
        <v>822</v>
      </c>
      <c r="C3941" s="3" t="s">
        <v>4858</v>
      </c>
      <c r="D3941" s="3"/>
    </row>
    <row r="3942" spans="1:4">
      <c r="A3942" s="2">
        <v>219</v>
      </c>
      <c r="B3942" s="2" t="s">
        <v>822</v>
      </c>
      <c r="C3942" s="2" t="s">
        <v>4859</v>
      </c>
      <c r="D3942" s="2"/>
    </row>
    <row r="3943" spans="1:4">
      <c r="A3943" s="3">
        <v>220</v>
      </c>
      <c r="B3943" s="3" t="s">
        <v>810</v>
      </c>
      <c r="C3943" s="3" t="s">
        <v>4860</v>
      </c>
      <c r="D3943" s="3"/>
    </row>
    <row r="3944" spans="1:4">
      <c r="A3944" s="2">
        <v>220</v>
      </c>
      <c r="B3944" s="2" t="s">
        <v>810</v>
      </c>
      <c r="C3944" s="2" t="s">
        <v>4861</v>
      </c>
      <c r="D3944" s="2"/>
    </row>
    <row r="3945" spans="1:4">
      <c r="A3945" s="3">
        <v>220</v>
      </c>
      <c r="B3945" s="3" t="s">
        <v>810</v>
      </c>
      <c r="C3945" s="3" t="s">
        <v>4862</v>
      </c>
      <c r="D3945" s="3"/>
    </row>
    <row r="3946" spans="1:4">
      <c r="A3946" s="2">
        <v>220</v>
      </c>
      <c r="B3946" s="2" t="s">
        <v>810</v>
      </c>
      <c r="C3946" s="2" t="s">
        <v>4863</v>
      </c>
      <c r="D3946" s="2"/>
    </row>
    <row r="3947" spans="1:4">
      <c r="A3947" s="3">
        <v>222</v>
      </c>
      <c r="B3947" s="3" t="s">
        <v>864</v>
      </c>
      <c r="C3947" s="3" t="s">
        <v>4864</v>
      </c>
      <c r="D3947" s="3"/>
    </row>
    <row r="3948" spans="1:4">
      <c r="A3948" s="2">
        <v>223</v>
      </c>
      <c r="B3948" s="2" t="s">
        <v>943</v>
      </c>
      <c r="C3948" s="2" t="s">
        <v>4865</v>
      </c>
      <c r="D3948" s="2"/>
    </row>
    <row r="3949" spans="1:4">
      <c r="A3949" s="3">
        <v>223</v>
      </c>
      <c r="B3949" s="3" t="s">
        <v>943</v>
      </c>
      <c r="C3949" s="3" t="s">
        <v>4866</v>
      </c>
      <c r="D3949" s="3"/>
    </row>
    <row r="3950" spans="1:4">
      <c r="A3950" s="2">
        <v>223</v>
      </c>
      <c r="B3950" s="2" t="s">
        <v>943</v>
      </c>
      <c r="C3950" s="2" t="s">
        <v>4867</v>
      </c>
      <c r="D3950" s="2"/>
    </row>
    <row r="3951" spans="1:4">
      <c r="A3951" s="3">
        <v>223</v>
      </c>
      <c r="B3951" s="3" t="s">
        <v>943</v>
      </c>
      <c r="C3951" s="3" t="s">
        <v>4868</v>
      </c>
      <c r="D3951" s="3"/>
    </row>
    <row r="3952" spans="1:4">
      <c r="A3952" s="2">
        <v>223</v>
      </c>
      <c r="B3952" s="2" t="s">
        <v>943</v>
      </c>
      <c r="C3952" s="2" t="s">
        <v>4869</v>
      </c>
      <c r="D3952" s="2"/>
    </row>
    <row r="3953" spans="1:4">
      <c r="A3953" s="3">
        <v>223</v>
      </c>
      <c r="B3953" s="3" t="s">
        <v>943</v>
      </c>
      <c r="C3953" s="3" t="s">
        <v>4870</v>
      </c>
      <c r="D3953" s="3"/>
    </row>
    <row r="3954" spans="1:4">
      <c r="A3954" s="2">
        <v>223</v>
      </c>
      <c r="B3954" s="2" t="s">
        <v>943</v>
      </c>
      <c r="C3954" s="2" t="s">
        <v>4871</v>
      </c>
      <c r="D3954" s="2"/>
    </row>
    <row r="3955" spans="1:4">
      <c r="A3955" s="3">
        <v>223</v>
      </c>
      <c r="B3955" s="3" t="s">
        <v>943</v>
      </c>
      <c r="C3955" s="3" t="s">
        <v>4872</v>
      </c>
      <c r="D3955" s="3"/>
    </row>
    <row r="3956" spans="1:4">
      <c r="A3956" s="2">
        <v>223</v>
      </c>
      <c r="B3956" s="2" t="s">
        <v>943</v>
      </c>
      <c r="C3956" s="2" t="s">
        <v>4873</v>
      </c>
      <c r="D3956" s="2"/>
    </row>
    <row r="3957" spans="1:4">
      <c r="A3957" s="3">
        <v>223</v>
      </c>
      <c r="B3957" s="3" t="s">
        <v>943</v>
      </c>
      <c r="C3957" s="3" t="s">
        <v>4874</v>
      </c>
      <c r="D3957" s="3"/>
    </row>
    <row r="3958" spans="1:4">
      <c r="A3958" s="2">
        <v>223</v>
      </c>
      <c r="B3958" s="2" t="s">
        <v>943</v>
      </c>
      <c r="C3958" s="2" t="s">
        <v>4875</v>
      </c>
      <c r="D3958" s="2"/>
    </row>
    <row r="3959" spans="1:4">
      <c r="A3959" s="3">
        <v>223</v>
      </c>
      <c r="B3959" s="3" t="s">
        <v>943</v>
      </c>
      <c r="C3959" s="3" t="s">
        <v>4876</v>
      </c>
      <c r="D3959" s="3"/>
    </row>
    <row r="3960" spans="1:4">
      <c r="A3960" s="2">
        <v>223</v>
      </c>
      <c r="B3960" s="2" t="s">
        <v>943</v>
      </c>
      <c r="C3960" s="2" t="s">
        <v>4877</v>
      </c>
      <c r="D3960" s="2"/>
    </row>
    <row r="3961" spans="1:4">
      <c r="A3961" s="3">
        <v>223</v>
      </c>
      <c r="B3961" s="3" t="s">
        <v>943</v>
      </c>
      <c r="C3961" s="3" t="s">
        <v>4878</v>
      </c>
      <c r="D3961" s="3"/>
    </row>
    <row r="3962" spans="1:4">
      <c r="A3962" s="2">
        <v>223</v>
      </c>
      <c r="B3962" s="2" t="s">
        <v>943</v>
      </c>
      <c r="C3962" s="2" t="s">
        <v>4879</v>
      </c>
      <c r="D3962" s="2"/>
    </row>
    <row r="3963" spans="1:4">
      <c r="A3963" s="3">
        <v>224</v>
      </c>
      <c r="B3963" s="3" t="s">
        <v>942</v>
      </c>
      <c r="C3963" s="3" t="s">
        <v>4880</v>
      </c>
      <c r="D3963" s="3"/>
    </row>
    <row r="3964" spans="1:4">
      <c r="A3964" s="2">
        <v>224</v>
      </c>
      <c r="B3964" s="2" t="s">
        <v>942</v>
      </c>
      <c r="C3964" s="2" t="s">
        <v>4881</v>
      </c>
      <c r="D3964" s="2"/>
    </row>
    <row r="3965" spans="1:4">
      <c r="A3965" s="3">
        <v>224</v>
      </c>
      <c r="B3965" s="3" t="s">
        <v>942</v>
      </c>
      <c r="C3965" s="3" t="s">
        <v>4882</v>
      </c>
      <c r="D3965" s="3"/>
    </row>
    <row r="3966" spans="1:4">
      <c r="A3966" s="2">
        <v>226</v>
      </c>
      <c r="B3966" s="2" t="s">
        <v>893</v>
      </c>
      <c r="C3966" s="2" t="s">
        <v>4883</v>
      </c>
      <c r="D3966" s="2"/>
    </row>
    <row r="3967" spans="1:4">
      <c r="A3967" s="3">
        <v>226</v>
      </c>
      <c r="B3967" s="3" t="s">
        <v>893</v>
      </c>
      <c r="C3967" s="3" t="s">
        <v>4884</v>
      </c>
      <c r="D3967" s="3"/>
    </row>
    <row r="3968" spans="1:4">
      <c r="A3968" s="2">
        <v>226</v>
      </c>
      <c r="B3968" s="2" t="s">
        <v>893</v>
      </c>
      <c r="C3968" s="2" t="s">
        <v>4885</v>
      </c>
      <c r="D3968" s="2"/>
    </row>
    <row r="3969" spans="1:4">
      <c r="A3969" s="3">
        <v>226</v>
      </c>
      <c r="B3969" s="3" t="s">
        <v>893</v>
      </c>
      <c r="C3969" s="3" t="s">
        <v>4886</v>
      </c>
      <c r="D3969" s="3"/>
    </row>
    <row r="3970" spans="1:4">
      <c r="A3970" s="2">
        <v>226</v>
      </c>
      <c r="B3970" s="2" t="s">
        <v>893</v>
      </c>
      <c r="C3970" s="2" t="s">
        <v>4887</v>
      </c>
      <c r="D3970" s="2"/>
    </row>
    <row r="3971" spans="1:4">
      <c r="A3971" s="3">
        <v>226</v>
      </c>
      <c r="B3971" s="3" t="s">
        <v>893</v>
      </c>
      <c r="C3971" s="3" t="s">
        <v>4888</v>
      </c>
      <c r="D3971" s="3"/>
    </row>
    <row r="3972" spans="1:4">
      <c r="A3972" s="2">
        <v>226</v>
      </c>
      <c r="B3972" s="2" t="s">
        <v>893</v>
      </c>
      <c r="C3972" s="2" t="s">
        <v>4889</v>
      </c>
      <c r="D3972" s="2"/>
    </row>
    <row r="3973" spans="1:4">
      <c r="A3973" s="3">
        <v>226</v>
      </c>
      <c r="B3973" s="3" t="s">
        <v>893</v>
      </c>
      <c r="C3973" s="3" t="s">
        <v>4890</v>
      </c>
      <c r="D3973" s="3"/>
    </row>
    <row r="3974" spans="1:4">
      <c r="A3974" s="2">
        <v>226</v>
      </c>
      <c r="B3974" s="2" t="s">
        <v>893</v>
      </c>
      <c r="C3974" s="2" t="s">
        <v>4891</v>
      </c>
      <c r="D3974" s="2"/>
    </row>
    <row r="3975" spans="1:4">
      <c r="A3975" s="3">
        <v>226</v>
      </c>
      <c r="B3975" s="3" t="s">
        <v>893</v>
      </c>
      <c r="C3975" s="3" t="s">
        <v>4892</v>
      </c>
      <c r="D3975" s="3"/>
    </row>
    <row r="3976" spans="1:4">
      <c r="A3976" s="2">
        <v>226</v>
      </c>
      <c r="B3976" s="2" t="s">
        <v>893</v>
      </c>
      <c r="C3976" s="2" t="s">
        <v>4893</v>
      </c>
      <c r="D3976" s="2"/>
    </row>
    <row r="3977" spans="1:4">
      <c r="A3977" s="3">
        <v>226</v>
      </c>
      <c r="B3977" s="3" t="s">
        <v>893</v>
      </c>
      <c r="C3977" s="3" t="s">
        <v>4894</v>
      </c>
      <c r="D3977" s="3"/>
    </row>
    <row r="3978" spans="1:4">
      <c r="A3978" s="2">
        <v>226</v>
      </c>
      <c r="B3978" s="2" t="s">
        <v>893</v>
      </c>
      <c r="C3978" s="2" t="s">
        <v>4895</v>
      </c>
      <c r="D3978" s="2"/>
    </row>
    <row r="3979" spans="1:4">
      <c r="A3979" s="3">
        <v>226</v>
      </c>
      <c r="B3979" s="3" t="s">
        <v>893</v>
      </c>
      <c r="C3979" s="3" t="s">
        <v>4896</v>
      </c>
      <c r="D3979" s="3"/>
    </row>
    <row r="3980" spans="1:4">
      <c r="A3980" s="2">
        <v>226</v>
      </c>
      <c r="B3980" s="2" t="s">
        <v>893</v>
      </c>
      <c r="C3980" s="2" t="s">
        <v>4897</v>
      </c>
      <c r="D3980" s="2"/>
    </row>
    <row r="3981" spans="1:4">
      <c r="A3981" s="3">
        <v>226</v>
      </c>
      <c r="B3981" s="3" t="s">
        <v>893</v>
      </c>
      <c r="C3981" s="3" t="s">
        <v>4898</v>
      </c>
      <c r="D3981" s="3"/>
    </row>
    <row r="3982" spans="1:4">
      <c r="A3982" s="2">
        <v>226</v>
      </c>
      <c r="B3982" s="2" t="s">
        <v>893</v>
      </c>
      <c r="C3982" s="2" t="s">
        <v>4899</v>
      </c>
      <c r="D3982" s="2"/>
    </row>
    <row r="3983" spans="1:4">
      <c r="A3983" s="3">
        <v>227</v>
      </c>
      <c r="B3983" s="3" t="s">
        <v>938</v>
      </c>
      <c r="C3983" s="3" t="s">
        <v>4900</v>
      </c>
      <c r="D3983" s="3"/>
    </row>
    <row r="3984" spans="1:4">
      <c r="A3984" s="2">
        <v>227</v>
      </c>
      <c r="B3984" s="2" t="s">
        <v>938</v>
      </c>
      <c r="C3984" s="2" t="s">
        <v>4901</v>
      </c>
      <c r="D3984" s="2"/>
    </row>
    <row r="3985" spans="1:4">
      <c r="A3985" s="3">
        <v>227</v>
      </c>
      <c r="B3985" s="3" t="s">
        <v>938</v>
      </c>
      <c r="C3985" s="3" t="s">
        <v>4902</v>
      </c>
      <c r="D3985" s="3"/>
    </row>
    <row r="3986" spans="1:4">
      <c r="A3986" s="2">
        <v>227</v>
      </c>
      <c r="B3986" s="2" t="s">
        <v>938</v>
      </c>
      <c r="C3986" s="2" t="s">
        <v>4903</v>
      </c>
      <c r="D3986" s="2"/>
    </row>
    <row r="3987" spans="1:4">
      <c r="A3987" s="3">
        <v>227</v>
      </c>
      <c r="B3987" s="3" t="s">
        <v>938</v>
      </c>
      <c r="C3987" s="3" t="s">
        <v>4904</v>
      </c>
      <c r="D3987" s="3"/>
    </row>
    <row r="3988" spans="1:4">
      <c r="A3988" s="2">
        <v>227</v>
      </c>
      <c r="B3988" s="2" t="s">
        <v>938</v>
      </c>
      <c r="C3988" s="2" t="s">
        <v>4905</v>
      </c>
      <c r="D3988" s="2"/>
    </row>
    <row r="3989" spans="1:4">
      <c r="A3989" s="3">
        <v>227</v>
      </c>
      <c r="B3989" s="3" t="s">
        <v>938</v>
      </c>
      <c r="C3989" s="3" t="s">
        <v>4906</v>
      </c>
      <c r="D3989" s="3"/>
    </row>
    <row r="3990" spans="1:4">
      <c r="A3990" s="2">
        <v>230</v>
      </c>
      <c r="B3990" s="2" t="s">
        <v>920</v>
      </c>
      <c r="C3990" s="2" t="s">
        <v>4907</v>
      </c>
      <c r="D3990" s="2"/>
    </row>
    <row r="3991" spans="1:4">
      <c r="A3991" s="3">
        <v>231</v>
      </c>
      <c r="B3991" s="3" t="s">
        <v>923</v>
      </c>
      <c r="C3991" s="3" t="s">
        <v>4908</v>
      </c>
      <c r="D3991" s="3"/>
    </row>
    <row r="3992" spans="1:4">
      <c r="A3992" s="2">
        <v>231</v>
      </c>
      <c r="B3992" s="2" t="s">
        <v>923</v>
      </c>
      <c r="C3992" s="2" t="s">
        <v>4909</v>
      </c>
      <c r="D3992" s="2"/>
    </row>
    <row r="3993" spans="1:4">
      <c r="A3993" s="3">
        <v>231</v>
      </c>
      <c r="B3993" s="3" t="s">
        <v>923</v>
      </c>
      <c r="C3993" s="3" t="s">
        <v>4910</v>
      </c>
      <c r="D3993" s="3"/>
    </row>
    <row r="3994" spans="1:4">
      <c r="A3994" s="2">
        <v>231</v>
      </c>
      <c r="B3994" s="2" t="s">
        <v>923</v>
      </c>
      <c r="C3994" s="2" t="s">
        <v>4911</v>
      </c>
      <c r="D3994" s="2"/>
    </row>
    <row r="3995" spans="1:4">
      <c r="A3995" s="3">
        <v>231</v>
      </c>
      <c r="B3995" s="3" t="s">
        <v>923</v>
      </c>
      <c r="C3995" s="3" t="s">
        <v>4912</v>
      </c>
      <c r="D3995" s="3"/>
    </row>
    <row r="3996" spans="1:4">
      <c r="A3996" s="2">
        <v>231</v>
      </c>
      <c r="B3996" s="2" t="s">
        <v>923</v>
      </c>
      <c r="C3996" s="2" t="s">
        <v>4913</v>
      </c>
      <c r="D3996" s="2"/>
    </row>
    <row r="3997" spans="1:4">
      <c r="A3997" s="3">
        <v>231</v>
      </c>
      <c r="B3997" s="3" t="s">
        <v>923</v>
      </c>
      <c r="C3997" s="3" t="s">
        <v>4914</v>
      </c>
      <c r="D3997" s="3"/>
    </row>
    <row r="3998" spans="1:4">
      <c r="A3998" s="2">
        <v>231</v>
      </c>
      <c r="B3998" s="2" t="s">
        <v>923</v>
      </c>
      <c r="C3998" s="2" t="s">
        <v>4915</v>
      </c>
      <c r="D3998" s="2"/>
    </row>
    <row r="3999" spans="1:4">
      <c r="A3999" s="3">
        <v>231</v>
      </c>
      <c r="B3999" s="3" t="s">
        <v>923</v>
      </c>
      <c r="C3999" s="3" t="s">
        <v>4916</v>
      </c>
      <c r="D3999" s="3"/>
    </row>
    <row r="4000" spans="1:4">
      <c r="A4000" s="2">
        <v>231</v>
      </c>
      <c r="B4000" s="2" t="s">
        <v>923</v>
      </c>
      <c r="C4000" s="2" t="s">
        <v>4917</v>
      </c>
      <c r="D4000" s="2"/>
    </row>
    <row r="4001" spans="1:4">
      <c r="A4001" s="3">
        <v>231</v>
      </c>
      <c r="B4001" s="3" t="s">
        <v>923</v>
      </c>
      <c r="C4001" s="3" t="s">
        <v>4918</v>
      </c>
      <c r="D4001" s="3"/>
    </row>
    <row r="4002" spans="1:4">
      <c r="A4002" s="2">
        <v>231</v>
      </c>
      <c r="B4002" s="2" t="s">
        <v>923</v>
      </c>
      <c r="C4002" s="2" t="s">
        <v>4919</v>
      </c>
      <c r="D4002" s="2"/>
    </row>
    <row r="4003" spans="1:4">
      <c r="A4003" s="3">
        <v>232</v>
      </c>
      <c r="B4003" s="3" t="s">
        <v>933</v>
      </c>
      <c r="C4003" s="3" t="s">
        <v>4920</v>
      </c>
      <c r="D4003" s="3"/>
    </row>
    <row r="4004" spans="1:4">
      <c r="A4004" s="2">
        <v>232</v>
      </c>
      <c r="B4004" s="2" t="s">
        <v>933</v>
      </c>
      <c r="C4004" s="2" t="s">
        <v>4921</v>
      </c>
      <c r="D4004" s="2"/>
    </row>
    <row r="4005" spans="1:4">
      <c r="A4005" s="3">
        <v>232</v>
      </c>
      <c r="B4005" s="3" t="s">
        <v>933</v>
      </c>
      <c r="C4005" s="3" t="s">
        <v>4922</v>
      </c>
      <c r="D4005" s="3"/>
    </row>
    <row r="4006" spans="1:4">
      <c r="A4006" s="2">
        <v>232</v>
      </c>
      <c r="B4006" s="2" t="s">
        <v>933</v>
      </c>
      <c r="C4006" s="2" t="s">
        <v>4923</v>
      </c>
      <c r="D4006" s="2"/>
    </row>
    <row r="4007" spans="1:4">
      <c r="A4007" s="3">
        <v>232</v>
      </c>
      <c r="B4007" s="3" t="s">
        <v>933</v>
      </c>
      <c r="C4007" s="3" t="s">
        <v>4924</v>
      </c>
      <c r="D4007" s="3"/>
    </row>
    <row r="4008" spans="1:4">
      <c r="A4008" s="2">
        <v>232</v>
      </c>
      <c r="B4008" s="2" t="s">
        <v>933</v>
      </c>
      <c r="C4008" s="2" t="s">
        <v>4925</v>
      </c>
      <c r="D4008" s="2"/>
    </row>
    <row r="4009" spans="1:4">
      <c r="A4009" s="3">
        <v>232</v>
      </c>
      <c r="B4009" s="3" t="s">
        <v>933</v>
      </c>
      <c r="C4009" s="3" t="s">
        <v>4926</v>
      </c>
      <c r="D4009" s="3"/>
    </row>
    <row r="4010" spans="1:4">
      <c r="A4010" s="2">
        <v>232</v>
      </c>
      <c r="B4010" s="2" t="s">
        <v>933</v>
      </c>
      <c r="C4010" s="2" t="s">
        <v>4927</v>
      </c>
      <c r="D4010" s="2"/>
    </row>
    <row r="4011" spans="1:4">
      <c r="A4011" s="3">
        <v>232</v>
      </c>
      <c r="B4011" s="3" t="s">
        <v>933</v>
      </c>
      <c r="C4011" s="3" t="s">
        <v>4928</v>
      </c>
      <c r="D4011" s="3"/>
    </row>
    <row r="4012" spans="1:4">
      <c r="A4012" s="2">
        <v>232</v>
      </c>
      <c r="B4012" s="2" t="s">
        <v>933</v>
      </c>
      <c r="C4012" s="2" t="s">
        <v>4929</v>
      </c>
      <c r="D4012" s="2"/>
    </row>
    <row r="4013" spans="1:4">
      <c r="A4013" s="3">
        <v>232</v>
      </c>
      <c r="B4013" s="3" t="s">
        <v>933</v>
      </c>
      <c r="C4013" s="3" t="s">
        <v>4930</v>
      </c>
      <c r="D4013" s="3"/>
    </row>
    <row r="4014" spans="1:4">
      <c r="A4014" s="2">
        <v>232</v>
      </c>
      <c r="B4014" s="2" t="s">
        <v>933</v>
      </c>
      <c r="C4014" s="2" t="s">
        <v>4931</v>
      </c>
      <c r="D4014" s="2"/>
    </row>
    <row r="4015" spans="1:4">
      <c r="A4015" s="3">
        <v>232</v>
      </c>
      <c r="B4015" s="3" t="s">
        <v>933</v>
      </c>
      <c r="C4015" s="3" t="s">
        <v>4932</v>
      </c>
      <c r="D4015" s="3"/>
    </row>
    <row r="4016" spans="1:4">
      <c r="A4016" s="2">
        <v>232</v>
      </c>
      <c r="B4016" s="2" t="s">
        <v>933</v>
      </c>
      <c r="C4016" s="2" t="s">
        <v>4933</v>
      </c>
      <c r="D4016" s="2"/>
    </row>
    <row r="4017" spans="1:4">
      <c r="A4017" s="3">
        <v>232</v>
      </c>
      <c r="B4017" s="3" t="s">
        <v>933</v>
      </c>
      <c r="C4017" s="3" t="s">
        <v>4934</v>
      </c>
      <c r="D4017" s="3"/>
    </row>
    <row r="4018" spans="1:4">
      <c r="A4018" s="2">
        <v>232</v>
      </c>
      <c r="B4018" s="2" t="s">
        <v>933</v>
      </c>
      <c r="C4018" s="2" t="s">
        <v>4935</v>
      </c>
      <c r="D4018" s="2"/>
    </row>
    <row r="4019" spans="1:4">
      <c r="A4019" s="3">
        <v>232</v>
      </c>
      <c r="B4019" s="3" t="s">
        <v>933</v>
      </c>
      <c r="C4019" s="3" t="s">
        <v>4936</v>
      </c>
      <c r="D4019" s="3"/>
    </row>
    <row r="4020" spans="1:4">
      <c r="A4020" s="2">
        <v>232</v>
      </c>
      <c r="B4020" s="2" t="s">
        <v>933</v>
      </c>
      <c r="C4020" s="2" t="s">
        <v>4937</v>
      </c>
      <c r="D4020" s="2"/>
    </row>
    <row r="4021" spans="1:4">
      <c r="A4021" s="3">
        <v>232</v>
      </c>
      <c r="B4021" s="3" t="s">
        <v>933</v>
      </c>
      <c r="C4021" s="3" t="s">
        <v>4938</v>
      </c>
      <c r="D4021" s="3"/>
    </row>
    <row r="4022" spans="1:4">
      <c r="A4022" s="2">
        <v>232</v>
      </c>
      <c r="B4022" s="2" t="s">
        <v>933</v>
      </c>
      <c r="C4022" s="2" t="s">
        <v>4939</v>
      </c>
      <c r="D4022" s="2"/>
    </row>
    <row r="4023" spans="1:4">
      <c r="A4023" s="3">
        <v>232</v>
      </c>
      <c r="B4023" s="3" t="s">
        <v>933</v>
      </c>
      <c r="C4023" s="3" t="s">
        <v>4940</v>
      </c>
      <c r="D4023" s="3"/>
    </row>
    <row r="4024" spans="1:4">
      <c r="A4024" s="2">
        <v>232</v>
      </c>
      <c r="B4024" s="2" t="s">
        <v>933</v>
      </c>
      <c r="C4024" s="2" t="s">
        <v>4941</v>
      </c>
      <c r="D4024" s="2"/>
    </row>
    <row r="4025" spans="1:4">
      <c r="A4025" s="3">
        <v>232</v>
      </c>
      <c r="B4025" s="3" t="s">
        <v>933</v>
      </c>
      <c r="C4025" s="3" t="s">
        <v>4942</v>
      </c>
      <c r="D4025" s="3"/>
    </row>
    <row r="4026" spans="1:4">
      <c r="A4026" s="2">
        <v>232</v>
      </c>
      <c r="B4026" s="2" t="s">
        <v>933</v>
      </c>
      <c r="C4026" s="2" t="s">
        <v>4943</v>
      </c>
      <c r="D4026" s="2"/>
    </row>
    <row r="4027" spans="1:4">
      <c r="A4027" s="3">
        <v>232</v>
      </c>
      <c r="B4027" s="3" t="s">
        <v>933</v>
      </c>
      <c r="C4027" s="3" t="s">
        <v>4944</v>
      </c>
      <c r="D4027" s="3"/>
    </row>
    <row r="4028" spans="1:4">
      <c r="A4028" s="2">
        <v>232</v>
      </c>
      <c r="B4028" s="2" t="s">
        <v>933</v>
      </c>
      <c r="C4028" s="2" t="s">
        <v>4945</v>
      </c>
      <c r="D4028" s="2"/>
    </row>
    <row r="4029" spans="1:4">
      <c r="A4029" s="3">
        <v>232</v>
      </c>
      <c r="B4029" s="3" t="s">
        <v>933</v>
      </c>
      <c r="C4029" s="3" t="s">
        <v>4946</v>
      </c>
      <c r="D4029" s="3"/>
    </row>
    <row r="4030" spans="1:4">
      <c r="A4030" s="2">
        <v>232</v>
      </c>
      <c r="B4030" s="2" t="s">
        <v>933</v>
      </c>
      <c r="C4030" s="2" t="s">
        <v>4947</v>
      </c>
      <c r="D4030" s="2"/>
    </row>
    <row r="4031" spans="1:4">
      <c r="A4031" s="3">
        <v>232</v>
      </c>
      <c r="B4031" s="3" t="s">
        <v>933</v>
      </c>
      <c r="C4031" s="3" t="s">
        <v>4948</v>
      </c>
      <c r="D4031" s="3"/>
    </row>
    <row r="4032" spans="1:4">
      <c r="A4032" s="2">
        <v>232</v>
      </c>
      <c r="B4032" s="2" t="s">
        <v>933</v>
      </c>
      <c r="C4032" s="2" t="s">
        <v>4949</v>
      </c>
      <c r="D4032" s="2"/>
    </row>
    <row r="4033" spans="1:4">
      <c r="A4033" s="3">
        <v>232</v>
      </c>
      <c r="B4033" s="3" t="s">
        <v>933</v>
      </c>
      <c r="C4033" s="3" t="s">
        <v>4950</v>
      </c>
      <c r="D4033" s="3"/>
    </row>
    <row r="4034" spans="1:4">
      <c r="A4034" s="2">
        <v>232</v>
      </c>
      <c r="B4034" s="2" t="s">
        <v>933</v>
      </c>
      <c r="C4034" s="2" t="s">
        <v>4951</v>
      </c>
      <c r="D4034" s="2"/>
    </row>
    <row r="4035" spans="1:4">
      <c r="A4035" s="3">
        <v>232</v>
      </c>
      <c r="B4035" s="3" t="s">
        <v>933</v>
      </c>
      <c r="C4035" s="3" t="s">
        <v>4952</v>
      </c>
      <c r="D4035" s="3"/>
    </row>
    <row r="4036" spans="1:4">
      <c r="A4036" s="2">
        <v>232</v>
      </c>
      <c r="B4036" s="2" t="s">
        <v>933</v>
      </c>
      <c r="C4036" s="2" t="s">
        <v>4953</v>
      </c>
      <c r="D4036" s="2"/>
    </row>
    <row r="4037" spans="1:4">
      <c r="A4037" s="3">
        <v>232</v>
      </c>
      <c r="B4037" s="3" t="s">
        <v>933</v>
      </c>
      <c r="C4037" s="3" t="s">
        <v>4954</v>
      </c>
      <c r="D4037" s="3"/>
    </row>
    <row r="4038" spans="1:4">
      <c r="A4038" s="2">
        <v>232</v>
      </c>
      <c r="B4038" s="2" t="s">
        <v>933</v>
      </c>
      <c r="C4038" s="2" t="s">
        <v>4955</v>
      </c>
      <c r="D4038" s="2"/>
    </row>
    <row r="4039" spans="1:4">
      <c r="A4039" s="3">
        <v>232</v>
      </c>
      <c r="B4039" s="3" t="s">
        <v>933</v>
      </c>
      <c r="C4039" s="3" t="s">
        <v>4956</v>
      </c>
      <c r="D4039" s="3"/>
    </row>
    <row r="4040" spans="1:4">
      <c r="A4040" s="2">
        <v>232</v>
      </c>
      <c r="B4040" s="2" t="s">
        <v>933</v>
      </c>
      <c r="C4040" s="2" t="s">
        <v>4957</v>
      </c>
      <c r="D4040" s="2"/>
    </row>
    <row r="4041" spans="1:4">
      <c r="A4041" s="3">
        <v>232</v>
      </c>
      <c r="B4041" s="3" t="s">
        <v>933</v>
      </c>
      <c r="C4041" s="3" t="s">
        <v>4958</v>
      </c>
      <c r="D4041" s="3"/>
    </row>
    <row r="4042" spans="1:4">
      <c r="A4042" s="2">
        <v>232</v>
      </c>
      <c r="B4042" s="2" t="s">
        <v>933</v>
      </c>
      <c r="C4042" s="2" t="s">
        <v>4959</v>
      </c>
      <c r="D4042" s="2"/>
    </row>
    <row r="4043" spans="1:4">
      <c r="A4043" s="3">
        <v>232</v>
      </c>
      <c r="B4043" s="3" t="s">
        <v>933</v>
      </c>
      <c r="C4043" s="3" t="s">
        <v>4960</v>
      </c>
      <c r="D4043" s="3"/>
    </row>
    <row r="4044" spans="1:4">
      <c r="A4044" s="2">
        <v>232</v>
      </c>
      <c r="B4044" s="2" t="s">
        <v>933</v>
      </c>
      <c r="C4044" s="2" t="s">
        <v>4961</v>
      </c>
      <c r="D4044" s="2"/>
    </row>
    <row r="4045" spans="1:4">
      <c r="A4045" s="3">
        <v>233</v>
      </c>
      <c r="B4045" s="3" t="s">
        <v>937</v>
      </c>
      <c r="C4045" s="3" t="s">
        <v>4962</v>
      </c>
      <c r="D4045" s="3"/>
    </row>
    <row r="4046" spans="1:4">
      <c r="A4046" s="2">
        <v>233</v>
      </c>
      <c r="B4046" s="2" t="s">
        <v>937</v>
      </c>
      <c r="C4046" s="2" t="s">
        <v>4963</v>
      </c>
      <c r="D4046" s="2"/>
    </row>
    <row r="4047" spans="1:4">
      <c r="A4047" s="3">
        <v>233</v>
      </c>
      <c r="B4047" s="3" t="s">
        <v>937</v>
      </c>
      <c r="C4047" s="3" t="s">
        <v>4964</v>
      </c>
      <c r="D4047" s="3"/>
    </row>
    <row r="4048" spans="1:4">
      <c r="A4048" s="2">
        <v>233</v>
      </c>
      <c r="B4048" s="2" t="s">
        <v>937</v>
      </c>
      <c r="C4048" s="2" t="s">
        <v>4965</v>
      </c>
      <c r="D4048" s="2"/>
    </row>
    <row r="4049" spans="1:4">
      <c r="A4049" s="3">
        <v>233</v>
      </c>
      <c r="B4049" s="3" t="s">
        <v>937</v>
      </c>
      <c r="C4049" s="3" t="s">
        <v>4966</v>
      </c>
      <c r="D4049" s="3"/>
    </row>
    <row r="4050" spans="1:4">
      <c r="A4050" s="2">
        <v>233</v>
      </c>
      <c r="B4050" s="2" t="s">
        <v>937</v>
      </c>
      <c r="C4050" s="2" t="s">
        <v>4967</v>
      </c>
      <c r="D4050" s="2"/>
    </row>
    <row r="4051" spans="1:4">
      <c r="A4051" s="3">
        <v>233</v>
      </c>
      <c r="B4051" s="3" t="s">
        <v>937</v>
      </c>
      <c r="C4051" s="3" t="s">
        <v>4968</v>
      </c>
      <c r="D4051" s="3"/>
    </row>
    <row r="4052" spans="1:4">
      <c r="A4052" s="2">
        <v>233</v>
      </c>
      <c r="B4052" s="2" t="s">
        <v>937</v>
      </c>
      <c r="C4052" s="2" t="s">
        <v>4969</v>
      </c>
      <c r="D4052" s="2"/>
    </row>
    <row r="4053" spans="1:4">
      <c r="A4053" s="3">
        <v>233</v>
      </c>
      <c r="B4053" s="3" t="s">
        <v>937</v>
      </c>
      <c r="C4053" s="3" t="s">
        <v>4970</v>
      </c>
      <c r="D4053" s="3"/>
    </row>
    <row r="4054" spans="1:4">
      <c r="A4054" s="2">
        <v>233</v>
      </c>
      <c r="B4054" s="2" t="s">
        <v>937</v>
      </c>
      <c r="C4054" s="2" t="s">
        <v>4971</v>
      </c>
      <c r="D4054" s="2"/>
    </row>
    <row r="4055" spans="1:4">
      <c r="A4055" s="3">
        <v>233</v>
      </c>
      <c r="B4055" s="3" t="s">
        <v>937</v>
      </c>
      <c r="C4055" s="3" t="s">
        <v>4972</v>
      </c>
      <c r="D4055" s="3"/>
    </row>
    <row r="4056" spans="1:4">
      <c r="A4056" s="2">
        <v>233</v>
      </c>
      <c r="B4056" s="2" t="s">
        <v>937</v>
      </c>
      <c r="C4056" s="2" t="s">
        <v>4973</v>
      </c>
      <c r="D4056" s="2"/>
    </row>
    <row r="4057" spans="1:4">
      <c r="A4057" s="3">
        <v>233</v>
      </c>
      <c r="B4057" s="3" t="s">
        <v>937</v>
      </c>
      <c r="C4057" s="3" t="s">
        <v>4974</v>
      </c>
      <c r="D4057" s="3"/>
    </row>
    <row r="4058" spans="1:4">
      <c r="A4058" s="2">
        <v>233</v>
      </c>
      <c r="B4058" s="2" t="s">
        <v>937</v>
      </c>
      <c r="C4058" s="2" t="s">
        <v>4975</v>
      </c>
      <c r="D4058" s="2"/>
    </row>
    <row r="4059" spans="1:4">
      <c r="A4059" s="3">
        <v>233</v>
      </c>
      <c r="B4059" s="3" t="s">
        <v>937</v>
      </c>
      <c r="C4059" s="3" t="s">
        <v>4976</v>
      </c>
      <c r="D4059" s="3"/>
    </row>
    <row r="4060" spans="1:4">
      <c r="A4060" s="2">
        <v>233</v>
      </c>
      <c r="B4060" s="2" t="s">
        <v>937</v>
      </c>
      <c r="C4060" s="2" t="s">
        <v>4977</v>
      </c>
      <c r="D4060" s="2"/>
    </row>
    <row r="4061" spans="1:4">
      <c r="A4061" s="3">
        <v>233</v>
      </c>
      <c r="B4061" s="3" t="s">
        <v>937</v>
      </c>
      <c r="C4061" s="3" t="s">
        <v>4978</v>
      </c>
      <c r="D4061" s="3"/>
    </row>
    <row r="4062" spans="1:4">
      <c r="A4062" s="2">
        <v>233</v>
      </c>
      <c r="B4062" s="2" t="s">
        <v>937</v>
      </c>
      <c r="C4062" s="2" t="s">
        <v>4979</v>
      </c>
      <c r="D4062" s="2"/>
    </row>
    <row r="4063" spans="1:4">
      <c r="A4063" s="3">
        <v>233</v>
      </c>
      <c r="B4063" s="3" t="s">
        <v>937</v>
      </c>
      <c r="C4063" s="3" t="s">
        <v>4980</v>
      </c>
      <c r="D4063" s="3"/>
    </row>
    <row r="4064" spans="1:4">
      <c r="A4064" s="2">
        <v>233</v>
      </c>
      <c r="B4064" s="2" t="s">
        <v>937</v>
      </c>
      <c r="C4064" s="2" t="s">
        <v>4981</v>
      </c>
      <c r="D4064" s="2"/>
    </row>
    <row r="4065" spans="1:4">
      <c r="A4065" s="3">
        <v>233</v>
      </c>
      <c r="B4065" s="3" t="s">
        <v>937</v>
      </c>
      <c r="C4065" s="3" t="s">
        <v>4982</v>
      </c>
      <c r="D4065" s="3"/>
    </row>
    <row r="4066" spans="1:4">
      <c r="A4066" s="2">
        <v>233</v>
      </c>
      <c r="B4066" s="2" t="s">
        <v>937</v>
      </c>
      <c r="C4066" s="2" t="s">
        <v>4983</v>
      </c>
      <c r="D4066" s="2"/>
    </row>
    <row r="4067" spans="1:4">
      <c r="A4067" s="3">
        <v>233</v>
      </c>
      <c r="B4067" s="3" t="s">
        <v>937</v>
      </c>
      <c r="C4067" s="3" t="s">
        <v>4984</v>
      </c>
      <c r="D4067" s="3"/>
    </row>
    <row r="4068" spans="1:4">
      <c r="A4068" s="2">
        <v>233</v>
      </c>
      <c r="B4068" s="2" t="s">
        <v>937</v>
      </c>
      <c r="C4068" s="2" t="s">
        <v>4985</v>
      </c>
      <c r="D4068" s="2"/>
    </row>
    <row r="4069" spans="1:4">
      <c r="A4069" s="3">
        <v>233</v>
      </c>
      <c r="B4069" s="3" t="s">
        <v>937</v>
      </c>
      <c r="C4069" s="3" t="s">
        <v>4986</v>
      </c>
      <c r="D4069" s="3"/>
    </row>
    <row r="4070" spans="1:4">
      <c r="A4070" s="2">
        <v>233</v>
      </c>
      <c r="B4070" s="2" t="s">
        <v>937</v>
      </c>
      <c r="C4070" s="2" t="s">
        <v>4987</v>
      </c>
      <c r="D4070" s="2"/>
    </row>
    <row r="4071" spans="1:4">
      <c r="A4071" s="3">
        <v>233</v>
      </c>
      <c r="B4071" s="3" t="s">
        <v>937</v>
      </c>
      <c r="C4071" s="3" t="s">
        <v>4988</v>
      </c>
      <c r="D4071" s="3"/>
    </row>
    <row r="4072" spans="1:4">
      <c r="A4072" s="2">
        <v>233</v>
      </c>
      <c r="B4072" s="2" t="s">
        <v>937</v>
      </c>
      <c r="C4072" s="2" t="s">
        <v>4989</v>
      </c>
      <c r="D4072" s="2"/>
    </row>
    <row r="4073" spans="1:4">
      <c r="A4073" s="3">
        <v>233</v>
      </c>
      <c r="B4073" s="3" t="s">
        <v>937</v>
      </c>
      <c r="C4073" s="3" t="s">
        <v>4990</v>
      </c>
      <c r="D4073" s="3"/>
    </row>
    <row r="4074" spans="1:4">
      <c r="A4074" s="2">
        <v>233</v>
      </c>
      <c r="B4074" s="2" t="s">
        <v>937</v>
      </c>
      <c r="C4074" s="2" t="s">
        <v>4991</v>
      </c>
      <c r="D4074" s="2"/>
    </row>
    <row r="4075" spans="1:4">
      <c r="A4075" s="3">
        <v>233</v>
      </c>
      <c r="B4075" s="3" t="s">
        <v>937</v>
      </c>
      <c r="C4075" s="3" t="s">
        <v>4992</v>
      </c>
      <c r="D4075" s="3"/>
    </row>
    <row r="4076" spans="1:4">
      <c r="A4076" s="2">
        <v>233</v>
      </c>
      <c r="B4076" s="2" t="s">
        <v>937</v>
      </c>
      <c r="C4076" s="2" t="s">
        <v>4993</v>
      </c>
      <c r="D4076" s="2"/>
    </row>
    <row r="4077" spans="1:4">
      <c r="A4077" s="3">
        <v>233</v>
      </c>
      <c r="B4077" s="3" t="s">
        <v>937</v>
      </c>
      <c r="C4077" s="3" t="s">
        <v>4994</v>
      </c>
      <c r="D4077" s="3"/>
    </row>
    <row r="4078" spans="1:4">
      <c r="A4078" s="2">
        <v>233</v>
      </c>
      <c r="B4078" s="2" t="s">
        <v>937</v>
      </c>
      <c r="C4078" s="2" t="s">
        <v>4995</v>
      </c>
      <c r="D4078" s="2"/>
    </row>
    <row r="4079" spans="1:4">
      <c r="A4079" s="3">
        <v>233</v>
      </c>
      <c r="B4079" s="3" t="s">
        <v>937</v>
      </c>
      <c r="C4079" s="3" t="s">
        <v>4996</v>
      </c>
      <c r="D4079" s="3"/>
    </row>
    <row r="4080" spans="1:4">
      <c r="A4080" s="2">
        <v>233</v>
      </c>
      <c r="B4080" s="2" t="s">
        <v>937</v>
      </c>
      <c r="C4080" s="2" t="s">
        <v>4997</v>
      </c>
      <c r="D4080" s="2"/>
    </row>
    <row r="4081" spans="1:4">
      <c r="A4081" s="3">
        <v>233</v>
      </c>
      <c r="B4081" s="3" t="s">
        <v>937</v>
      </c>
      <c r="C4081" s="3" t="s">
        <v>4998</v>
      </c>
      <c r="D4081" s="3"/>
    </row>
    <row r="4082" spans="1:4">
      <c r="A4082" s="2">
        <v>233</v>
      </c>
      <c r="B4082" s="2" t="s">
        <v>937</v>
      </c>
      <c r="C4082" s="2" t="s">
        <v>4999</v>
      </c>
      <c r="D4082" s="2"/>
    </row>
    <row r="4083" spans="1:4">
      <c r="A4083" s="3">
        <v>233</v>
      </c>
      <c r="B4083" s="3" t="s">
        <v>937</v>
      </c>
      <c r="C4083" s="3" t="s">
        <v>5000</v>
      </c>
      <c r="D4083" s="3"/>
    </row>
    <row r="4084" spans="1:4">
      <c r="A4084" s="2">
        <v>233</v>
      </c>
      <c r="B4084" s="2" t="s">
        <v>937</v>
      </c>
      <c r="C4084" s="2" t="s">
        <v>5001</v>
      </c>
      <c r="D4084" s="2"/>
    </row>
    <row r="4085" spans="1:4">
      <c r="A4085" s="3">
        <v>233</v>
      </c>
      <c r="B4085" s="3" t="s">
        <v>937</v>
      </c>
      <c r="C4085" s="3" t="s">
        <v>5002</v>
      </c>
      <c r="D4085" s="3"/>
    </row>
    <row r="4086" spans="1:4">
      <c r="A4086" s="2">
        <v>233</v>
      </c>
      <c r="B4086" s="2" t="s">
        <v>937</v>
      </c>
      <c r="C4086" s="2" t="s">
        <v>5003</v>
      </c>
      <c r="D4086" s="2"/>
    </row>
    <row r="4087" spans="1:4">
      <c r="A4087" s="3">
        <v>233</v>
      </c>
      <c r="B4087" s="3" t="s">
        <v>937</v>
      </c>
      <c r="C4087" s="3" t="s">
        <v>5004</v>
      </c>
      <c r="D4087" s="3"/>
    </row>
    <row r="4088" spans="1:4">
      <c r="A4088" s="2">
        <v>233</v>
      </c>
      <c r="B4088" s="2" t="s">
        <v>937</v>
      </c>
      <c r="C4088" s="2" t="s">
        <v>5005</v>
      </c>
      <c r="D4088" s="2"/>
    </row>
    <row r="4089" spans="1:4">
      <c r="A4089" s="3">
        <v>233</v>
      </c>
      <c r="B4089" s="3" t="s">
        <v>937</v>
      </c>
      <c r="C4089" s="3" t="s">
        <v>5006</v>
      </c>
      <c r="D4089" s="3"/>
    </row>
    <row r="4090" spans="1:4">
      <c r="A4090" s="2">
        <v>233</v>
      </c>
      <c r="B4090" s="2" t="s">
        <v>937</v>
      </c>
      <c r="C4090" s="2" t="s">
        <v>5007</v>
      </c>
      <c r="D4090" s="2"/>
    </row>
    <row r="4091" spans="1:4">
      <c r="A4091" s="3">
        <v>233</v>
      </c>
      <c r="B4091" s="3" t="s">
        <v>937</v>
      </c>
      <c r="C4091" s="3" t="s">
        <v>5008</v>
      </c>
      <c r="D4091" s="3"/>
    </row>
    <row r="4092" spans="1:4">
      <c r="A4092" s="2">
        <v>233</v>
      </c>
      <c r="B4092" s="2" t="s">
        <v>937</v>
      </c>
      <c r="C4092" s="2" t="s">
        <v>5009</v>
      </c>
      <c r="D4092" s="2"/>
    </row>
    <row r="4093" spans="1:4">
      <c r="A4093" s="3">
        <v>233</v>
      </c>
      <c r="B4093" s="3" t="s">
        <v>937</v>
      </c>
      <c r="C4093" s="3" t="s">
        <v>5010</v>
      </c>
      <c r="D4093" s="3"/>
    </row>
    <row r="4094" spans="1:4">
      <c r="A4094" s="2">
        <v>233</v>
      </c>
      <c r="B4094" s="2" t="s">
        <v>937</v>
      </c>
      <c r="C4094" s="2" t="s">
        <v>5011</v>
      </c>
      <c r="D4094" s="2"/>
    </row>
    <row r="4095" spans="1:4">
      <c r="A4095" s="3">
        <v>234</v>
      </c>
      <c r="B4095" s="3" t="s">
        <v>936</v>
      </c>
      <c r="C4095" s="3" t="s">
        <v>5012</v>
      </c>
      <c r="D4095" s="3"/>
    </row>
    <row r="4096" spans="1:4">
      <c r="A4096" s="2">
        <v>234</v>
      </c>
      <c r="B4096" s="2" t="s">
        <v>936</v>
      </c>
      <c r="C4096" s="2" t="s">
        <v>5013</v>
      </c>
      <c r="D4096" s="2"/>
    </row>
    <row r="4097" spans="1:4">
      <c r="A4097" s="3">
        <v>234</v>
      </c>
      <c r="B4097" s="3" t="s">
        <v>936</v>
      </c>
      <c r="C4097" s="3" t="s">
        <v>5014</v>
      </c>
      <c r="D4097" s="3"/>
    </row>
    <row r="4098" spans="1:4">
      <c r="A4098" s="2">
        <v>234</v>
      </c>
      <c r="B4098" s="2" t="s">
        <v>936</v>
      </c>
      <c r="C4098" s="2" t="s">
        <v>5015</v>
      </c>
      <c r="D4098" s="2"/>
    </row>
    <row r="4099" spans="1:4">
      <c r="A4099" s="3">
        <v>234</v>
      </c>
      <c r="B4099" s="3" t="s">
        <v>936</v>
      </c>
      <c r="C4099" s="3" t="s">
        <v>5016</v>
      </c>
      <c r="D4099" s="3"/>
    </row>
    <row r="4100" spans="1:4">
      <c r="A4100" s="2">
        <v>234</v>
      </c>
      <c r="B4100" s="2" t="s">
        <v>936</v>
      </c>
      <c r="C4100" s="2" t="s">
        <v>5017</v>
      </c>
      <c r="D4100" s="2"/>
    </row>
    <row r="4101" spans="1:4">
      <c r="A4101" s="3">
        <v>234</v>
      </c>
      <c r="B4101" s="3" t="s">
        <v>936</v>
      </c>
      <c r="C4101" s="3" t="s">
        <v>5018</v>
      </c>
      <c r="D4101" s="3"/>
    </row>
    <row r="4102" spans="1:4">
      <c r="A4102" s="2">
        <v>234</v>
      </c>
      <c r="B4102" s="2" t="s">
        <v>936</v>
      </c>
      <c r="C4102" s="2" t="s">
        <v>5019</v>
      </c>
      <c r="D4102" s="2"/>
    </row>
    <row r="4103" spans="1:4">
      <c r="A4103" s="3">
        <v>234</v>
      </c>
      <c r="B4103" s="3" t="s">
        <v>936</v>
      </c>
      <c r="C4103" s="3" t="s">
        <v>5020</v>
      </c>
      <c r="D4103" s="3"/>
    </row>
    <row r="4104" spans="1:4">
      <c r="A4104" s="2">
        <v>234</v>
      </c>
      <c r="B4104" s="2" t="s">
        <v>936</v>
      </c>
      <c r="C4104" s="2" t="s">
        <v>5021</v>
      </c>
      <c r="D4104" s="2"/>
    </row>
    <row r="4105" spans="1:4">
      <c r="A4105" s="3">
        <v>234</v>
      </c>
      <c r="B4105" s="3" t="s">
        <v>936</v>
      </c>
      <c r="C4105" s="3" t="s">
        <v>5022</v>
      </c>
      <c r="D4105" s="3"/>
    </row>
    <row r="4106" spans="1:4">
      <c r="A4106" s="2">
        <v>234</v>
      </c>
      <c r="B4106" s="2" t="s">
        <v>936</v>
      </c>
      <c r="C4106" s="2" t="s">
        <v>5023</v>
      </c>
      <c r="D4106" s="2"/>
    </row>
    <row r="4107" spans="1:4">
      <c r="A4107" s="3">
        <v>234</v>
      </c>
      <c r="B4107" s="3" t="s">
        <v>936</v>
      </c>
      <c r="C4107" s="3" t="s">
        <v>5024</v>
      </c>
      <c r="D4107" s="3"/>
    </row>
    <row r="4108" spans="1:4">
      <c r="A4108" s="2">
        <v>234</v>
      </c>
      <c r="B4108" s="2" t="s">
        <v>936</v>
      </c>
      <c r="C4108" s="2" t="s">
        <v>5025</v>
      </c>
      <c r="D4108" s="2"/>
    </row>
    <row r="4109" spans="1:4">
      <c r="A4109" s="3">
        <v>234</v>
      </c>
      <c r="B4109" s="3" t="s">
        <v>936</v>
      </c>
      <c r="C4109" s="3" t="s">
        <v>5026</v>
      </c>
      <c r="D4109" s="3"/>
    </row>
    <row r="4110" spans="1:4">
      <c r="A4110" s="2">
        <v>234</v>
      </c>
      <c r="B4110" s="2" t="s">
        <v>936</v>
      </c>
      <c r="C4110" s="2" t="s">
        <v>5027</v>
      </c>
      <c r="D4110" s="2"/>
    </row>
    <row r="4111" spans="1:4">
      <c r="A4111" s="3">
        <v>234</v>
      </c>
      <c r="B4111" s="3" t="s">
        <v>936</v>
      </c>
      <c r="C4111" s="3" t="s">
        <v>5028</v>
      </c>
      <c r="D4111" s="3"/>
    </row>
    <row r="4112" spans="1:4">
      <c r="A4112" s="2">
        <v>234</v>
      </c>
      <c r="B4112" s="2" t="s">
        <v>936</v>
      </c>
      <c r="C4112" s="2" t="s">
        <v>5029</v>
      </c>
      <c r="D4112" s="2"/>
    </row>
    <row r="4113" spans="1:4">
      <c r="A4113" s="3">
        <v>234</v>
      </c>
      <c r="B4113" s="3" t="s">
        <v>936</v>
      </c>
      <c r="C4113" s="3" t="s">
        <v>5030</v>
      </c>
      <c r="D4113" s="3"/>
    </row>
    <row r="4114" spans="1:4">
      <c r="A4114" s="2">
        <v>234</v>
      </c>
      <c r="B4114" s="2" t="s">
        <v>936</v>
      </c>
      <c r="C4114" s="2" t="s">
        <v>5031</v>
      </c>
      <c r="D4114" s="2"/>
    </row>
    <row r="4115" spans="1:4">
      <c r="A4115" s="3">
        <v>234</v>
      </c>
      <c r="B4115" s="3" t="s">
        <v>936</v>
      </c>
      <c r="C4115" s="3" t="s">
        <v>5032</v>
      </c>
      <c r="D4115" s="3"/>
    </row>
    <row r="4116" spans="1:4">
      <c r="A4116" s="2">
        <v>234</v>
      </c>
      <c r="B4116" s="2" t="s">
        <v>936</v>
      </c>
      <c r="C4116" s="2" t="s">
        <v>5033</v>
      </c>
      <c r="D4116" s="2"/>
    </row>
    <row r="4117" spans="1:4">
      <c r="A4117" s="3">
        <v>234</v>
      </c>
      <c r="B4117" s="3" t="s">
        <v>936</v>
      </c>
      <c r="C4117" s="3" t="s">
        <v>5034</v>
      </c>
      <c r="D4117" s="3"/>
    </row>
    <row r="4118" spans="1:4">
      <c r="A4118" s="2">
        <v>234</v>
      </c>
      <c r="B4118" s="2" t="s">
        <v>936</v>
      </c>
      <c r="C4118" s="2" t="s">
        <v>5035</v>
      </c>
      <c r="D4118" s="2"/>
    </row>
    <row r="4119" spans="1:4">
      <c r="A4119" s="3">
        <v>234</v>
      </c>
      <c r="B4119" s="3" t="s">
        <v>936</v>
      </c>
      <c r="C4119" s="3" t="s">
        <v>5036</v>
      </c>
      <c r="D4119" s="3"/>
    </row>
    <row r="4120" spans="1:4">
      <c r="A4120" s="2">
        <v>234</v>
      </c>
      <c r="B4120" s="2" t="s">
        <v>936</v>
      </c>
      <c r="C4120" s="2" t="s">
        <v>5037</v>
      </c>
      <c r="D4120" s="2"/>
    </row>
    <row r="4121" spans="1:4">
      <c r="A4121" s="3">
        <v>234</v>
      </c>
      <c r="B4121" s="3" t="s">
        <v>936</v>
      </c>
      <c r="C4121" s="3" t="s">
        <v>5038</v>
      </c>
      <c r="D4121" s="3"/>
    </row>
    <row r="4122" spans="1:4">
      <c r="A4122" s="2">
        <v>234</v>
      </c>
      <c r="B4122" s="2" t="s">
        <v>936</v>
      </c>
      <c r="C4122" s="2" t="s">
        <v>5039</v>
      </c>
      <c r="D4122" s="2"/>
    </row>
    <row r="4123" spans="1:4">
      <c r="A4123" s="3">
        <v>234</v>
      </c>
      <c r="B4123" s="3" t="s">
        <v>936</v>
      </c>
      <c r="C4123" s="3" t="s">
        <v>5040</v>
      </c>
      <c r="D4123" s="3"/>
    </row>
    <row r="4124" spans="1:4">
      <c r="A4124" s="2">
        <v>234</v>
      </c>
      <c r="B4124" s="2" t="s">
        <v>936</v>
      </c>
      <c r="C4124" s="2" t="s">
        <v>5041</v>
      </c>
      <c r="D4124" s="2"/>
    </row>
    <row r="4125" spans="1:4">
      <c r="A4125" s="3">
        <v>234</v>
      </c>
      <c r="B4125" s="3" t="s">
        <v>936</v>
      </c>
      <c r="C4125" s="3" t="s">
        <v>5042</v>
      </c>
      <c r="D4125" s="3"/>
    </row>
    <row r="4126" spans="1:4">
      <c r="A4126" s="2">
        <v>234</v>
      </c>
      <c r="B4126" s="2" t="s">
        <v>936</v>
      </c>
      <c r="C4126" s="2" t="s">
        <v>5043</v>
      </c>
      <c r="D4126" s="2"/>
    </row>
    <row r="4127" spans="1:4">
      <c r="A4127" s="3">
        <v>234</v>
      </c>
      <c r="B4127" s="3" t="s">
        <v>936</v>
      </c>
      <c r="C4127" s="3" t="s">
        <v>5044</v>
      </c>
      <c r="D4127" s="3"/>
    </row>
    <row r="4128" spans="1:4">
      <c r="A4128" s="2">
        <v>234</v>
      </c>
      <c r="B4128" s="2" t="s">
        <v>936</v>
      </c>
      <c r="C4128" s="2" t="s">
        <v>5045</v>
      </c>
      <c r="D4128" s="2"/>
    </row>
    <row r="4129" spans="1:4">
      <c r="A4129" s="3">
        <v>234</v>
      </c>
      <c r="B4129" s="3" t="s">
        <v>936</v>
      </c>
      <c r="C4129" s="3" t="s">
        <v>5046</v>
      </c>
      <c r="D4129" s="3"/>
    </row>
    <row r="4130" spans="1:4">
      <c r="A4130" s="2">
        <v>234</v>
      </c>
      <c r="B4130" s="2" t="s">
        <v>936</v>
      </c>
      <c r="C4130" s="2" t="s">
        <v>5047</v>
      </c>
      <c r="D4130" s="2"/>
    </row>
    <row r="4131" spans="1:4">
      <c r="A4131" s="3">
        <v>234</v>
      </c>
      <c r="B4131" s="3" t="s">
        <v>936</v>
      </c>
      <c r="C4131" s="3" t="s">
        <v>5048</v>
      </c>
      <c r="D4131" s="3"/>
    </row>
    <row r="4132" spans="1:4">
      <c r="A4132" s="2">
        <v>234</v>
      </c>
      <c r="B4132" s="2" t="s">
        <v>936</v>
      </c>
      <c r="C4132" s="2" t="s">
        <v>5049</v>
      </c>
      <c r="D4132" s="2"/>
    </row>
    <row r="4133" spans="1:4">
      <c r="A4133" s="3">
        <v>234</v>
      </c>
      <c r="B4133" s="3" t="s">
        <v>936</v>
      </c>
      <c r="C4133" s="3" t="s">
        <v>5050</v>
      </c>
      <c r="D4133" s="3"/>
    </row>
    <row r="4134" spans="1:4">
      <c r="A4134" s="2">
        <v>234</v>
      </c>
      <c r="B4134" s="2" t="s">
        <v>936</v>
      </c>
      <c r="C4134" s="2" t="s">
        <v>5051</v>
      </c>
      <c r="D4134" s="2"/>
    </row>
    <row r="4135" spans="1:4">
      <c r="A4135" s="3">
        <v>234</v>
      </c>
      <c r="B4135" s="3" t="s">
        <v>936</v>
      </c>
      <c r="C4135" s="3" t="s">
        <v>5052</v>
      </c>
      <c r="D4135" s="3"/>
    </row>
    <row r="4136" spans="1:4">
      <c r="A4136" s="2">
        <v>234</v>
      </c>
      <c r="B4136" s="2" t="s">
        <v>936</v>
      </c>
      <c r="C4136" s="2" t="s">
        <v>5053</v>
      </c>
      <c r="D4136" s="2"/>
    </row>
    <row r="4137" spans="1:4">
      <c r="A4137" s="3">
        <v>234</v>
      </c>
      <c r="B4137" s="3" t="s">
        <v>936</v>
      </c>
      <c r="C4137" s="3" t="s">
        <v>5054</v>
      </c>
      <c r="D4137" s="3"/>
    </row>
    <row r="4138" spans="1:4">
      <c r="A4138" s="2">
        <v>234</v>
      </c>
      <c r="B4138" s="2" t="s">
        <v>936</v>
      </c>
      <c r="C4138" s="2" t="s">
        <v>5055</v>
      </c>
      <c r="D4138" s="2"/>
    </row>
    <row r="4139" spans="1:4">
      <c r="A4139" s="3">
        <v>234</v>
      </c>
      <c r="B4139" s="3" t="s">
        <v>936</v>
      </c>
      <c r="C4139" s="3" t="s">
        <v>5056</v>
      </c>
      <c r="D4139" s="3"/>
    </row>
    <row r="4140" spans="1:4">
      <c r="A4140" s="2">
        <v>234</v>
      </c>
      <c r="B4140" s="2" t="s">
        <v>936</v>
      </c>
      <c r="C4140" s="2" t="s">
        <v>5057</v>
      </c>
      <c r="D4140" s="2"/>
    </row>
    <row r="4141" spans="1:4">
      <c r="A4141" s="3">
        <v>234</v>
      </c>
      <c r="B4141" s="3" t="s">
        <v>936</v>
      </c>
      <c r="C4141" s="3" t="s">
        <v>5058</v>
      </c>
      <c r="D4141" s="3"/>
    </row>
    <row r="4142" spans="1:4">
      <c r="A4142" s="2">
        <v>234</v>
      </c>
      <c r="B4142" s="2" t="s">
        <v>936</v>
      </c>
      <c r="C4142" s="2" t="s">
        <v>5059</v>
      </c>
      <c r="D4142" s="2"/>
    </row>
    <row r="4143" spans="1:4">
      <c r="A4143" s="3">
        <v>234</v>
      </c>
      <c r="B4143" s="3" t="s">
        <v>936</v>
      </c>
      <c r="C4143" s="3" t="s">
        <v>5060</v>
      </c>
      <c r="D4143" s="3"/>
    </row>
    <row r="4144" spans="1:4">
      <c r="A4144" s="2">
        <v>234</v>
      </c>
      <c r="B4144" s="2" t="s">
        <v>936</v>
      </c>
      <c r="C4144" s="2" t="s">
        <v>5061</v>
      </c>
      <c r="D4144" s="2"/>
    </row>
    <row r="4145" spans="1:4">
      <c r="A4145" s="3">
        <v>235</v>
      </c>
      <c r="B4145" s="3" t="s">
        <v>896</v>
      </c>
      <c r="C4145" s="3" t="s">
        <v>5062</v>
      </c>
      <c r="D4145" s="3"/>
    </row>
    <row r="4146" spans="1:4">
      <c r="A4146" s="2">
        <v>235</v>
      </c>
      <c r="B4146" s="2" t="s">
        <v>896</v>
      </c>
      <c r="C4146" s="2" t="s">
        <v>5063</v>
      </c>
      <c r="D4146" s="2"/>
    </row>
    <row r="4147" spans="1:4">
      <c r="A4147" s="3">
        <v>235</v>
      </c>
      <c r="B4147" s="3" t="s">
        <v>896</v>
      </c>
      <c r="C4147" s="3" t="s">
        <v>5064</v>
      </c>
      <c r="D4147" s="3"/>
    </row>
    <row r="4148" spans="1:4">
      <c r="A4148" s="2">
        <v>235</v>
      </c>
      <c r="B4148" s="2" t="s">
        <v>896</v>
      </c>
      <c r="C4148" s="2" t="s">
        <v>5065</v>
      </c>
      <c r="D4148" s="2"/>
    </row>
    <row r="4149" spans="1:4">
      <c r="A4149" s="3">
        <v>235</v>
      </c>
      <c r="B4149" s="3" t="s">
        <v>896</v>
      </c>
      <c r="C4149" s="3" t="s">
        <v>5066</v>
      </c>
      <c r="D4149" s="3"/>
    </row>
    <row r="4150" spans="1:4">
      <c r="A4150" s="2">
        <v>235</v>
      </c>
      <c r="B4150" s="2" t="s">
        <v>896</v>
      </c>
      <c r="C4150" s="2" t="s">
        <v>5067</v>
      </c>
      <c r="D4150" s="2"/>
    </row>
    <row r="4151" spans="1:4">
      <c r="A4151" s="3">
        <v>235</v>
      </c>
      <c r="B4151" s="3" t="s">
        <v>896</v>
      </c>
      <c r="C4151" s="3" t="s">
        <v>5068</v>
      </c>
      <c r="D4151" s="3"/>
    </row>
    <row r="4152" spans="1:4">
      <c r="A4152" s="2">
        <v>235</v>
      </c>
      <c r="B4152" s="2" t="s">
        <v>896</v>
      </c>
      <c r="C4152" s="2" t="s">
        <v>5069</v>
      </c>
      <c r="D4152" s="2"/>
    </row>
    <row r="4153" spans="1:4">
      <c r="A4153" s="3">
        <v>235</v>
      </c>
      <c r="B4153" s="3" t="s">
        <v>896</v>
      </c>
      <c r="C4153" s="3" t="s">
        <v>5070</v>
      </c>
      <c r="D4153" s="3"/>
    </row>
    <row r="4154" spans="1:4">
      <c r="A4154" s="2">
        <v>235</v>
      </c>
      <c r="B4154" s="2" t="s">
        <v>896</v>
      </c>
      <c r="C4154" s="2" t="s">
        <v>5071</v>
      </c>
      <c r="D4154" s="2"/>
    </row>
    <row r="4155" spans="1:4">
      <c r="A4155" s="3">
        <v>235</v>
      </c>
      <c r="B4155" s="3" t="s">
        <v>896</v>
      </c>
      <c r="C4155" s="3" t="s">
        <v>5072</v>
      </c>
      <c r="D4155" s="3"/>
    </row>
    <row r="4156" spans="1:4">
      <c r="A4156" s="2">
        <v>235</v>
      </c>
      <c r="B4156" s="2" t="s">
        <v>896</v>
      </c>
      <c r="C4156" s="2" t="s">
        <v>5073</v>
      </c>
      <c r="D4156" s="2"/>
    </row>
    <row r="4157" spans="1:4">
      <c r="A4157" s="3">
        <v>235</v>
      </c>
      <c r="B4157" s="3" t="s">
        <v>896</v>
      </c>
      <c r="C4157" s="3" t="s">
        <v>5074</v>
      </c>
      <c r="D4157" s="3"/>
    </row>
    <row r="4158" spans="1:4">
      <c r="A4158" s="2">
        <v>235</v>
      </c>
      <c r="B4158" s="2" t="s">
        <v>896</v>
      </c>
      <c r="C4158" s="2" t="s">
        <v>5075</v>
      </c>
      <c r="D4158" s="2"/>
    </row>
    <row r="4159" spans="1:4">
      <c r="A4159" s="3">
        <v>235</v>
      </c>
      <c r="B4159" s="3" t="s">
        <v>896</v>
      </c>
      <c r="C4159" s="3" t="s">
        <v>5076</v>
      </c>
      <c r="D4159" s="3"/>
    </row>
    <row r="4160" spans="1:4">
      <c r="A4160" s="2">
        <v>235</v>
      </c>
      <c r="B4160" s="2" t="s">
        <v>896</v>
      </c>
      <c r="C4160" s="2" t="s">
        <v>5077</v>
      </c>
      <c r="D4160" s="2"/>
    </row>
    <row r="4161" spans="1:4">
      <c r="A4161" s="3">
        <v>235</v>
      </c>
      <c r="B4161" s="3" t="s">
        <v>896</v>
      </c>
      <c r="C4161" s="3" t="s">
        <v>5078</v>
      </c>
      <c r="D4161" s="3"/>
    </row>
    <row r="4162" spans="1:4">
      <c r="A4162" s="2">
        <v>235</v>
      </c>
      <c r="B4162" s="2" t="s">
        <v>896</v>
      </c>
      <c r="C4162" s="2" t="s">
        <v>5079</v>
      </c>
      <c r="D4162" s="2"/>
    </row>
    <row r="4163" spans="1:4">
      <c r="A4163" s="3">
        <v>235</v>
      </c>
      <c r="B4163" s="3" t="s">
        <v>896</v>
      </c>
      <c r="C4163" s="3" t="s">
        <v>5080</v>
      </c>
      <c r="D4163" s="3"/>
    </row>
    <row r="4164" spans="1:4">
      <c r="A4164" s="2">
        <v>235</v>
      </c>
      <c r="B4164" s="2" t="s">
        <v>896</v>
      </c>
      <c r="C4164" s="2" t="s">
        <v>5081</v>
      </c>
      <c r="D4164" s="2"/>
    </row>
    <row r="4165" spans="1:4">
      <c r="A4165" s="3">
        <v>235</v>
      </c>
      <c r="B4165" s="3" t="s">
        <v>896</v>
      </c>
      <c r="C4165" s="3" t="s">
        <v>5082</v>
      </c>
      <c r="D4165" s="3"/>
    </row>
    <row r="4166" spans="1:4">
      <c r="A4166" s="2">
        <v>235</v>
      </c>
      <c r="B4166" s="2" t="s">
        <v>896</v>
      </c>
      <c r="C4166" s="2" t="s">
        <v>5083</v>
      </c>
      <c r="D4166" s="2"/>
    </row>
    <row r="4167" spans="1:4">
      <c r="A4167" s="3">
        <v>235</v>
      </c>
      <c r="B4167" s="3" t="s">
        <v>896</v>
      </c>
      <c r="C4167" s="3" t="s">
        <v>5084</v>
      </c>
      <c r="D4167" s="3"/>
    </row>
    <row r="4168" spans="1:4">
      <c r="A4168" s="2">
        <v>235</v>
      </c>
      <c r="B4168" s="2" t="s">
        <v>896</v>
      </c>
      <c r="C4168" s="2" t="s">
        <v>5085</v>
      </c>
      <c r="D4168" s="2"/>
    </row>
    <row r="4169" spans="1:4">
      <c r="A4169" s="3">
        <v>235</v>
      </c>
      <c r="B4169" s="3" t="s">
        <v>896</v>
      </c>
      <c r="C4169" s="3" t="s">
        <v>5086</v>
      </c>
      <c r="D4169" s="3"/>
    </row>
    <row r="4170" spans="1:4">
      <c r="A4170" s="2">
        <v>235</v>
      </c>
      <c r="B4170" s="2" t="s">
        <v>896</v>
      </c>
      <c r="C4170" s="2" t="s">
        <v>5087</v>
      </c>
      <c r="D4170" s="2"/>
    </row>
    <row r="4171" spans="1:4">
      <c r="A4171" s="3">
        <v>235</v>
      </c>
      <c r="B4171" s="3" t="s">
        <v>896</v>
      </c>
      <c r="C4171" s="3" t="s">
        <v>5088</v>
      </c>
      <c r="D4171" s="3"/>
    </row>
    <row r="4172" spans="1:4">
      <c r="A4172" s="2">
        <v>235</v>
      </c>
      <c r="B4172" s="2" t="s">
        <v>896</v>
      </c>
      <c r="C4172" s="2" t="s">
        <v>5089</v>
      </c>
      <c r="D4172" s="2"/>
    </row>
    <row r="4173" spans="1:4">
      <c r="A4173" s="3">
        <v>235</v>
      </c>
      <c r="B4173" s="3" t="s">
        <v>896</v>
      </c>
      <c r="C4173" s="3" t="s">
        <v>5090</v>
      </c>
      <c r="D4173" s="3"/>
    </row>
    <row r="4174" spans="1:4">
      <c r="A4174" s="2">
        <v>235</v>
      </c>
      <c r="B4174" s="2" t="s">
        <v>896</v>
      </c>
      <c r="C4174" s="2" t="s">
        <v>5091</v>
      </c>
      <c r="D4174" s="2"/>
    </row>
    <row r="4175" spans="1:4">
      <c r="A4175" s="3">
        <v>235</v>
      </c>
      <c r="B4175" s="3" t="s">
        <v>896</v>
      </c>
      <c r="C4175" s="3" t="s">
        <v>5092</v>
      </c>
      <c r="D4175" s="3"/>
    </row>
    <row r="4176" spans="1:4">
      <c r="A4176" s="2">
        <v>235</v>
      </c>
      <c r="B4176" s="2" t="s">
        <v>896</v>
      </c>
      <c r="C4176" s="2" t="s">
        <v>5093</v>
      </c>
      <c r="D4176" s="2"/>
    </row>
    <row r="4177" spans="1:4">
      <c r="A4177" s="3">
        <v>235</v>
      </c>
      <c r="B4177" s="3" t="s">
        <v>896</v>
      </c>
      <c r="C4177" s="3" t="s">
        <v>5094</v>
      </c>
      <c r="D4177" s="3"/>
    </row>
    <row r="4178" spans="1:4">
      <c r="A4178" s="2">
        <v>235</v>
      </c>
      <c r="B4178" s="2" t="s">
        <v>896</v>
      </c>
      <c r="C4178" s="2" t="s">
        <v>5095</v>
      </c>
      <c r="D4178" s="2"/>
    </row>
    <row r="4179" spans="1:4">
      <c r="A4179" s="3">
        <v>235</v>
      </c>
      <c r="B4179" s="3" t="s">
        <v>896</v>
      </c>
      <c r="C4179" s="3" t="s">
        <v>5096</v>
      </c>
      <c r="D4179" s="3"/>
    </row>
    <row r="4180" spans="1:4">
      <c r="A4180" s="2">
        <v>235</v>
      </c>
      <c r="B4180" s="2" t="s">
        <v>896</v>
      </c>
      <c r="C4180" s="2" t="s">
        <v>5097</v>
      </c>
      <c r="D4180" s="2"/>
    </row>
    <row r="4181" spans="1:4">
      <c r="A4181" s="3">
        <v>235</v>
      </c>
      <c r="B4181" s="3" t="s">
        <v>896</v>
      </c>
      <c r="C4181" s="3" t="s">
        <v>5098</v>
      </c>
      <c r="D4181" s="3"/>
    </row>
    <row r="4182" spans="1:4">
      <c r="A4182" s="2">
        <v>235</v>
      </c>
      <c r="B4182" s="2" t="s">
        <v>896</v>
      </c>
      <c r="C4182" s="2" t="s">
        <v>5099</v>
      </c>
      <c r="D4182" s="2"/>
    </row>
    <row r="4183" spans="1:4">
      <c r="A4183" s="3">
        <v>235</v>
      </c>
      <c r="B4183" s="3" t="s">
        <v>896</v>
      </c>
      <c r="C4183" s="3" t="s">
        <v>5100</v>
      </c>
      <c r="D4183" s="3"/>
    </row>
    <row r="4184" spans="1:4">
      <c r="A4184" s="2">
        <v>235</v>
      </c>
      <c r="B4184" s="2" t="s">
        <v>896</v>
      </c>
      <c r="C4184" s="2" t="s">
        <v>5101</v>
      </c>
      <c r="D4184" s="2"/>
    </row>
    <row r="4185" spans="1:4">
      <c r="A4185" s="3">
        <v>235</v>
      </c>
      <c r="B4185" s="3" t="s">
        <v>896</v>
      </c>
      <c r="C4185" s="3" t="s">
        <v>5102</v>
      </c>
      <c r="D4185" s="3"/>
    </row>
    <row r="4186" spans="1:4">
      <c r="A4186" s="2">
        <v>235</v>
      </c>
      <c r="B4186" s="2" t="s">
        <v>896</v>
      </c>
      <c r="C4186" s="2" t="s">
        <v>5103</v>
      </c>
      <c r="D4186" s="2"/>
    </row>
    <row r="4187" spans="1:4">
      <c r="A4187" s="3">
        <v>235</v>
      </c>
      <c r="B4187" s="3" t="s">
        <v>896</v>
      </c>
      <c r="C4187" s="3" t="s">
        <v>5104</v>
      </c>
      <c r="D4187" s="3"/>
    </row>
    <row r="4188" spans="1:4">
      <c r="A4188" s="2">
        <v>235</v>
      </c>
      <c r="B4188" s="2" t="s">
        <v>896</v>
      </c>
      <c r="C4188" s="2" t="s">
        <v>5105</v>
      </c>
      <c r="D4188" s="2"/>
    </row>
    <row r="4189" spans="1:4">
      <c r="A4189" s="3">
        <v>235</v>
      </c>
      <c r="B4189" s="3" t="s">
        <v>896</v>
      </c>
      <c r="C4189" s="3" t="s">
        <v>5106</v>
      </c>
      <c r="D4189" s="3"/>
    </row>
    <row r="4190" spans="1:4">
      <c r="A4190" s="2">
        <v>235</v>
      </c>
      <c r="B4190" s="2" t="s">
        <v>896</v>
      </c>
      <c r="C4190" s="2" t="s">
        <v>5107</v>
      </c>
      <c r="D4190" s="2"/>
    </row>
    <row r="4191" spans="1:4">
      <c r="A4191" s="3">
        <v>235</v>
      </c>
      <c r="B4191" s="3" t="s">
        <v>896</v>
      </c>
      <c r="C4191" s="3" t="s">
        <v>5108</v>
      </c>
      <c r="D4191" s="3"/>
    </row>
    <row r="4192" spans="1:4">
      <c r="A4192" s="2">
        <v>235</v>
      </c>
      <c r="B4192" s="2" t="s">
        <v>896</v>
      </c>
      <c r="C4192" s="2" t="s">
        <v>5109</v>
      </c>
      <c r="D4192" s="2"/>
    </row>
    <row r="4193" spans="1:4">
      <c r="A4193" s="3">
        <v>235</v>
      </c>
      <c r="B4193" s="3" t="s">
        <v>896</v>
      </c>
      <c r="C4193" s="3" t="s">
        <v>5110</v>
      </c>
      <c r="D4193" s="3"/>
    </row>
    <row r="4194" spans="1:4">
      <c r="A4194" s="2">
        <v>236</v>
      </c>
      <c r="B4194" s="2" t="s">
        <v>928</v>
      </c>
      <c r="C4194" s="2" t="s">
        <v>5111</v>
      </c>
      <c r="D4194" s="2"/>
    </row>
    <row r="4195" spans="1:4">
      <c r="A4195" s="3">
        <v>236</v>
      </c>
      <c r="B4195" s="3" t="s">
        <v>928</v>
      </c>
      <c r="C4195" s="3" t="s">
        <v>5112</v>
      </c>
      <c r="D4195" s="3"/>
    </row>
    <row r="4196" spans="1:4">
      <c r="A4196" s="2">
        <v>236</v>
      </c>
      <c r="B4196" s="2" t="s">
        <v>928</v>
      </c>
      <c r="C4196" s="2" t="s">
        <v>5113</v>
      </c>
      <c r="D4196" s="2"/>
    </row>
    <row r="4197" spans="1:4">
      <c r="A4197" s="3">
        <v>236</v>
      </c>
      <c r="B4197" s="3" t="s">
        <v>928</v>
      </c>
      <c r="C4197" s="3" t="s">
        <v>5114</v>
      </c>
      <c r="D4197" s="3"/>
    </row>
    <row r="4198" spans="1:4">
      <c r="A4198" s="2">
        <v>236</v>
      </c>
      <c r="B4198" s="2" t="s">
        <v>928</v>
      </c>
      <c r="C4198" s="2" t="s">
        <v>5115</v>
      </c>
      <c r="D4198" s="2"/>
    </row>
    <row r="4199" spans="1:4">
      <c r="A4199" s="3">
        <v>236</v>
      </c>
      <c r="B4199" s="3" t="s">
        <v>928</v>
      </c>
      <c r="C4199" s="3" t="s">
        <v>5116</v>
      </c>
      <c r="D4199" s="3"/>
    </row>
    <row r="4200" spans="1:4">
      <c r="A4200" s="2">
        <v>236</v>
      </c>
      <c r="B4200" s="2" t="s">
        <v>928</v>
      </c>
      <c r="C4200" s="2" t="s">
        <v>5117</v>
      </c>
      <c r="D4200" s="2"/>
    </row>
    <row r="4201" spans="1:4">
      <c r="A4201" s="3">
        <v>236</v>
      </c>
      <c r="B4201" s="3" t="s">
        <v>928</v>
      </c>
      <c r="C4201" s="3" t="s">
        <v>5118</v>
      </c>
      <c r="D4201" s="3"/>
    </row>
    <row r="4202" spans="1:4">
      <c r="A4202" s="2">
        <v>236</v>
      </c>
      <c r="B4202" s="2" t="s">
        <v>928</v>
      </c>
      <c r="C4202" s="2" t="s">
        <v>5119</v>
      </c>
      <c r="D4202" s="2"/>
    </row>
    <row r="4203" spans="1:4">
      <c r="A4203" s="3">
        <v>236</v>
      </c>
      <c r="B4203" s="3" t="s">
        <v>928</v>
      </c>
      <c r="C4203" s="3" t="s">
        <v>5120</v>
      </c>
      <c r="D4203" s="3"/>
    </row>
    <row r="4204" spans="1:4">
      <c r="A4204" s="2">
        <v>236</v>
      </c>
      <c r="B4204" s="2" t="s">
        <v>928</v>
      </c>
      <c r="C4204" s="2" t="s">
        <v>5121</v>
      </c>
      <c r="D4204" s="2"/>
    </row>
    <row r="4205" spans="1:4">
      <c r="A4205" s="3">
        <v>236</v>
      </c>
      <c r="B4205" s="3" t="s">
        <v>928</v>
      </c>
      <c r="C4205" s="3" t="s">
        <v>5122</v>
      </c>
      <c r="D4205" s="3"/>
    </row>
    <row r="4206" spans="1:4">
      <c r="A4206" s="2">
        <v>236</v>
      </c>
      <c r="B4206" s="2" t="s">
        <v>928</v>
      </c>
      <c r="C4206" s="2" t="s">
        <v>5123</v>
      </c>
      <c r="D4206" s="2"/>
    </row>
    <row r="4207" spans="1:4">
      <c r="A4207" s="3">
        <v>236</v>
      </c>
      <c r="B4207" s="3" t="s">
        <v>928</v>
      </c>
      <c r="C4207" s="3" t="s">
        <v>5124</v>
      </c>
      <c r="D4207" s="3"/>
    </row>
    <row r="4208" spans="1:4">
      <c r="A4208" s="2">
        <v>236</v>
      </c>
      <c r="B4208" s="2" t="s">
        <v>928</v>
      </c>
      <c r="C4208" s="2" t="s">
        <v>5125</v>
      </c>
      <c r="D4208" s="2"/>
    </row>
    <row r="4209" spans="1:4">
      <c r="A4209" s="3">
        <v>236</v>
      </c>
      <c r="B4209" s="3" t="s">
        <v>928</v>
      </c>
      <c r="C4209" s="3" t="s">
        <v>5126</v>
      </c>
      <c r="D4209" s="3"/>
    </row>
    <row r="4210" spans="1:4">
      <c r="A4210" s="2">
        <v>236</v>
      </c>
      <c r="B4210" s="2" t="s">
        <v>928</v>
      </c>
      <c r="C4210" s="2" t="s">
        <v>5127</v>
      </c>
      <c r="D4210" s="2"/>
    </row>
    <row r="4211" spans="1:4">
      <c r="A4211" s="3">
        <v>236</v>
      </c>
      <c r="B4211" s="3" t="s">
        <v>928</v>
      </c>
      <c r="C4211" s="3" t="s">
        <v>5128</v>
      </c>
      <c r="D4211" s="3"/>
    </row>
    <row r="4212" spans="1:4">
      <c r="A4212" s="2">
        <v>236</v>
      </c>
      <c r="B4212" s="2" t="s">
        <v>928</v>
      </c>
      <c r="C4212" s="2" t="s">
        <v>5129</v>
      </c>
      <c r="D4212" s="2"/>
    </row>
    <row r="4213" spans="1:4">
      <c r="A4213" s="3">
        <v>236</v>
      </c>
      <c r="B4213" s="3" t="s">
        <v>928</v>
      </c>
      <c r="C4213" s="3" t="s">
        <v>5130</v>
      </c>
      <c r="D4213" s="3"/>
    </row>
    <row r="4214" spans="1:4">
      <c r="A4214" s="2">
        <v>236</v>
      </c>
      <c r="B4214" s="2" t="s">
        <v>928</v>
      </c>
      <c r="C4214" s="2" t="s">
        <v>5131</v>
      </c>
      <c r="D4214" s="2"/>
    </row>
    <row r="4215" spans="1:4">
      <c r="A4215" s="3">
        <v>236</v>
      </c>
      <c r="B4215" s="3" t="s">
        <v>928</v>
      </c>
      <c r="C4215" s="3" t="s">
        <v>5132</v>
      </c>
      <c r="D4215" s="3"/>
    </row>
    <row r="4216" spans="1:4">
      <c r="A4216" s="2">
        <v>236</v>
      </c>
      <c r="B4216" s="2" t="s">
        <v>928</v>
      </c>
      <c r="C4216" s="2" t="s">
        <v>5133</v>
      </c>
      <c r="D4216" s="2"/>
    </row>
    <row r="4217" spans="1:4">
      <c r="A4217" s="3">
        <v>236</v>
      </c>
      <c r="B4217" s="3" t="s">
        <v>928</v>
      </c>
      <c r="C4217" s="3" t="s">
        <v>5134</v>
      </c>
      <c r="D4217" s="3"/>
    </row>
    <row r="4218" spans="1:4">
      <c r="A4218" s="2">
        <v>236</v>
      </c>
      <c r="B4218" s="2" t="s">
        <v>928</v>
      </c>
      <c r="C4218" s="2" t="s">
        <v>5135</v>
      </c>
      <c r="D4218" s="2"/>
    </row>
    <row r="4219" spans="1:4">
      <c r="A4219" s="3">
        <v>236</v>
      </c>
      <c r="B4219" s="3" t="s">
        <v>928</v>
      </c>
      <c r="C4219" s="3" t="s">
        <v>5136</v>
      </c>
      <c r="D4219" s="3"/>
    </row>
    <row r="4220" spans="1:4">
      <c r="A4220" s="2">
        <v>236</v>
      </c>
      <c r="B4220" s="2" t="s">
        <v>928</v>
      </c>
      <c r="C4220" s="2" t="s">
        <v>5137</v>
      </c>
      <c r="D4220" s="2"/>
    </row>
    <row r="4221" spans="1:4">
      <c r="A4221" s="3">
        <v>236</v>
      </c>
      <c r="B4221" s="3" t="s">
        <v>928</v>
      </c>
      <c r="C4221" s="3" t="s">
        <v>5138</v>
      </c>
      <c r="D4221" s="3"/>
    </row>
    <row r="4222" spans="1:4">
      <c r="A4222" s="2">
        <v>236</v>
      </c>
      <c r="B4222" s="2" t="s">
        <v>928</v>
      </c>
      <c r="C4222" s="2" t="s">
        <v>5139</v>
      </c>
      <c r="D4222" s="2"/>
    </row>
    <row r="4223" spans="1:4">
      <c r="A4223" s="3">
        <v>236</v>
      </c>
      <c r="B4223" s="3" t="s">
        <v>928</v>
      </c>
      <c r="C4223" s="3" t="s">
        <v>5140</v>
      </c>
      <c r="D4223" s="3"/>
    </row>
    <row r="4224" spans="1:4">
      <c r="A4224" s="2">
        <v>236</v>
      </c>
      <c r="B4224" s="2" t="s">
        <v>928</v>
      </c>
      <c r="C4224" s="2" t="s">
        <v>5141</v>
      </c>
      <c r="D4224" s="2"/>
    </row>
    <row r="4225" spans="1:4">
      <c r="A4225" s="3">
        <v>236</v>
      </c>
      <c r="B4225" s="3" t="s">
        <v>928</v>
      </c>
      <c r="C4225" s="3" t="s">
        <v>5142</v>
      </c>
      <c r="D4225" s="3"/>
    </row>
    <row r="4226" spans="1:4">
      <c r="A4226" s="2">
        <v>236</v>
      </c>
      <c r="B4226" s="2" t="s">
        <v>928</v>
      </c>
      <c r="C4226" s="2" t="s">
        <v>5143</v>
      </c>
      <c r="D4226" s="2"/>
    </row>
    <row r="4227" spans="1:4">
      <c r="A4227" s="3">
        <v>237</v>
      </c>
      <c r="B4227" s="3" t="s">
        <v>944</v>
      </c>
      <c r="C4227" s="3" t="s">
        <v>5144</v>
      </c>
      <c r="D4227" s="3"/>
    </row>
    <row r="4228" spans="1:4">
      <c r="A4228" s="2">
        <v>237</v>
      </c>
      <c r="B4228" s="2" t="s">
        <v>944</v>
      </c>
      <c r="C4228" s="2" t="s">
        <v>5145</v>
      </c>
      <c r="D4228" s="2"/>
    </row>
    <row r="4229" spans="1:4">
      <c r="A4229" s="3">
        <v>237</v>
      </c>
      <c r="B4229" s="3" t="s">
        <v>944</v>
      </c>
      <c r="C4229" s="3" t="s">
        <v>5146</v>
      </c>
      <c r="D4229" s="3"/>
    </row>
    <row r="4230" spans="1:4">
      <c r="A4230" s="2">
        <v>237</v>
      </c>
      <c r="B4230" s="2" t="s">
        <v>944</v>
      </c>
      <c r="C4230" s="2" t="s">
        <v>5147</v>
      </c>
      <c r="D4230" s="2"/>
    </row>
    <row r="4231" spans="1:4">
      <c r="A4231" s="3">
        <v>237</v>
      </c>
      <c r="B4231" s="3" t="s">
        <v>944</v>
      </c>
      <c r="C4231" s="3" t="s">
        <v>5148</v>
      </c>
      <c r="D4231" s="3"/>
    </row>
    <row r="4232" spans="1:4">
      <c r="A4232" s="2">
        <v>237</v>
      </c>
      <c r="B4232" s="2" t="s">
        <v>944</v>
      </c>
      <c r="C4232" s="2" t="s">
        <v>5149</v>
      </c>
      <c r="D4232" s="2"/>
    </row>
    <row r="4233" spans="1:4">
      <c r="A4233" s="3">
        <v>237</v>
      </c>
      <c r="B4233" s="3" t="s">
        <v>944</v>
      </c>
      <c r="C4233" s="3" t="s">
        <v>5150</v>
      </c>
      <c r="D4233" s="3"/>
    </row>
    <row r="4234" spans="1:4">
      <c r="A4234" s="2">
        <v>237</v>
      </c>
      <c r="B4234" s="2" t="s">
        <v>944</v>
      </c>
      <c r="C4234" s="2" t="s">
        <v>5151</v>
      </c>
      <c r="D4234" s="2"/>
    </row>
    <row r="4235" spans="1:4">
      <c r="A4235" s="3">
        <v>237</v>
      </c>
      <c r="B4235" s="3" t="s">
        <v>944</v>
      </c>
      <c r="C4235" s="3" t="s">
        <v>5152</v>
      </c>
      <c r="D4235" s="3"/>
    </row>
    <row r="4236" spans="1:4">
      <c r="A4236" s="2">
        <v>237</v>
      </c>
      <c r="B4236" s="2" t="s">
        <v>944</v>
      </c>
      <c r="C4236" s="2" t="s">
        <v>5153</v>
      </c>
      <c r="D4236" s="2"/>
    </row>
    <row r="4237" spans="1:4">
      <c r="A4237" s="3">
        <v>237</v>
      </c>
      <c r="B4237" s="3" t="s">
        <v>944</v>
      </c>
      <c r="C4237" s="3" t="s">
        <v>5154</v>
      </c>
      <c r="D4237" s="3"/>
    </row>
    <row r="4238" spans="1:4">
      <c r="A4238" s="2">
        <v>237</v>
      </c>
      <c r="B4238" s="2" t="s">
        <v>944</v>
      </c>
      <c r="C4238" s="2" t="s">
        <v>5155</v>
      </c>
      <c r="D4238" s="2"/>
    </row>
    <row r="4239" spans="1:4">
      <c r="A4239" s="3">
        <v>237</v>
      </c>
      <c r="B4239" s="3" t="s">
        <v>944</v>
      </c>
      <c r="C4239" s="3" t="s">
        <v>5156</v>
      </c>
      <c r="D4239" s="3"/>
    </row>
    <row r="4240" spans="1:4">
      <c r="A4240" s="2">
        <v>237</v>
      </c>
      <c r="B4240" s="2" t="s">
        <v>944</v>
      </c>
      <c r="C4240" s="2" t="s">
        <v>5157</v>
      </c>
      <c r="D4240" s="2"/>
    </row>
    <row r="4241" spans="1:4">
      <c r="A4241" s="3">
        <v>237</v>
      </c>
      <c r="B4241" s="3" t="s">
        <v>944</v>
      </c>
      <c r="C4241" s="3" t="s">
        <v>5158</v>
      </c>
      <c r="D4241" s="3"/>
    </row>
    <row r="4242" spans="1:4">
      <c r="A4242" s="2">
        <v>237</v>
      </c>
      <c r="B4242" s="2" t="s">
        <v>944</v>
      </c>
      <c r="C4242" s="2" t="s">
        <v>5159</v>
      </c>
      <c r="D4242" s="2"/>
    </row>
    <row r="4243" spans="1:4">
      <c r="A4243" s="3">
        <v>237</v>
      </c>
      <c r="B4243" s="3" t="s">
        <v>944</v>
      </c>
      <c r="C4243" s="3" t="s">
        <v>5160</v>
      </c>
      <c r="D4243" s="3"/>
    </row>
    <row r="4244" spans="1:4">
      <c r="A4244" s="2">
        <v>237</v>
      </c>
      <c r="B4244" s="2" t="s">
        <v>944</v>
      </c>
      <c r="C4244" s="2" t="s">
        <v>5161</v>
      </c>
      <c r="D4244" s="2"/>
    </row>
    <row r="4245" spans="1:4">
      <c r="A4245" s="3">
        <v>237</v>
      </c>
      <c r="B4245" s="3" t="s">
        <v>944</v>
      </c>
      <c r="C4245" s="3" t="s">
        <v>5162</v>
      </c>
      <c r="D4245" s="3"/>
    </row>
    <row r="4246" spans="1:4">
      <c r="A4246" s="2">
        <v>237</v>
      </c>
      <c r="B4246" s="2" t="s">
        <v>944</v>
      </c>
      <c r="C4246" s="2" t="s">
        <v>5163</v>
      </c>
      <c r="D4246" s="2"/>
    </row>
    <row r="4247" spans="1:4">
      <c r="A4247" s="3">
        <v>237</v>
      </c>
      <c r="B4247" s="3" t="s">
        <v>944</v>
      </c>
      <c r="C4247" s="3" t="s">
        <v>5164</v>
      </c>
      <c r="D4247" s="3"/>
    </row>
    <row r="4248" spans="1:4">
      <c r="A4248" s="2">
        <v>237</v>
      </c>
      <c r="B4248" s="2" t="s">
        <v>944</v>
      </c>
      <c r="C4248" s="2" t="s">
        <v>5165</v>
      </c>
      <c r="D4248" s="2"/>
    </row>
    <row r="4249" spans="1:4">
      <c r="A4249" s="3">
        <v>237</v>
      </c>
      <c r="B4249" s="3" t="s">
        <v>944</v>
      </c>
      <c r="C4249" s="3" t="s">
        <v>5166</v>
      </c>
      <c r="D4249" s="3"/>
    </row>
    <row r="4250" spans="1:4">
      <c r="A4250" s="2">
        <v>237</v>
      </c>
      <c r="B4250" s="2" t="s">
        <v>944</v>
      </c>
      <c r="C4250" s="2" t="s">
        <v>5167</v>
      </c>
      <c r="D4250" s="2"/>
    </row>
    <row r="4251" spans="1:4">
      <c r="A4251" s="3">
        <v>237</v>
      </c>
      <c r="B4251" s="3" t="s">
        <v>944</v>
      </c>
      <c r="C4251" s="3" t="s">
        <v>5168</v>
      </c>
      <c r="D4251" s="3"/>
    </row>
    <row r="4252" spans="1:4">
      <c r="A4252" s="2">
        <v>237</v>
      </c>
      <c r="B4252" s="2" t="s">
        <v>944</v>
      </c>
      <c r="C4252" s="2" t="s">
        <v>5169</v>
      </c>
      <c r="D4252" s="2"/>
    </row>
    <row r="4253" spans="1:4">
      <c r="A4253" s="3">
        <v>237</v>
      </c>
      <c r="B4253" s="3" t="s">
        <v>944</v>
      </c>
      <c r="C4253" s="3" t="s">
        <v>5170</v>
      </c>
      <c r="D4253" s="3"/>
    </row>
    <row r="4254" spans="1:4">
      <c r="A4254" s="2">
        <v>237</v>
      </c>
      <c r="B4254" s="2" t="s">
        <v>944</v>
      </c>
      <c r="C4254" s="2" t="s">
        <v>5171</v>
      </c>
      <c r="D4254" s="2"/>
    </row>
    <row r="4255" spans="1:4">
      <c r="A4255" s="3">
        <v>237</v>
      </c>
      <c r="B4255" s="3" t="s">
        <v>944</v>
      </c>
      <c r="C4255" s="3" t="s">
        <v>5172</v>
      </c>
      <c r="D4255" s="3"/>
    </row>
    <row r="4256" spans="1:4">
      <c r="A4256" s="2">
        <v>237</v>
      </c>
      <c r="B4256" s="2" t="s">
        <v>944</v>
      </c>
      <c r="C4256" s="2" t="s">
        <v>5173</v>
      </c>
      <c r="D4256" s="2"/>
    </row>
    <row r="4257" spans="1:4">
      <c r="A4257" s="3">
        <v>237</v>
      </c>
      <c r="B4257" s="3" t="s">
        <v>944</v>
      </c>
      <c r="C4257" s="3">
        <f> [ - iv ± (4ω2</f>
        <v>0</v>
      </c>
      <c r="D4257" s="3"/>
    </row>
    <row r="4258" spans="1:4">
      <c r="A4258" s="2">
        <v>237</v>
      </c>
      <c r="B4258" s="2" t="s">
        <v>944</v>
      </c>
      <c r="C4258" s="2" t="s">
        <v>5174</v>
      </c>
      <c r="D4258" s="2"/>
    </row>
    <row r="4259" spans="1:4">
      <c r="A4259" s="3">
        <v>237</v>
      </c>
      <c r="B4259" s="3" t="s">
        <v>944</v>
      </c>
      <c r="C4259" s="3" t="s">
        <v>5175</v>
      </c>
      <c r="D4259" s="3"/>
    </row>
    <row r="4260" spans="1:4">
      <c r="A4260" s="2">
        <v>237</v>
      </c>
      <c r="B4260" s="2" t="s">
        <v>944</v>
      </c>
      <c r="C4260" s="2" t="s">
        <v>5176</v>
      </c>
      <c r="D4260" s="2"/>
    </row>
    <row r="4261" spans="1:4">
      <c r="A4261" s="3">
        <v>237</v>
      </c>
      <c r="B4261" s="3" t="s">
        <v>944</v>
      </c>
      <c r="C4261" s="3" t="s">
        <v>5177</v>
      </c>
      <c r="D4261" s="3"/>
    </row>
    <row r="4262" spans="1:4">
      <c r="A4262" s="2">
        <v>237</v>
      </c>
      <c r="B4262" s="2" t="s">
        <v>944</v>
      </c>
      <c r="C4262" s="2" t="s">
        <v>5178</v>
      </c>
      <c r="D4262" s="2"/>
    </row>
    <row r="4263" spans="1:4">
      <c r="A4263" s="3">
        <v>238</v>
      </c>
      <c r="B4263" s="3" t="s">
        <v>947</v>
      </c>
      <c r="C4263" s="3" t="s">
        <v>5179</v>
      </c>
      <c r="D4263" s="3"/>
    </row>
    <row r="4264" spans="1:4">
      <c r="A4264" s="2">
        <v>238</v>
      </c>
      <c r="B4264" s="2" t="s">
        <v>947</v>
      </c>
      <c r="C4264" s="2" t="s">
        <v>5180</v>
      </c>
      <c r="D4264" s="2"/>
    </row>
    <row r="4265" spans="1:4">
      <c r="A4265" s="3">
        <v>238</v>
      </c>
      <c r="B4265" s="3" t="s">
        <v>947</v>
      </c>
      <c r="C4265" s="3" t="s">
        <v>5181</v>
      </c>
      <c r="D4265" s="3"/>
    </row>
    <row r="4266" spans="1:4">
      <c r="A4266" s="2">
        <v>238</v>
      </c>
      <c r="B4266" s="2" t="s">
        <v>947</v>
      </c>
      <c r="C4266" s="2" t="s">
        <v>5182</v>
      </c>
      <c r="D4266" s="2"/>
    </row>
    <row r="4267" spans="1:4">
      <c r="A4267" s="3">
        <v>238</v>
      </c>
      <c r="B4267" s="3" t="s">
        <v>947</v>
      </c>
      <c r="C4267" s="3" t="s">
        <v>5183</v>
      </c>
      <c r="D4267" s="3"/>
    </row>
    <row r="4268" spans="1:4">
      <c r="A4268" s="2">
        <v>238</v>
      </c>
      <c r="B4268" s="2" t="s">
        <v>947</v>
      </c>
      <c r="C4268" s="2" t="s">
        <v>5184</v>
      </c>
      <c r="D4268" s="2"/>
    </row>
    <row r="4269" spans="1:4">
      <c r="A4269" s="3">
        <v>238</v>
      </c>
      <c r="B4269" s="3" t="s">
        <v>947</v>
      </c>
      <c r="C4269" s="3" t="s">
        <v>5185</v>
      </c>
      <c r="D4269" s="3"/>
    </row>
    <row r="4270" spans="1:4">
      <c r="A4270" s="2">
        <v>238</v>
      </c>
      <c r="B4270" s="2" t="s">
        <v>947</v>
      </c>
      <c r="C4270" s="2" t="s">
        <v>5186</v>
      </c>
      <c r="D4270" s="2"/>
    </row>
    <row r="4271" spans="1:4">
      <c r="A4271" s="3">
        <v>238</v>
      </c>
      <c r="B4271" s="3" t="s">
        <v>947</v>
      </c>
      <c r="C4271" s="3" t="s">
        <v>5187</v>
      </c>
      <c r="D4271" s="3"/>
    </row>
    <row r="4272" spans="1:4">
      <c r="A4272" s="2">
        <v>238</v>
      </c>
      <c r="B4272" s="2" t="s">
        <v>947</v>
      </c>
      <c r="C4272" s="2" t="s">
        <v>5188</v>
      </c>
      <c r="D4272" s="2"/>
    </row>
    <row r="4273" spans="1:4">
      <c r="A4273" s="3">
        <v>238</v>
      </c>
      <c r="B4273" s="3" t="s">
        <v>947</v>
      </c>
      <c r="C4273" s="3" t="s">
        <v>5189</v>
      </c>
      <c r="D4273" s="3"/>
    </row>
    <row r="4274" spans="1:4">
      <c r="A4274" s="2">
        <v>238</v>
      </c>
      <c r="B4274" s="2" t="s">
        <v>947</v>
      </c>
      <c r="C4274" s="2" t="s">
        <v>5190</v>
      </c>
      <c r="D4274" s="2"/>
    </row>
    <row r="4275" spans="1:4">
      <c r="A4275" s="3">
        <v>238</v>
      </c>
      <c r="B4275" s="3" t="s">
        <v>947</v>
      </c>
      <c r="C4275" s="3" t="s">
        <v>5191</v>
      </c>
      <c r="D4275" s="3"/>
    </row>
    <row r="4276" spans="1:4">
      <c r="A4276" s="2">
        <v>238</v>
      </c>
      <c r="B4276" s="2" t="s">
        <v>947</v>
      </c>
      <c r="C4276" s="2" t="s">
        <v>5192</v>
      </c>
      <c r="D4276" s="2"/>
    </row>
    <row r="4277" spans="1:4">
      <c r="A4277" s="3">
        <v>238</v>
      </c>
      <c r="B4277" s="3" t="s">
        <v>947</v>
      </c>
      <c r="C4277" s="3" t="s">
        <v>5193</v>
      </c>
      <c r="D4277" s="3"/>
    </row>
    <row r="4278" spans="1:4">
      <c r="A4278" s="2">
        <v>238</v>
      </c>
      <c r="B4278" s="2" t="s">
        <v>947</v>
      </c>
      <c r="C4278" s="2" t="s">
        <v>5194</v>
      </c>
      <c r="D4278" s="2"/>
    </row>
    <row r="4279" spans="1:4">
      <c r="A4279" s="3">
        <v>238</v>
      </c>
      <c r="B4279" s="3" t="s">
        <v>947</v>
      </c>
      <c r="C4279" s="3" t="s">
        <v>5195</v>
      </c>
      <c r="D4279" s="3"/>
    </row>
    <row r="4280" spans="1:4">
      <c r="A4280" s="2">
        <v>238</v>
      </c>
      <c r="B4280" s="2" t="s">
        <v>947</v>
      </c>
      <c r="C4280" s="2" t="s">
        <v>5196</v>
      </c>
      <c r="D4280" s="2"/>
    </row>
    <row r="4281" spans="1:4">
      <c r="A4281" s="3">
        <v>238</v>
      </c>
      <c r="B4281" s="3" t="s">
        <v>947</v>
      </c>
      <c r="C4281" s="3" t="s">
        <v>5197</v>
      </c>
      <c r="D4281" s="3"/>
    </row>
    <row r="4282" spans="1:4">
      <c r="A4282" s="2">
        <v>238</v>
      </c>
      <c r="B4282" s="2" t="s">
        <v>947</v>
      </c>
      <c r="C4282" s="2" t="s">
        <v>5198</v>
      </c>
      <c r="D4282" s="2"/>
    </row>
    <row r="4283" spans="1:4">
      <c r="A4283" s="3">
        <v>238</v>
      </c>
      <c r="B4283" s="3" t="s">
        <v>947</v>
      </c>
      <c r="C4283" s="3" t="s">
        <v>5199</v>
      </c>
      <c r="D4283" s="3"/>
    </row>
    <row r="4284" spans="1:4">
      <c r="A4284" s="2">
        <v>238</v>
      </c>
      <c r="B4284" s="2" t="s">
        <v>947</v>
      </c>
      <c r="C4284" s="2" t="s">
        <v>5200</v>
      </c>
      <c r="D4284" s="2"/>
    </row>
    <row r="4285" spans="1:4">
      <c r="A4285" s="3">
        <v>238</v>
      </c>
      <c r="B4285" s="3" t="s">
        <v>947</v>
      </c>
      <c r="C4285" s="3" t="s">
        <v>5201</v>
      </c>
      <c r="D4285" s="3"/>
    </row>
    <row r="4286" spans="1:4">
      <c r="A4286" s="2">
        <v>238</v>
      </c>
      <c r="B4286" s="2" t="s">
        <v>947</v>
      </c>
      <c r="C4286" s="2" t="s">
        <v>5202</v>
      </c>
      <c r="D4286" s="2"/>
    </row>
    <row r="4287" spans="1:4">
      <c r="A4287" s="3">
        <v>238</v>
      </c>
      <c r="B4287" s="3" t="s">
        <v>947</v>
      </c>
      <c r="C4287" s="3" t="s">
        <v>5203</v>
      </c>
      <c r="D4287" s="3"/>
    </row>
    <row r="4288" spans="1:4">
      <c r="A4288" s="2">
        <v>238</v>
      </c>
      <c r="B4288" s="2" t="s">
        <v>947</v>
      </c>
      <c r="C4288" s="2" t="s">
        <v>5204</v>
      </c>
      <c r="D4288" s="2"/>
    </row>
    <row r="4289" spans="1:4">
      <c r="A4289" s="3">
        <v>238</v>
      </c>
      <c r="B4289" s="3" t="s">
        <v>947</v>
      </c>
      <c r="C4289" s="3" t="s">
        <v>5205</v>
      </c>
      <c r="D4289" s="3"/>
    </row>
    <row r="4290" spans="1:4">
      <c r="A4290" s="2">
        <v>238</v>
      </c>
      <c r="B4290" s="2" t="s">
        <v>947</v>
      </c>
      <c r="C4290" s="2" t="s">
        <v>5206</v>
      </c>
      <c r="D4290" s="2"/>
    </row>
    <row r="4291" spans="1:4">
      <c r="A4291" s="3">
        <v>238</v>
      </c>
      <c r="B4291" s="3" t="s">
        <v>947</v>
      </c>
      <c r="C4291" s="3" t="s">
        <v>5207</v>
      </c>
      <c r="D4291" s="3"/>
    </row>
    <row r="4292" spans="1:4">
      <c r="A4292" s="2">
        <v>238</v>
      </c>
      <c r="B4292" s="2" t="s">
        <v>947</v>
      </c>
      <c r="C4292" s="2" t="s">
        <v>5208</v>
      </c>
      <c r="D4292" s="2"/>
    </row>
    <row r="4293" spans="1:4">
      <c r="A4293" s="3">
        <v>238</v>
      </c>
      <c r="B4293" s="3" t="s">
        <v>947</v>
      </c>
      <c r="C4293" s="3" t="s">
        <v>5209</v>
      </c>
      <c r="D4293" s="3"/>
    </row>
    <row r="4294" spans="1:4">
      <c r="A4294" s="2">
        <v>238</v>
      </c>
      <c r="B4294" s="2" t="s">
        <v>947</v>
      </c>
      <c r="C4294" s="2" t="s">
        <v>5210</v>
      </c>
      <c r="D4294" s="2"/>
    </row>
    <row r="4295" spans="1:4">
      <c r="A4295" s="3">
        <v>238</v>
      </c>
      <c r="B4295" s="3" t="s">
        <v>947</v>
      </c>
      <c r="C4295" s="3" t="s">
        <v>5211</v>
      </c>
      <c r="D4295" s="3"/>
    </row>
    <row r="4296" spans="1:4">
      <c r="A4296" s="2">
        <v>238</v>
      </c>
      <c r="B4296" s="2" t="s">
        <v>947</v>
      </c>
      <c r="C4296" s="2" t="s">
        <v>5212</v>
      </c>
      <c r="D4296" s="2"/>
    </row>
    <row r="4297" spans="1:4">
      <c r="A4297" s="3">
        <v>238</v>
      </c>
      <c r="B4297" s="3" t="s">
        <v>947</v>
      </c>
      <c r="C4297" s="3" t="s">
        <v>5213</v>
      </c>
      <c r="D4297" s="3"/>
    </row>
    <row r="4298" spans="1:4">
      <c r="A4298" s="2">
        <v>238</v>
      </c>
      <c r="B4298" s="2" t="s">
        <v>947</v>
      </c>
      <c r="C4298" s="2" t="s">
        <v>5214</v>
      </c>
      <c r="D4298" s="2"/>
    </row>
    <row r="4299" spans="1:4">
      <c r="A4299" s="3">
        <v>238</v>
      </c>
      <c r="B4299" s="3" t="s">
        <v>947</v>
      </c>
      <c r="C4299" s="3" t="s">
        <v>5215</v>
      </c>
      <c r="D4299" s="3"/>
    </row>
    <row r="4300" spans="1:4">
      <c r="A4300" s="2">
        <v>238</v>
      </c>
      <c r="B4300" s="2" t="s">
        <v>947</v>
      </c>
      <c r="C4300" s="2" t="s">
        <v>5216</v>
      </c>
      <c r="D4300" s="2"/>
    </row>
    <row r="4301" spans="1:4">
      <c r="A4301" s="3">
        <v>238</v>
      </c>
      <c r="B4301" s="3" t="s">
        <v>947</v>
      </c>
      <c r="C4301" s="3" t="s">
        <v>5217</v>
      </c>
      <c r="D4301" s="3"/>
    </row>
    <row r="4302" spans="1:4">
      <c r="A4302" s="2">
        <v>238</v>
      </c>
      <c r="B4302" s="2" t="s">
        <v>947</v>
      </c>
      <c r="C4302" s="2" t="s">
        <v>5218</v>
      </c>
      <c r="D4302" s="2"/>
    </row>
    <row r="4303" spans="1:4">
      <c r="A4303" s="3">
        <v>238</v>
      </c>
      <c r="B4303" s="3" t="s">
        <v>947</v>
      </c>
      <c r="C4303" s="3" t="s">
        <v>5219</v>
      </c>
      <c r="D4303" s="3"/>
    </row>
    <row r="4304" spans="1:4">
      <c r="A4304" s="2">
        <v>238</v>
      </c>
      <c r="B4304" s="2" t="s">
        <v>947</v>
      </c>
      <c r="C4304" s="2" t="s">
        <v>5220</v>
      </c>
      <c r="D4304" s="2"/>
    </row>
    <row r="4305" spans="1:4">
      <c r="A4305" s="3">
        <v>238</v>
      </c>
      <c r="B4305" s="3" t="s">
        <v>947</v>
      </c>
      <c r="C4305" s="3" t="s">
        <v>5221</v>
      </c>
      <c r="D4305" s="3"/>
    </row>
    <row r="4306" spans="1:4">
      <c r="A4306" s="2">
        <v>238</v>
      </c>
      <c r="B4306" s="2" t="s">
        <v>947</v>
      </c>
      <c r="C4306" s="2" t="s">
        <v>5222</v>
      </c>
      <c r="D4306" s="2"/>
    </row>
    <row r="4307" spans="1:4">
      <c r="A4307" s="3">
        <v>238</v>
      </c>
      <c r="B4307" s="3" t="s">
        <v>947</v>
      </c>
      <c r="C4307" s="3" t="s">
        <v>5223</v>
      </c>
      <c r="D4307" s="3"/>
    </row>
    <row r="4308" spans="1:4">
      <c r="A4308" s="2">
        <v>238</v>
      </c>
      <c r="B4308" s="2" t="s">
        <v>947</v>
      </c>
      <c r="C4308" s="2" t="s">
        <v>5224</v>
      </c>
      <c r="D4308" s="2"/>
    </row>
    <row r="4309" spans="1:4">
      <c r="A4309" s="3">
        <v>238</v>
      </c>
      <c r="B4309" s="3" t="s">
        <v>947</v>
      </c>
      <c r="C4309" s="3" t="s">
        <v>5225</v>
      </c>
      <c r="D4309" s="3"/>
    </row>
    <row r="4310" spans="1:4">
      <c r="A4310" s="2">
        <v>238</v>
      </c>
      <c r="B4310" s="2" t="s">
        <v>947</v>
      </c>
      <c r="C4310" s="2" t="s">
        <v>5226</v>
      </c>
      <c r="D4310" s="2"/>
    </row>
    <row r="4311" spans="1:4">
      <c r="A4311" s="3">
        <v>238</v>
      </c>
      <c r="B4311" s="3" t="s">
        <v>947</v>
      </c>
      <c r="C4311" s="3" t="s">
        <v>5227</v>
      </c>
      <c r="D4311" s="3"/>
    </row>
    <row r="4312" spans="1:4">
      <c r="A4312" s="2">
        <v>238</v>
      </c>
      <c r="B4312" s="2" t="s">
        <v>947</v>
      </c>
      <c r="C4312" s="2" t="s">
        <v>5228</v>
      </c>
      <c r="D4312" s="2"/>
    </row>
    <row r="4313" spans="1:4">
      <c r="A4313" s="3">
        <v>239</v>
      </c>
      <c r="B4313" s="3" t="s">
        <v>945</v>
      </c>
      <c r="C4313" s="3" t="s">
        <v>5229</v>
      </c>
      <c r="D4313" s="3"/>
    </row>
    <row r="4314" spans="1:4">
      <c r="A4314" s="2">
        <v>239</v>
      </c>
      <c r="B4314" s="2" t="s">
        <v>945</v>
      </c>
      <c r="C4314" s="2" t="s">
        <v>5230</v>
      </c>
      <c r="D4314" s="2"/>
    </row>
    <row r="4315" spans="1:4">
      <c r="A4315" s="3">
        <v>239</v>
      </c>
      <c r="B4315" s="3" t="s">
        <v>945</v>
      </c>
      <c r="C4315" s="3" t="s">
        <v>5231</v>
      </c>
      <c r="D4315" s="3"/>
    </row>
    <row r="4316" spans="1:4">
      <c r="A4316" s="2">
        <v>239</v>
      </c>
      <c r="B4316" s="2" t="s">
        <v>945</v>
      </c>
      <c r="C4316" s="2" t="s">
        <v>5232</v>
      </c>
      <c r="D4316" s="2"/>
    </row>
    <row r="4317" spans="1:4">
      <c r="A4317" s="3">
        <v>239</v>
      </c>
      <c r="B4317" s="3" t="s">
        <v>945</v>
      </c>
      <c r="C4317" s="3" t="s">
        <v>5233</v>
      </c>
      <c r="D4317" s="3"/>
    </row>
    <row r="4318" spans="1:4">
      <c r="A4318" s="2">
        <v>239</v>
      </c>
      <c r="B4318" s="2" t="s">
        <v>945</v>
      </c>
      <c r="C4318" s="2" t="s">
        <v>5234</v>
      </c>
      <c r="D4318" s="2"/>
    </row>
    <row r="4319" spans="1:4">
      <c r="A4319" s="3">
        <v>239</v>
      </c>
      <c r="B4319" s="3" t="s">
        <v>945</v>
      </c>
      <c r="C4319" s="3" t="s">
        <v>5235</v>
      </c>
      <c r="D4319" s="3"/>
    </row>
    <row r="4320" spans="1:4">
      <c r="A4320" s="2">
        <v>239</v>
      </c>
      <c r="B4320" s="2" t="s">
        <v>945</v>
      </c>
      <c r="C4320" s="2" t="s">
        <v>5236</v>
      </c>
      <c r="D4320" s="2"/>
    </row>
    <row r="4321" spans="1:4">
      <c r="A4321" s="3">
        <v>239</v>
      </c>
      <c r="B4321" s="3" t="s">
        <v>945</v>
      </c>
      <c r="C4321" s="3" t="s">
        <v>5237</v>
      </c>
      <c r="D4321" s="3"/>
    </row>
    <row r="4322" spans="1:4">
      <c r="A4322" s="2">
        <v>239</v>
      </c>
      <c r="B4322" s="2" t="s">
        <v>945</v>
      </c>
      <c r="C4322" s="2" t="s">
        <v>5238</v>
      </c>
      <c r="D4322" s="2"/>
    </row>
    <row r="4323" spans="1:4">
      <c r="A4323" s="3">
        <v>239</v>
      </c>
      <c r="B4323" s="3" t="s">
        <v>945</v>
      </c>
      <c r="C4323" s="3" t="s">
        <v>5239</v>
      </c>
      <c r="D4323" s="3"/>
    </row>
    <row r="4324" spans="1:4">
      <c r="A4324" s="2">
        <v>239</v>
      </c>
      <c r="B4324" s="2" t="s">
        <v>945</v>
      </c>
      <c r="C4324" s="2" t="s">
        <v>5240</v>
      </c>
      <c r="D4324" s="2"/>
    </row>
    <row r="4325" spans="1:4">
      <c r="A4325" s="3">
        <v>239</v>
      </c>
      <c r="B4325" s="3" t="s">
        <v>945</v>
      </c>
      <c r="C4325" s="3" t="s">
        <v>5241</v>
      </c>
      <c r="D4325" s="3"/>
    </row>
    <row r="4326" spans="1:4">
      <c r="A4326" s="2">
        <v>239</v>
      </c>
      <c r="B4326" s="2" t="s">
        <v>945</v>
      </c>
      <c r="C4326" s="2" t="s">
        <v>5242</v>
      </c>
      <c r="D4326" s="2"/>
    </row>
    <row r="4327" spans="1:4">
      <c r="A4327" s="3">
        <v>239</v>
      </c>
      <c r="B4327" s="3" t="s">
        <v>945</v>
      </c>
      <c r="C4327" s="3" t="s">
        <v>5243</v>
      </c>
      <c r="D4327" s="3"/>
    </row>
    <row r="4328" spans="1:4">
      <c r="A4328" s="2">
        <v>239</v>
      </c>
      <c r="B4328" s="2" t="s">
        <v>945</v>
      </c>
      <c r="C4328" s="2" t="s">
        <v>5244</v>
      </c>
      <c r="D4328" s="2"/>
    </row>
    <row r="4329" spans="1:4">
      <c r="A4329" s="3">
        <v>239</v>
      </c>
      <c r="B4329" s="3" t="s">
        <v>945</v>
      </c>
      <c r="C4329" s="3" t="s">
        <v>5245</v>
      </c>
      <c r="D4329" s="3"/>
    </row>
    <row r="4330" spans="1:4">
      <c r="A4330" s="2">
        <v>239</v>
      </c>
      <c r="B4330" s="2" t="s">
        <v>945</v>
      </c>
      <c r="C4330" s="2">
        <f> (ω2ρθΑ2) &lt; (νχ - ω/k) _2</f>
        <v>0</v>
      </c>
      <c r="D4330" s="2"/>
    </row>
    <row r="4331" spans="1:4">
      <c r="A4331" s="3">
        <v>239</v>
      </c>
      <c r="B4331" s="3" t="s">
        <v>945</v>
      </c>
      <c r="C4331" s="3" t="s">
        <v>5246</v>
      </c>
      <c r="D4331" s="3"/>
    </row>
    <row r="4332" spans="1:4">
      <c r="A4332" s="2">
        <v>239</v>
      </c>
      <c r="B4332" s="2" t="s">
        <v>945</v>
      </c>
      <c r="C4332" s="2" t="s">
        <v>5247</v>
      </c>
      <c r="D4332" s="2"/>
    </row>
    <row r="4333" spans="1:4">
      <c r="A4333" s="3">
        <v>239</v>
      </c>
      <c r="B4333" s="3" t="s">
        <v>945</v>
      </c>
      <c r="C4333" s="3" t="s">
        <v>5248</v>
      </c>
      <c r="D4333" s="3"/>
    </row>
    <row r="4334" spans="1:4">
      <c r="A4334" s="2">
        <v>239</v>
      </c>
      <c r="B4334" s="2" t="s">
        <v>945</v>
      </c>
      <c r="C4334" s="2" t="s">
        <v>5249</v>
      </c>
      <c r="D4334" s="2"/>
    </row>
    <row r="4335" spans="1:4">
      <c r="A4335" s="3">
        <v>239</v>
      </c>
      <c r="B4335" s="3" t="s">
        <v>945</v>
      </c>
      <c r="C4335" s="3" t="s">
        <v>5250</v>
      </c>
      <c r="D4335" s="3"/>
    </row>
    <row r="4336" spans="1:4">
      <c r="A4336" s="2">
        <v>239</v>
      </c>
      <c r="B4336" s="2" t="s">
        <v>945</v>
      </c>
      <c r="C4336" s="2" t="s">
        <v>5251</v>
      </c>
      <c r="D4336" s="2"/>
    </row>
    <row r="4337" spans="1:4">
      <c r="A4337" s="3">
        <v>239</v>
      </c>
      <c r="B4337" s="3" t="s">
        <v>945</v>
      </c>
      <c r="C4337" s="3" t="s">
        <v>5201</v>
      </c>
      <c r="D4337" s="3"/>
    </row>
    <row r="4338" spans="1:4">
      <c r="A4338" s="2">
        <v>239</v>
      </c>
      <c r="B4338" s="2" t="s">
        <v>945</v>
      </c>
      <c r="C4338" s="2" t="s">
        <v>5252</v>
      </c>
      <c r="D4338" s="2"/>
    </row>
    <row r="4339" spans="1:4">
      <c r="A4339" s="3">
        <v>239</v>
      </c>
      <c r="B4339" s="3" t="s">
        <v>945</v>
      </c>
      <c r="C4339" s="3" t="s">
        <v>5253</v>
      </c>
      <c r="D4339" s="3"/>
    </row>
    <row r="4340" spans="1:4">
      <c r="A4340" s="2">
        <v>239</v>
      </c>
      <c r="B4340" s="2" t="s">
        <v>945</v>
      </c>
      <c r="C4340" s="2" t="s">
        <v>5254</v>
      </c>
      <c r="D4340" s="2"/>
    </row>
    <row r="4341" spans="1:4">
      <c r="A4341" s="3">
        <v>239</v>
      </c>
      <c r="B4341" s="3" t="s">
        <v>945</v>
      </c>
      <c r="C4341" s="3" t="s">
        <v>5255</v>
      </c>
      <c r="D4341" s="3"/>
    </row>
    <row r="4342" spans="1:4">
      <c r="A4342" s="2">
        <v>239</v>
      </c>
      <c r="B4342" s="2" t="s">
        <v>945</v>
      </c>
      <c r="C4342" s="2" t="s">
        <v>5256</v>
      </c>
      <c r="D4342" s="2"/>
    </row>
    <row r="4343" spans="1:4">
      <c r="A4343" s="3">
        <v>239</v>
      </c>
      <c r="B4343" s="3" t="s">
        <v>945</v>
      </c>
      <c r="C4343" s="3" t="s">
        <v>5257</v>
      </c>
      <c r="D4343" s="3"/>
    </row>
    <row r="4344" spans="1:4">
      <c r="A4344" s="2">
        <v>239</v>
      </c>
      <c r="B4344" s="2" t="s">
        <v>945</v>
      </c>
      <c r="C4344" s="2" t="s">
        <v>5258</v>
      </c>
      <c r="D4344" s="2"/>
    </row>
    <row r="4345" spans="1:4">
      <c r="A4345" s="3">
        <v>239</v>
      </c>
      <c r="B4345" s="3" t="s">
        <v>945</v>
      </c>
      <c r="C4345" s="3" t="s">
        <v>5259</v>
      </c>
      <c r="D4345" s="3"/>
    </row>
    <row r="4346" spans="1:4">
      <c r="A4346" s="2">
        <v>239</v>
      </c>
      <c r="B4346" s="2" t="s">
        <v>945</v>
      </c>
      <c r="C4346" s="2" t="s">
        <v>5260</v>
      </c>
      <c r="D4346" s="2"/>
    </row>
    <row r="4347" spans="1:4">
      <c r="A4347" s="3">
        <v>240</v>
      </c>
      <c r="B4347" s="3" t="s">
        <v>946</v>
      </c>
      <c r="C4347" s="3" t="s">
        <v>5261</v>
      </c>
      <c r="D4347" s="3"/>
    </row>
    <row r="4348" spans="1:4">
      <c r="A4348" s="2">
        <v>240</v>
      </c>
      <c r="B4348" s="2" t="s">
        <v>946</v>
      </c>
      <c r="C4348" s="2" t="s">
        <v>5262</v>
      </c>
      <c r="D4348" s="2"/>
    </row>
    <row r="4349" spans="1:4">
      <c r="A4349" s="3">
        <v>240</v>
      </c>
      <c r="B4349" s="3" t="s">
        <v>946</v>
      </c>
      <c r="C4349" s="3" t="s">
        <v>5263</v>
      </c>
      <c r="D4349" s="3"/>
    </row>
    <row r="4350" spans="1:4">
      <c r="A4350" s="2">
        <v>240</v>
      </c>
      <c r="B4350" s="2" t="s">
        <v>946</v>
      </c>
      <c r="C4350" s="2" t="s">
        <v>5264</v>
      </c>
      <c r="D4350" s="2"/>
    </row>
    <row r="4351" spans="1:4">
      <c r="A4351" s="3">
        <v>240</v>
      </c>
      <c r="B4351" s="3" t="s">
        <v>946</v>
      </c>
      <c r="C4351" s="3" t="s">
        <v>5265</v>
      </c>
      <c r="D4351" s="3"/>
    </row>
    <row r="4352" spans="1:4">
      <c r="A4352" s="2">
        <v>240</v>
      </c>
      <c r="B4352" s="2" t="s">
        <v>946</v>
      </c>
      <c r="C4352" s="2" t="s">
        <v>5266</v>
      </c>
      <c r="D4352" s="2"/>
    </row>
    <row r="4353" spans="1:4">
      <c r="A4353" s="3">
        <v>240</v>
      </c>
      <c r="B4353" s="3" t="s">
        <v>946</v>
      </c>
      <c r="C4353" s="3" t="s">
        <v>5267</v>
      </c>
      <c r="D4353" s="3"/>
    </row>
    <row r="4354" spans="1:4">
      <c r="A4354" s="2">
        <v>240</v>
      </c>
      <c r="B4354" s="2" t="s">
        <v>946</v>
      </c>
      <c r="C4354" s="2" t="s">
        <v>5268</v>
      </c>
      <c r="D4354" s="2"/>
    </row>
    <row r="4355" spans="1:4">
      <c r="A4355" s="3">
        <v>240</v>
      </c>
      <c r="B4355" s="3" t="s">
        <v>946</v>
      </c>
      <c r="C4355" s="3" t="s">
        <v>5269</v>
      </c>
      <c r="D4355" s="3"/>
    </row>
    <row r="4356" spans="1:4">
      <c r="A4356" s="2">
        <v>240</v>
      </c>
      <c r="B4356" s="2" t="s">
        <v>946</v>
      </c>
      <c r="C4356" s="2" t="s">
        <v>5270</v>
      </c>
      <c r="D4356" s="2"/>
    </row>
    <row r="4357" spans="1:4">
      <c r="A4357" s="3">
        <v>240</v>
      </c>
      <c r="B4357" s="3" t="s">
        <v>946</v>
      </c>
      <c r="C4357" s="3">
        <f> F+(v,, ,vj exp Φ + ιφ</f>
        <v>0</v>
      </c>
      <c r="D4357" s="3"/>
    </row>
    <row r="4358" spans="1:4">
      <c r="A4358" s="2">
        <v>240</v>
      </c>
      <c r="B4358" s="2" t="s">
        <v>946</v>
      </c>
      <c r="C4358" s="2" t="s">
        <v>5271</v>
      </c>
      <c r="D4358" s="2"/>
    </row>
    <row r="4359" spans="1:4">
      <c r="A4359" s="3">
        <v>240</v>
      </c>
      <c r="B4359" s="3" t="s">
        <v>946</v>
      </c>
      <c r="C4359" s="3" t="s">
        <v>5272</v>
      </c>
      <c r="D4359" s="3"/>
    </row>
    <row r="4360" spans="1:4">
      <c r="A4360" s="2">
        <v>240</v>
      </c>
      <c r="B4360" s="2" t="s">
        <v>946</v>
      </c>
      <c r="C4360" s="2" t="s">
        <v>5273</v>
      </c>
      <c r="D4360" s="2"/>
    </row>
    <row r="4361" spans="1:4">
      <c r="A4361" s="3">
        <v>240</v>
      </c>
      <c r="B4361" s="3" t="s">
        <v>946</v>
      </c>
      <c r="C4361" s="3" t="s">
        <v>5274</v>
      </c>
      <c r="D4361" s="3"/>
    </row>
    <row r="4362" spans="1:4">
      <c r="A4362" s="2">
        <v>240</v>
      </c>
      <c r="B4362" s="2" t="s">
        <v>946</v>
      </c>
      <c r="C4362" s="2" t="s">
        <v>5275</v>
      </c>
      <c r="D4362" s="2"/>
    </row>
    <row r="4363" spans="1:4">
      <c r="A4363" s="3">
        <v>240</v>
      </c>
      <c r="B4363" s="3" t="s">
        <v>946</v>
      </c>
      <c r="C4363" s="3" t="s">
        <v>5276</v>
      </c>
      <c r="D4363" s="3"/>
    </row>
    <row r="4364" spans="1:4">
      <c r="A4364" s="2">
        <v>240</v>
      </c>
      <c r="B4364" s="2" t="s">
        <v>946</v>
      </c>
      <c r="C4364" s="2" t="s">
        <v>5277</v>
      </c>
      <c r="D4364" s="2"/>
    </row>
    <row r="4365" spans="1:4">
      <c r="A4365" s="3">
        <v>240</v>
      </c>
      <c r="B4365" s="3" t="s">
        <v>946</v>
      </c>
      <c r="C4365" s="3" t="s">
        <v>5278</v>
      </c>
      <c r="D4365" s="3"/>
    </row>
    <row r="4366" spans="1:4">
      <c r="A4366" s="2">
        <v>240</v>
      </c>
      <c r="B4366" s="2" t="s">
        <v>946</v>
      </c>
      <c r="C4366" s="2" t="s">
        <v>5279</v>
      </c>
      <c r="D4366" s="2"/>
    </row>
    <row r="4367" spans="1:4">
      <c r="A4367" s="3">
        <v>240</v>
      </c>
      <c r="B4367" s="3" t="s">
        <v>946</v>
      </c>
      <c r="C4367" s="3" t="s">
        <v>5280</v>
      </c>
      <c r="D4367" s="3"/>
    </row>
    <row r="4368" spans="1:4">
      <c r="A4368" s="2">
        <v>240</v>
      </c>
      <c r="B4368" s="2" t="s">
        <v>946</v>
      </c>
      <c r="C4368" s="2">
        <f> 2π ; for n = 0</f>
        <v>0</v>
      </c>
      <c r="D4368" s="2"/>
    </row>
    <row r="4369" spans="1:4">
      <c r="A4369" s="3">
        <v>240</v>
      </c>
      <c r="B4369" s="3" t="s">
        <v>946</v>
      </c>
      <c r="C4369" s="3" t="s">
        <v>5281</v>
      </c>
      <c r="D4369" s="3"/>
    </row>
    <row r="4370" spans="1:4">
      <c r="A4370" s="2">
        <v>240</v>
      </c>
      <c r="B4370" s="2" t="s">
        <v>946</v>
      </c>
      <c r="C4370" s="2" t="s">
        <v>5282</v>
      </c>
      <c r="D4370" s="2"/>
    </row>
    <row r="4371" spans="1:4">
      <c r="A4371" s="3">
        <v>240</v>
      </c>
      <c r="B4371" s="3" t="s">
        <v>946</v>
      </c>
      <c r="C4371" s="3" t="s">
        <v>5283</v>
      </c>
      <c r="D4371" s="3"/>
    </row>
    <row r="4372" spans="1:4">
      <c r="A4372" s="2">
        <v>240</v>
      </c>
      <c r="B4372" s="2" t="s">
        <v>946</v>
      </c>
      <c r="C4372" s="2" t="s">
        <v>5284</v>
      </c>
      <c r="D4372" s="2"/>
    </row>
    <row r="4373" spans="1:4">
      <c r="A4373" s="3">
        <v>240</v>
      </c>
      <c r="B4373" s="3" t="s">
        <v>946</v>
      </c>
      <c r="C4373" s="3" t="s">
        <v>5285</v>
      </c>
      <c r="D4373" s="3"/>
    </row>
    <row r="4374" spans="1:4">
      <c r="A4374" s="2">
        <v>240</v>
      </c>
      <c r="B4374" s="2" t="s">
        <v>946</v>
      </c>
      <c r="C4374" s="2" t="s">
        <v>5286</v>
      </c>
      <c r="D4374" s="2"/>
    </row>
    <row r="4375" spans="1:4">
      <c r="A4375" s="3">
        <v>240</v>
      </c>
      <c r="B4375" s="3" t="s">
        <v>946</v>
      </c>
      <c r="C4375" s="3" t="s">
        <v>5287</v>
      </c>
      <c r="D4375" s="3"/>
    </row>
    <row r="4376" spans="1:4">
      <c r="A4376" s="2">
        <v>240</v>
      </c>
      <c r="B4376" s="2" t="s">
        <v>946</v>
      </c>
      <c r="C4376" s="2" t="s">
        <v>5288</v>
      </c>
      <c r="D4376" s="2"/>
    </row>
    <row r="4377" spans="1:4">
      <c r="A4377" s="3">
        <v>240</v>
      </c>
      <c r="B4377" s="3" t="s">
        <v>946</v>
      </c>
      <c r="C4377" s="3" t="s">
        <v>5289</v>
      </c>
      <c r="D4377" s="3"/>
    </row>
    <row r="4378" spans="1:4">
      <c r="A4378" s="2">
        <v>240</v>
      </c>
      <c r="B4378" s="2" t="s">
        <v>946</v>
      </c>
      <c r="C4378" s="2">
        <f> (ε 0/ω) (ω2 - V C2) E ± (2.68)</f>
        <v>0</v>
      </c>
      <c r="D4378" s="2"/>
    </row>
    <row r="4379" spans="1:4">
      <c r="A4379" s="3">
        <v>240</v>
      </c>
      <c r="B4379" s="3" t="s">
        <v>946</v>
      </c>
      <c r="C4379" s="3" t="s">
        <v>5290</v>
      </c>
      <c r="D4379" s="3"/>
    </row>
    <row r="4380" spans="1:4">
      <c r="A4380" s="2">
        <v>240</v>
      </c>
      <c r="B4380" s="2" t="s">
        <v>946</v>
      </c>
      <c r="C4380" s="2" t="s">
        <v>5291</v>
      </c>
      <c r="D4380" s="2"/>
    </row>
    <row r="4381" spans="1:4">
      <c r="A4381" s="3">
        <v>240</v>
      </c>
      <c r="B4381" s="3" t="s">
        <v>946</v>
      </c>
      <c r="C4381" s="3" t="s">
        <v>5292</v>
      </c>
      <c r="D4381" s="3"/>
    </row>
    <row r="4382" spans="1:4">
      <c r="A4382" s="2">
        <v>240</v>
      </c>
      <c r="B4382" s="2" t="s">
        <v>946</v>
      </c>
      <c r="C4382" s="2" t="s">
        <v>5293</v>
      </c>
      <c r="D4382" s="2"/>
    </row>
    <row r="4383" spans="1:4">
      <c r="A4383" s="3">
        <v>240</v>
      </c>
      <c r="B4383" s="3" t="s">
        <v>946</v>
      </c>
      <c r="C4383" s="3" t="s">
        <v>5294</v>
      </c>
      <c r="D4383" s="3"/>
    </row>
    <row r="4384" spans="1:4">
      <c r="A4384" s="2">
        <v>241</v>
      </c>
      <c r="B4384" s="2" t="s">
        <v>890</v>
      </c>
      <c r="C4384" s="2" t="s">
        <v>5295</v>
      </c>
      <c r="D4384" s="2"/>
    </row>
    <row r="4385" spans="1:4">
      <c r="A4385" s="3">
        <v>241</v>
      </c>
      <c r="B4385" s="3" t="s">
        <v>890</v>
      </c>
      <c r="C4385" s="3" t="s">
        <v>5296</v>
      </c>
      <c r="D4385" s="3"/>
    </row>
    <row r="4386" spans="1:4">
      <c r="A4386" s="2">
        <v>241</v>
      </c>
      <c r="B4386" s="2" t="s">
        <v>890</v>
      </c>
      <c r="C4386" s="2" t="s">
        <v>5297</v>
      </c>
      <c r="D4386" s="2"/>
    </row>
    <row r="4387" spans="1:4">
      <c r="A4387" s="3">
        <v>241</v>
      </c>
      <c r="B4387" s="3" t="s">
        <v>890</v>
      </c>
      <c r="C4387" s="3" t="s">
        <v>5298</v>
      </c>
      <c r="D4387" s="3"/>
    </row>
    <row r="4388" spans="1:4">
      <c r="A4388" s="2">
        <v>241</v>
      </c>
      <c r="B4388" s="2" t="s">
        <v>890</v>
      </c>
      <c r="C4388" s="2" t="s">
        <v>5299</v>
      </c>
      <c r="D4388" s="2"/>
    </row>
    <row r="4389" spans="1:4">
      <c r="A4389" s="3">
        <v>241</v>
      </c>
      <c r="B4389" s="3" t="s">
        <v>890</v>
      </c>
      <c r="C4389" s="3" t="s">
        <v>5300</v>
      </c>
      <c r="D4389" s="3"/>
    </row>
    <row r="4390" spans="1:4">
      <c r="A4390" s="2">
        <v>241</v>
      </c>
      <c r="B4390" s="2" t="s">
        <v>890</v>
      </c>
      <c r="C4390" s="2" t="s">
        <v>5301</v>
      </c>
      <c r="D4390" s="2"/>
    </row>
    <row r="4391" spans="1:4">
      <c r="A4391" s="3">
        <v>241</v>
      </c>
      <c r="B4391" s="3" t="s">
        <v>890</v>
      </c>
      <c r="C4391" s="3" t="s">
        <v>5302</v>
      </c>
      <c r="D4391" s="3"/>
    </row>
    <row r="4392" spans="1:4">
      <c r="A4392" s="2">
        <v>241</v>
      </c>
      <c r="B4392" s="2" t="s">
        <v>890</v>
      </c>
      <c r="C4392" s="2" t="s">
        <v>5303</v>
      </c>
      <c r="D4392" s="2"/>
    </row>
    <row r="4393" spans="1:4">
      <c r="A4393" s="3">
        <v>241</v>
      </c>
      <c r="B4393" s="3" t="s">
        <v>890</v>
      </c>
      <c r="C4393" s="3" t="s">
        <v>5304</v>
      </c>
      <c r="D4393" s="3"/>
    </row>
    <row r="4394" spans="1:4">
      <c r="A4394" s="2">
        <v>241</v>
      </c>
      <c r="B4394" s="2" t="s">
        <v>890</v>
      </c>
      <c r="C4394" s="2" t="s">
        <v>5305</v>
      </c>
      <c r="D4394" s="2"/>
    </row>
    <row r="4395" spans="1:4">
      <c r="A4395" s="3">
        <v>241</v>
      </c>
      <c r="B4395" s="3" t="s">
        <v>890</v>
      </c>
      <c r="C4395" s="3" t="s">
        <v>5306</v>
      </c>
      <c r="D4395" s="3"/>
    </row>
    <row r="4396" spans="1:4">
      <c r="A4396" s="2">
        <v>241</v>
      </c>
      <c r="B4396" s="2" t="s">
        <v>890</v>
      </c>
      <c r="C4396" s="2" t="s">
        <v>5307</v>
      </c>
      <c r="D4396" s="2"/>
    </row>
    <row r="4397" spans="1:4">
      <c r="A4397" s="3">
        <v>241</v>
      </c>
      <c r="B4397" s="3" t="s">
        <v>890</v>
      </c>
      <c r="C4397" s="3" t="s">
        <v>5308</v>
      </c>
      <c r="D4397" s="3"/>
    </row>
    <row r="4398" spans="1:4">
      <c r="A4398" s="2">
        <v>241</v>
      </c>
      <c r="B4398" s="2" t="s">
        <v>890</v>
      </c>
      <c r="C4398" s="2" t="s">
        <v>5309</v>
      </c>
      <c r="D4398" s="2"/>
    </row>
    <row r="4399" spans="1:4">
      <c r="A4399" s="3">
        <v>241</v>
      </c>
      <c r="B4399" s="3" t="s">
        <v>890</v>
      </c>
      <c r="C4399" s="3" t="s">
        <v>5310</v>
      </c>
      <c r="D4399" s="3"/>
    </row>
    <row r="4400" spans="1:4">
      <c r="A4400" s="2">
        <v>241</v>
      </c>
      <c r="B4400" s="2" t="s">
        <v>890</v>
      </c>
      <c r="C4400" s="2" t="s">
        <v>5311</v>
      </c>
      <c r="D4400" s="2"/>
    </row>
    <row r="4401" spans="1:4">
      <c r="A4401" s="3">
        <v>241</v>
      </c>
      <c r="B4401" s="3" t="s">
        <v>890</v>
      </c>
      <c r="C4401" s="3" t="s">
        <v>5312</v>
      </c>
      <c r="D4401" s="3"/>
    </row>
    <row r="4402" spans="1:4">
      <c r="A4402" s="2">
        <v>241</v>
      </c>
      <c r="B4402" s="2" t="s">
        <v>890</v>
      </c>
      <c r="C4402" s="2" t="s">
        <v>5313</v>
      </c>
      <c r="D4402" s="2"/>
    </row>
    <row r="4403" spans="1:4">
      <c r="A4403" s="3">
        <v>241</v>
      </c>
      <c r="B4403" s="3" t="s">
        <v>890</v>
      </c>
      <c r="C4403" s="3" t="s">
        <v>5314</v>
      </c>
      <c r="D4403" s="3"/>
    </row>
    <row r="4404" spans="1:4">
      <c r="A4404" s="2">
        <v>241</v>
      </c>
      <c r="B4404" s="2" t="s">
        <v>890</v>
      </c>
      <c r="C4404" s="2" t="s">
        <v>5315</v>
      </c>
      <c r="D4404" s="2"/>
    </row>
    <row r="4405" spans="1:4">
      <c r="A4405" s="3">
        <v>241</v>
      </c>
      <c r="B4405" s="3" t="s">
        <v>890</v>
      </c>
      <c r="C4405" s="3" t="s">
        <v>5316</v>
      </c>
      <c r="D4405" s="3"/>
    </row>
    <row r="4406" spans="1:4">
      <c r="A4406" s="2">
        <v>241</v>
      </c>
      <c r="B4406" s="2" t="s">
        <v>890</v>
      </c>
      <c r="C4406" s="2" t="s">
        <v>5317</v>
      </c>
      <c r="D4406" s="2"/>
    </row>
    <row r="4407" spans="1:4">
      <c r="A4407" s="3">
        <v>241</v>
      </c>
      <c r="B4407" s="3" t="s">
        <v>890</v>
      </c>
      <c r="C4407" s="3" t="s">
        <v>5318</v>
      </c>
      <c r="D4407" s="3"/>
    </row>
    <row r="4408" spans="1:4">
      <c r="A4408" s="2">
        <v>241</v>
      </c>
      <c r="B4408" s="2" t="s">
        <v>890</v>
      </c>
      <c r="C4408" s="2" t="s">
        <v>5319</v>
      </c>
      <c r="D4408" s="2"/>
    </row>
    <row r="4409" spans="1:4">
      <c r="A4409" s="3">
        <v>241</v>
      </c>
      <c r="B4409" s="3" t="s">
        <v>890</v>
      </c>
      <c r="C4409" s="3" t="s">
        <v>5320</v>
      </c>
      <c r="D4409" s="3"/>
    </row>
    <row r="4410" spans="1:4">
      <c r="A4410" s="2">
        <v>241</v>
      </c>
      <c r="B4410" s="2" t="s">
        <v>890</v>
      </c>
      <c r="C4410" s="2" t="s">
        <v>5321</v>
      </c>
      <c r="D4410" s="2"/>
    </row>
    <row r="4411" spans="1:4">
      <c r="A4411" s="3">
        <v>241</v>
      </c>
      <c r="B4411" s="3" t="s">
        <v>890</v>
      </c>
      <c r="C4411" s="3">
        <f> - qS/m = (|q|B/m) ως = ως ως (4.7)</f>
        <v>0</v>
      </c>
      <c r="D4411" s="3"/>
    </row>
    <row r="4412" spans="1:4">
      <c r="A4412" s="2">
        <v>241</v>
      </c>
      <c r="B4412" s="2" t="s">
        <v>890</v>
      </c>
      <c r="C4412" s="2" t="s">
        <v>5322</v>
      </c>
      <c r="D4412" s="2"/>
    </row>
    <row r="4413" spans="1:4">
      <c r="A4413" s="3">
        <v>241</v>
      </c>
      <c r="B4413" s="3" t="s">
        <v>890</v>
      </c>
      <c r="C4413" s="3" t="s">
        <v>5323</v>
      </c>
      <c r="D4413" s="3"/>
    </row>
    <row r="4414" spans="1:4">
      <c r="A4414" s="2">
        <v>241</v>
      </c>
      <c r="B4414" s="2" t="s">
        <v>890</v>
      </c>
      <c r="C4414" s="2" t="s">
        <v>5324</v>
      </c>
      <c r="D4414" s="2"/>
    </row>
    <row r="4415" spans="1:4">
      <c r="A4415" s="3">
        <v>241</v>
      </c>
      <c r="B4415" s="3" t="s">
        <v>890</v>
      </c>
      <c r="C4415" s="3" t="s">
        <v>5325</v>
      </c>
      <c r="D4415" s="3"/>
    </row>
    <row r="4416" spans="1:4">
      <c r="A4416" s="2">
        <v>241</v>
      </c>
      <c r="B4416" s="2" t="s">
        <v>890</v>
      </c>
      <c r="C4416" s="2" t="s">
        <v>5326</v>
      </c>
      <c r="D4416" s="2"/>
    </row>
    <row r="4417" spans="1:4">
      <c r="A4417" s="3">
        <v>241</v>
      </c>
      <c r="B4417" s="3" t="s">
        <v>890</v>
      </c>
      <c r="C4417" s="3" t="s">
        <v>5327</v>
      </c>
      <c r="D4417" s="3"/>
    </row>
    <row r="4418" spans="1:4">
      <c r="A4418" s="2">
        <v>241</v>
      </c>
      <c r="B4418" s="2" t="s">
        <v>890</v>
      </c>
      <c r="C4418" s="2" t="s">
        <v>5328</v>
      </c>
      <c r="D4418" s="2"/>
    </row>
    <row r="4419" spans="1:4">
      <c r="A4419" s="3">
        <v>241</v>
      </c>
      <c r="B4419" s="3" t="s">
        <v>890</v>
      </c>
      <c r="C4419" s="3" t="s">
        <v>5329</v>
      </c>
      <c r="D4419" s="3"/>
    </row>
    <row r="4420" spans="1:4">
      <c r="A4420" s="2">
        <v>241</v>
      </c>
      <c r="B4420" s="2" t="s">
        <v>890</v>
      </c>
      <c r="C4420" s="2" t="s">
        <v>5330</v>
      </c>
      <c r="D4420" s="2"/>
    </row>
    <row r="4421" spans="1:4">
      <c r="A4421" s="3">
        <v>241</v>
      </c>
      <c r="B4421" s="3" t="s">
        <v>890</v>
      </c>
      <c r="C4421" s="3" t="s">
        <v>5331</v>
      </c>
      <c r="D4421" s="3"/>
    </row>
    <row r="4422" spans="1:4">
      <c r="A4422" s="2">
        <v>241</v>
      </c>
      <c r="B4422" s="2" t="s">
        <v>890</v>
      </c>
      <c r="C4422" s="2" t="s">
        <v>5332</v>
      </c>
      <c r="D4422" s="2"/>
    </row>
    <row r="4423" spans="1:4">
      <c r="A4423" s="3">
        <v>241</v>
      </c>
      <c r="B4423" s="3" t="s">
        <v>890</v>
      </c>
      <c r="C4423" s="3" t="s">
        <v>5333</v>
      </c>
      <c r="D4423" s="3"/>
    </row>
    <row r="4424" spans="1:4">
      <c r="A4424" s="2">
        <v>241</v>
      </c>
      <c r="B4424" s="2" t="s">
        <v>890</v>
      </c>
      <c r="C4424" s="2" t="s">
        <v>5334</v>
      </c>
      <c r="D4424" s="2"/>
    </row>
    <row r="4425" spans="1:4">
      <c r="A4425" s="3">
        <v>241</v>
      </c>
      <c r="B4425" s="3" t="s">
        <v>890</v>
      </c>
      <c r="C4425" s="3" t="s">
        <v>5335</v>
      </c>
      <c r="D4425" s="3"/>
    </row>
    <row r="4426" spans="1:4">
      <c r="A4426" s="2">
        <v>241</v>
      </c>
      <c r="B4426" s="2" t="s">
        <v>890</v>
      </c>
      <c r="C4426" s="2" t="s">
        <v>5336</v>
      </c>
      <c r="D4426" s="2"/>
    </row>
    <row r="4427" spans="1:4">
      <c r="A4427" s="3">
        <v>241</v>
      </c>
      <c r="B4427" s="3" t="s">
        <v>890</v>
      </c>
      <c r="C4427" s="3" t="s">
        <v>5337</v>
      </c>
      <c r="D4427" s="3"/>
    </row>
    <row r="4428" spans="1:4">
      <c r="A4428" s="2">
        <v>241</v>
      </c>
      <c r="B4428" s="2" t="s">
        <v>890</v>
      </c>
      <c r="C4428" s="2" t="s">
        <v>5338</v>
      </c>
      <c r="D4428" s="2"/>
    </row>
    <row r="4429" spans="1:4">
      <c r="A4429" s="3">
        <v>241</v>
      </c>
      <c r="B4429" s="3" t="s">
        <v>890</v>
      </c>
      <c r="C4429" s="3" t="s">
        <v>5339</v>
      </c>
      <c r="D4429" s="3"/>
    </row>
    <row r="4430" spans="1:4">
      <c r="A4430" s="2">
        <v>241</v>
      </c>
      <c r="B4430" s="2" t="s">
        <v>890</v>
      </c>
      <c r="C4430" s="2" t="s">
        <v>5340</v>
      </c>
      <c r="D4430" s="2"/>
    </row>
    <row r="4431" spans="1:4">
      <c r="A4431" s="3">
        <v>241</v>
      </c>
      <c r="B4431" s="3" t="s">
        <v>890</v>
      </c>
      <c r="C4431" s="3" t="s">
        <v>5341</v>
      </c>
      <c r="D4431" s="3"/>
    </row>
    <row r="4432" spans="1:4">
      <c r="A4432" s="2">
        <v>241</v>
      </c>
      <c r="B4432" s="2" t="s">
        <v>890</v>
      </c>
      <c r="C4432" s="2" t="s">
        <v>5342</v>
      </c>
      <c r="D4432" s="2"/>
    </row>
    <row r="4433" spans="1:4">
      <c r="A4433" s="3">
        <v>241</v>
      </c>
      <c r="B4433" s="3" t="s">
        <v>890</v>
      </c>
      <c r="C4433" s="3" t="s">
        <v>5343</v>
      </c>
      <c r="D4433" s="3"/>
    </row>
    <row r="4434" spans="1:4">
      <c r="A4434" s="2">
        <v>242</v>
      </c>
      <c r="B4434" s="2" t="s">
        <v>939</v>
      </c>
      <c r="C4434" s="2" t="s">
        <v>5344</v>
      </c>
      <c r="D4434" s="2"/>
    </row>
    <row r="4435" spans="1:4">
      <c r="A4435" s="3">
        <v>242</v>
      </c>
      <c r="B4435" s="3" t="s">
        <v>939</v>
      </c>
      <c r="C4435" s="3" t="s">
        <v>5345</v>
      </c>
      <c r="D4435" s="3"/>
    </row>
    <row r="4436" spans="1:4">
      <c r="A4436" s="2">
        <v>242</v>
      </c>
      <c r="B4436" s="2" t="s">
        <v>939</v>
      </c>
      <c r="C4436" s="2" t="s">
        <v>5346</v>
      </c>
      <c r="D4436" s="2"/>
    </row>
    <row r="4437" spans="1:4">
      <c r="A4437" s="3">
        <v>242</v>
      </c>
      <c r="B4437" s="3" t="s">
        <v>939</v>
      </c>
      <c r="C4437" s="3" t="s">
        <v>5347</v>
      </c>
      <c r="D4437" s="3"/>
    </row>
    <row r="4438" spans="1:4">
      <c r="A4438" s="2">
        <v>242</v>
      </c>
      <c r="B4438" s="2" t="s">
        <v>939</v>
      </c>
      <c r="C4438" s="2" t="s">
        <v>5348</v>
      </c>
      <c r="D4438" s="2"/>
    </row>
    <row r="4439" spans="1:4">
      <c r="A4439" s="3">
        <v>242</v>
      </c>
      <c r="B4439" s="3" t="s">
        <v>939</v>
      </c>
      <c r="C4439" s="3" t="s">
        <v>5349</v>
      </c>
      <c r="D4439" s="3"/>
    </row>
    <row r="4440" spans="1:4">
      <c r="A4440" s="2">
        <v>242</v>
      </c>
      <c r="B4440" s="2" t="s">
        <v>939</v>
      </c>
      <c r="C4440" s="2" t="s">
        <v>5349</v>
      </c>
      <c r="D4440" s="2"/>
    </row>
    <row r="4441" spans="1:4">
      <c r="A4441" s="3">
        <v>242</v>
      </c>
      <c r="B4441" s="3" t="s">
        <v>939</v>
      </c>
      <c r="C4441" s="3" t="s">
        <v>5350</v>
      </c>
      <c r="D4441" s="3"/>
    </row>
    <row r="4442" spans="1:4">
      <c r="A4442" s="2">
        <v>242</v>
      </c>
      <c r="B4442" s="2" t="s">
        <v>939</v>
      </c>
      <c r="C4442" s="2" t="s">
        <v>5351</v>
      </c>
      <c r="D4442" s="2"/>
    </row>
    <row r="4443" spans="1:4">
      <c r="A4443" s="3">
        <v>242</v>
      </c>
      <c r="B4443" s="3" t="s">
        <v>939</v>
      </c>
      <c r="C4443" s="3" t="s">
        <v>5352</v>
      </c>
      <c r="D4443" s="3"/>
    </row>
    <row r="4444" spans="1:4">
      <c r="A4444" s="2">
        <v>242</v>
      </c>
      <c r="B4444" s="2" t="s">
        <v>939</v>
      </c>
      <c r="C4444" s="2" t="s">
        <v>5353</v>
      </c>
      <c r="D4444" s="2"/>
    </row>
    <row r="4445" spans="1:4">
      <c r="A4445" s="3">
        <v>242</v>
      </c>
      <c r="B4445" s="3" t="s">
        <v>939</v>
      </c>
      <c r="C4445" s="3" t="s">
        <v>5354</v>
      </c>
      <c r="D4445" s="3"/>
    </row>
    <row r="4446" spans="1:4">
      <c r="A4446" s="2">
        <v>242</v>
      </c>
      <c r="B4446" s="2" t="s">
        <v>939</v>
      </c>
      <c r="C4446" s="2" t="s">
        <v>5355</v>
      </c>
      <c r="D4446" s="2"/>
    </row>
    <row r="4447" spans="1:4">
      <c r="A4447" s="3">
        <v>242</v>
      </c>
      <c r="B4447" s="3" t="s">
        <v>939</v>
      </c>
      <c r="C4447" s="3" t="s">
        <v>5356</v>
      </c>
      <c r="D4447" s="3"/>
    </row>
    <row r="4448" spans="1:4">
      <c r="A4448" s="2">
        <v>242</v>
      </c>
      <c r="B4448" s="2" t="s">
        <v>939</v>
      </c>
      <c r="C4448" s="2" t="s">
        <v>5357</v>
      </c>
      <c r="D4448" s="2"/>
    </row>
    <row r="4449" spans="1:4">
      <c r="A4449" s="3">
        <v>242</v>
      </c>
      <c r="B4449" s="3" t="s">
        <v>939</v>
      </c>
      <c r="C4449" s="3" t="s">
        <v>5358</v>
      </c>
      <c r="D4449" s="3"/>
    </row>
    <row r="4450" spans="1:4">
      <c r="A4450" s="2">
        <v>242</v>
      </c>
      <c r="B4450" s="2" t="s">
        <v>939</v>
      </c>
      <c r="C4450" s="2" t="s">
        <v>5359</v>
      </c>
      <c r="D4450" s="2"/>
    </row>
    <row r="4451" spans="1:4">
      <c r="A4451" s="3">
        <v>242</v>
      </c>
      <c r="B4451" s="3" t="s">
        <v>939</v>
      </c>
      <c r="C4451" s="3" t="s">
        <v>5360</v>
      </c>
      <c r="D4451" s="3"/>
    </row>
    <row r="4452" spans="1:4">
      <c r="A4452" s="2">
        <v>242</v>
      </c>
      <c r="B4452" s="2" t="s">
        <v>939</v>
      </c>
      <c r="C4452" s="2" t="s">
        <v>5361</v>
      </c>
      <c r="D4452" s="2"/>
    </row>
    <row r="4453" spans="1:4">
      <c r="A4453" s="3">
        <v>242</v>
      </c>
      <c r="B4453" s="3" t="s">
        <v>939</v>
      </c>
      <c r="C4453" s="3" t="s">
        <v>5362</v>
      </c>
      <c r="D4453" s="3"/>
    </row>
    <row r="4454" spans="1:4">
      <c r="A4454" s="2">
        <v>242</v>
      </c>
      <c r="B4454" s="2" t="s">
        <v>939</v>
      </c>
      <c r="C4454" s="2" t="s">
        <v>5363</v>
      </c>
      <c r="D4454" s="2"/>
    </row>
    <row r="4455" spans="1:4">
      <c r="A4455" s="3">
        <v>242</v>
      </c>
      <c r="B4455" s="3" t="s">
        <v>939</v>
      </c>
      <c r="C4455" s="3">
        <f> g cos χ - g = v (cosx - 1) (4.12)</f>
        <v>0</v>
      </c>
      <c r="D4455" s="3"/>
    </row>
    <row r="4456" spans="1:4">
      <c r="A4456" s="2">
        <v>242</v>
      </c>
      <c r="B4456" s="2" t="s">
        <v>939</v>
      </c>
      <c r="C4456" s="2" t="s">
        <v>5364</v>
      </c>
      <c r="D4456" s="2"/>
    </row>
    <row r="4457" spans="1:4">
      <c r="A4457" s="3">
        <v>242</v>
      </c>
      <c r="B4457" s="3" t="s">
        <v>939</v>
      </c>
      <c r="C4457" s="3" t="s">
        <v>5365</v>
      </c>
      <c r="D4457" s="3"/>
    </row>
    <row r="4458" spans="1:4">
      <c r="A4458" s="2">
        <v>242</v>
      </c>
      <c r="B4458" s="2" t="s">
        <v>939</v>
      </c>
      <c r="C4458" s="2" t="s">
        <v>5366</v>
      </c>
      <c r="D4458" s="2"/>
    </row>
    <row r="4459" spans="1:4">
      <c r="A4459" s="3">
        <v>242</v>
      </c>
      <c r="B4459" s="3" t="s">
        <v>939</v>
      </c>
      <c r="C4459" s="3" t="s">
        <v>5367</v>
      </c>
      <c r="D4459" s="3"/>
    </row>
    <row r="4460" spans="1:4">
      <c r="A4460" s="2">
        <v>242</v>
      </c>
      <c r="B4460" s="2" t="s">
        <v>939</v>
      </c>
      <c r="C4460" s="2" t="s">
        <v>5368</v>
      </c>
      <c r="D4460" s="2"/>
    </row>
    <row r="4461" spans="1:4">
      <c r="A4461" s="3">
        <v>242</v>
      </c>
      <c r="B4461" s="3" t="s">
        <v>939</v>
      </c>
      <c r="C4461" s="3" t="s">
        <v>5369</v>
      </c>
      <c r="D4461" s="3"/>
    </row>
    <row r="4462" spans="1:4">
      <c r="A4462" s="2">
        <v>242</v>
      </c>
      <c r="B4462" s="2" t="s">
        <v>939</v>
      </c>
      <c r="C4462" s="2" t="s">
        <v>5370</v>
      </c>
      <c r="D4462" s="2"/>
    </row>
    <row r="4463" spans="1:4">
      <c r="A4463" s="3">
        <v>242</v>
      </c>
      <c r="B4463" s="3" t="s">
        <v>939</v>
      </c>
      <c r="C4463" s="3" t="s">
        <v>5371</v>
      </c>
      <c r="D4463" s="3"/>
    </row>
    <row r="4464" spans="1:4">
      <c r="A4464" s="2">
        <v>242</v>
      </c>
      <c r="B4464" s="2" t="s">
        <v>939</v>
      </c>
      <c r="C4464" s="2" t="s">
        <v>5372</v>
      </c>
      <c r="D4464" s="2"/>
    </row>
    <row r="4465" spans="1:4">
      <c r="A4465" s="3">
        <v>242</v>
      </c>
      <c r="B4465" s="3" t="s">
        <v>939</v>
      </c>
      <c r="C4465" s="3" t="s">
        <v>5373</v>
      </c>
      <c r="D4465" s="3"/>
    </row>
    <row r="4466" spans="1:4">
      <c r="A4466" s="2">
        <v>242</v>
      </c>
      <c r="B4466" s="2" t="s">
        <v>939</v>
      </c>
      <c r="C4466" s="2" t="s">
        <v>5374</v>
      </c>
      <c r="D4466" s="2"/>
    </row>
    <row r="4467" spans="1:4">
      <c r="A4467" s="3">
        <v>243</v>
      </c>
      <c r="B4467" s="3" t="s">
        <v>941</v>
      </c>
      <c r="C4467" s="3" t="s">
        <v>5375</v>
      </c>
      <c r="D4467" s="3"/>
    </row>
    <row r="4468" spans="1:4">
      <c r="A4468" s="2">
        <v>243</v>
      </c>
      <c r="B4468" s="2" t="s">
        <v>941</v>
      </c>
      <c r="C4468" s="2" t="s">
        <v>5376</v>
      </c>
      <c r="D4468" s="2"/>
    </row>
    <row r="4469" spans="1:4">
      <c r="A4469" s="3">
        <v>243</v>
      </c>
      <c r="B4469" s="3" t="s">
        <v>941</v>
      </c>
      <c r="C4469" s="3" t="s">
        <v>5377</v>
      </c>
      <c r="D4469" s="3"/>
    </row>
    <row r="4470" spans="1:4">
      <c r="A4470" s="2">
        <v>243</v>
      </c>
      <c r="B4470" s="2" t="s">
        <v>941</v>
      </c>
      <c r="C4470" s="2" t="s">
        <v>5378</v>
      </c>
      <c r="D4470" s="2"/>
    </row>
    <row r="4471" spans="1:4">
      <c r="A4471" s="3">
        <v>243</v>
      </c>
      <c r="B4471" s="3" t="s">
        <v>941</v>
      </c>
      <c r="C4471" s="3" t="s">
        <v>5379</v>
      </c>
      <c r="D4471" s="3"/>
    </row>
    <row r="4472" spans="1:4">
      <c r="A4472" s="2">
        <v>243</v>
      </c>
      <c r="B4472" s="2" t="s">
        <v>941</v>
      </c>
      <c r="C4472" s="2" t="s">
        <v>5380</v>
      </c>
      <c r="D4472" s="2"/>
    </row>
    <row r="4473" spans="1:4">
      <c r="A4473" s="3">
        <v>243</v>
      </c>
      <c r="B4473" s="3" t="s">
        <v>941</v>
      </c>
      <c r="C4473" s="3" t="s">
        <v>5381</v>
      </c>
      <c r="D4473" s="3"/>
    </row>
    <row r="4474" spans="1:4">
      <c r="A4474" s="2">
        <v>243</v>
      </c>
      <c r="B4474" s="2" t="s">
        <v>941</v>
      </c>
      <c r="C4474" s="2" t="s">
        <v>5382</v>
      </c>
      <c r="D4474" s="2"/>
    </row>
    <row r="4475" spans="1:4">
      <c r="A4475" s="3">
        <v>243</v>
      </c>
      <c r="B4475" s="3" t="s">
        <v>941</v>
      </c>
      <c r="C4475" s="3" t="s">
        <v>5383</v>
      </c>
      <c r="D4475" s="3"/>
    </row>
    <row r="4476" spans="1:4">
      <c r="A4476" s="2">
        <v>243</v>
      </c>
      <c r="B4476" s="2" t="s">
        <v>941</v>
      </c>
      <c r="C4476" s="2" t="s">
        <v>5384</v>
      </c>
      <c r="D4476" s="2"/>
    </row>
    <row r="4477" spans="1:4">
      <c r="A4477" s="3">
        <v>243</v>
      </c>
      <c r="B4477" s="3" t="s">
        <v>941</v>
      </c>
      <c r="C4477" s="3" t="s">
        <v>5385</v>
      </c>
      <c r="D4477" s="3"/>
    </row>
    <row r="4478" spans="1:4">
      <c r="A4478" s="2">
        <v>243</v>
      </c>
      <c r="B4478" s="2" t="s">
        <v>941</v>
      </c>
      <c r="C4478" s="2" t="s">
        <v>5386</v>
      </c>
      <c r="D4478" s="2"/>
    </row>
    <row r="4479" spans="1:4">
      <c r="A4479" s="3">
        <v>243</v>
      </c>
      <c r="B4479" s="3" t="s">
        <v>941</v>
      </c>
      <c r="C4479" s="3" t="s">
        <v>5387</v>
      </c>
      <c r="D4479" s="3"/>
    </row>
    <row r="4480" spans="1:4">
      <c r="A4480" s="2">
        <v>243</v>
      </c>
      <c r="B4480" s="2" t="s">
        <v>941</v>
      </c>
      <c r="C4480" s="2" t="s">
        <v>5388</v>
      </c>
      <c r="D4480" s="2"/>
    </row>
    <row r="4481" spans="1:4">
      <c r="A4481" s="3">
        <v>243</v>
      </c>
      <c r="B4481" s="3" t="s">
        <v>941</v>
      </c>
      <c r="C4481" s="3" t="s">
        <v>5389</v>
      </c>
      <c r="D4481" s="3"/>
    </row>
    <row r="4482" spans="1:4">
      <c r="A4482" s="2">
        <v>243</v>
      </c>
      <c r="B4482" s="2" t="s">
        <v>941</v>
      </c>
      <c r="C4482" s="2" t="s">
        <v>5390</v>
      </c>
      <c r="D4482" s="2"/>
    </row>
    <row r="4483" spans="1:4">
      <c r="A4483" s="3">
        <v>243</v>
      </c>
      <c r="B4483" s="3" t="s">
        <v>941</v>
      </c>
      <c r="C4483" s="3" t="s">
        <v>5391</v>
      </c>
      <c r="D4483" s="3"/>
    </row>
    <row r="4484" spans="1:4">
      <c r="A4484" s="2">
        <v>243</v>
      </c>
      <c r="B4484" s="2" t="s">
        <v>941</v>
      </c>
      <c r="C4484" s="2">
        <f> (V.//2) (Ε +β1φ</f>
        <v>0</v>
      </c>
      <c r="D4484" s="2"/>
    </row>
    <row r="4485" spans="1:4">
      <c r="A4485" s="3">
        <v>243</v>
      </c>
      <c r="B4485" s="3" t="s">
        <v>941</v>
      </c>
      <c r="C4485" s="3" t="s">
        <v>5392</v>
      </c>
      <c r="D4485" s="3"/>
    </row>
    <row r="4486" spans="1:4">
      <c r="A4486" s="2">
        <v>243</v>
      </c>
      <c r="B4486" s="2" t="s">
        <v>941</v>
      </c>
      <c r="C4486" s="2" t="s">
        <v>5393</v>
      </c>
      <c r="D4486" s="2"/>
    </row>
    <row r="4487" spans="1:4">
      <c r="A4487" s="3">
        <v>243</v>
      </c>
      <c r="B4487" s="3" t="s">
        <v>941</v>
      </c>
      <c r="C4487" s="3" t="s">
        <v>5394</v>
      </c>
      <c r="D4487" s="3"/>
    </row>
    <row r="4488" spans="1:4">
      <c r="A4488" s="2">
        <v>243</v>
      </c>
      <c r="B4488" s="2" t="s">
        <v>941</v>
      </c>
      <c r="C4488" s="2">
        <f> v cos θ and d3v = v2dv sin θ de d&lt;j&gt;. Plugging fx(v), from (3.20), into the</f>
        <v>0</v>
      </c>
      <c r="D4488" s="2"/>
    </row>
    <row r="4489" spans="1:4">
      <c r="A4489" s="3">
        <v>243</v>
      </c>
      <c r="B4489" s="3" t="s">
        <v>941</v>
      </c>
      <c r="C4489" s="3" t="s">
        <v>5395</v>
      </c>
      <c r="D4489" s="3"/>
    </row>
    <row r="4490" spans="1:4">
      <c r="A4490" s="2">
        <v>243</v>
      </c>
      <c r="B4490" s="2" t="s">
        <v>941</v>
      </c>
      <c r="C4490" s="2" t="s">
        <v>5396</v>
      </c>
      <c r="D4490" s="2"/>
    </row>
    <row r="4491" spans="1:4">
      <c r="A4491" s="3">
        <v>243</v>
      </c>
      <c r="B4491" s="3" t="s">
        <v>941</v>
      </c>
      <c r="C4491" s="3" t="s">
        <v>5397</v>
      </c>
      <c r="D4491" s="3"/>
    </row>
    <row r="4492" spans="1:4">
      <c r="A4492" s="2">
        <v>243</v>
      </c>
      <c r="B4492" s="2" t="s">
        <v>941</v>
      </c>
      <c r="C4492" s="2" t="s">
        <v>5398</v>
      </c>
      <c r="D4492" s="2"/>
    </row>
    <row r="4493" spans="1:4">
      <c r="A4493" s="3">
        <v>243</v>
      </c>
      <c r="B4493" s="3" t="s">
        <v>941</v>
      </c>
      <c r="C4493" s="3" t="s">
        <v>5399</v>
      </c>
      <c r="D4493" s="3"/>
    </row>
    <row r="4494" spans="1:4">
      <c r="A4494" s="2">
        <v>243</v>
      </c>
      <c r="B4494" s="2" t="s">
        <v>941</v>
      </c>
      <c r="C4494" s="2" t="s">
        <v>5400</v>
      </c>
      <c r="D4494" s="2"/>
    </row>
    <row r="4495" spans="1:4">
      <c r="A4495" s="3">
        <v>243</v>
      </c>
      <c r="B4495" s="3" t="s">
        <v>941</v>
      </c>
      <c r="C4495" s="3" t="s">
        <v>5401</v>
      </c>
      <c r="D4495" s="3"/>
    </row>
    <row r="4496" spans="1:4">
      <c r="A4496" s="2">
        <v>244</v>
      </c>
      <c r="B4496" s="2" t="s">
        <v>891</v>
      </c>
      <c r="C4496" s="2" t="s">
        <v>5402</v>
      </c>
      <c r="D4496" s="2"/>
    </row>
    <row r="4497" spans="1:4">
      <c r="A4497" s="3">
        <v>244</v>
      </c>
      <c r="B4497" s="3" t="s">
        <v>891</v>
      </c>
      <c r="C4497" s="3" t="s">
        <v>5403</v>
      </c>
      <c r="D4497" s="3"/>
    </row>
    <row r="4498" spans="1:4">
      <c r="A4498" s="2">
        <v>244</v>
      </c>
      <c r="B4498" s="2" t="s">
        <v>891</v>
      </c>
      <c r="C4498" s="2" t="s">
        <v>5404</v>
      </c>
      <c r="D4498" s="2"/>
    </row>
    <row r="4499" spans="1:4">
      <c r="A4499" s="3">
        <v>244</v>
      </c>
      <c r="B4499" s="3" t="s">
        <v>891</v>
      </c>
      <c r="C4499" s="3" t="s">
        <v>5405</v>
      </c>
      <c r="D4499" s="3"/>
    </row>
    <row r="4500" spans="1:4">
      <c r="A4500" s="2">
        <v>244</v>
      </c>
      <c r="B4500" s="2" t="s">
        <v>891</v>
      </c>
      <c r="C4500" s="2" t="s">
        <v>5406</v>
      </c>
      <c r="D4500" s="2"/>
    </row>
    <row r="4501" spans="1:4">
      <c r="A4501" s="3">
        <v>244</v>
      </c>
      <c r="B4501" s="3" t="s">
        <v>891</v>
      </c>
      <c r="C4501" s="3" t="s">
        <v>5407</v>
      </c>
      <c r="D4501" s="3"/>
    </row>
    <row r="4502" spans="1:4">
      <c r="A4502" s="2">
        <v>244</v>
      </c>
      <c r="B4502" s="2" t="s">
        <v>891</v>
      </c>
      <c r="C4502" s="2" t="s">
        <v>5408</v>
      </c>
      <c r="D4502" s="2"/>
    </row>
    <row r="4503" spans="1:4">
      <c r="A4503" s="3">
        <v>244</v>
      </c>
      <c r="B4503" s="3" t="s">
        <v>891</v>
      </c>
      <c r="C4503" s="3" t="s">
        <v>5409</v>
      </c>
      <c r="D4503" s="3"/>
    </row>
    <row r="4504" spans="1:4">
      <c r="A4504" s="2">
        <v>244</v>
      </c>
      <c r="B4504" s="2" t="s">
        <v>891</v>
      </c>
      <c r="C4504" s="2" t="s">
        <v>5410</v>
      </c>
      <c r="D4504" s="2"/>
    </row>
    <row r="4505" spans="1:4">
      <c r="A4505" s="3">
        <v>244</v>
      </c>
      <c r="B4505" s="3" t="s">
        <v>891</v>
      </c>
      <c r="C4505" s="3" t="s">
        <v>5411</v>
      </c>
      <c r="D4505" s="3"/>
    </row>
    <row r="4506" spans="1:4">
      <c r="A4506" s="2">
        <v>244</v>
      </c>
      <c r="B4506" s="2" t="s">
        <v>891</v>
      </c>
      <c r="C4506" s="2" t="s">
        <v>5412</v>
      </c>
      <c r="D4506" s="2"/>
    </row>
    <row r="4507" spans="1:4">
      <c r="A4507" s="3">
        <v>244</v>
      </c>
      <c r="B4507" s="3" t="s">
        <v>891</v>
      </c>
      <c r="C4507" s="3" t="s">
        <v>5413</v>
      </c>
      <c r="D4507" s="3"/>
    </row>
    <row r="4508" spans="1:4">
      <c r="A4508" s="2">
        <v>244</v>
      </c>
      <c r="B4508" s="2" t="s">
        <v>891</v>
      </c>
      <c r="C4508" s="2" t="s">
        <v>5414</v>
      </c>
      <c r="D4508" s="2"/>
    </row>
    <row r="4509" spans="1:4">
      <c r="A4509" s="3">
        <v>244</v>
      </c>
      <c r="B4509" s="3" t="s">
        <v>891</v>
      </c>
      <c r="C4509" s="3" t="s">
        <v>5415</v>
      </c>
      <c r="D4509" s="3"/>
    </row>
    <row r="4510" spans="1:4">
      <c r="A4510" s="2">
        <v>244</v>
      </c>
      <c r="B4510" s="2" t="s">
        <v>891</v>
      </c>
      <c r="C4510" s="2" t="s">
        <v>5416</v>
      </c>
      <c r="D4510" s="2"/>
    </row>
    <row r="4511" spans="1:4">
      <c r="A4511" s="3">
        <v>244</v>
      </c>
      <c r="B4511" s="3" t="s">
        <v>891</v>
      </c>
      <c r="C4511" s="3" t="s">
        <v>5417</v>
      </c>
      <c r="D4511" s="3"/>
    </row>
    <row r="4512" spans="1:4">
      <c r="A4512" s="2">
        <v>244</v>
      </c>
      <c r="B4512" s="2" t="s">
        <v>891</v>
      </c>
      <c r="C4512" s="2" t="s">
        <v>5418</v>
      </c>
      <c r="D4512" s="2"/>
    </row>
    <row r="4513" spans="1:4">
      <c r="A4513" s="3">
        <v>244</v>
      </c>
      <c r="B4513" s="3" t="s">
        <v>891</v>
      </c>
      <c r="C4513" s="3" t="s">
        <v>5419</v>
      </c>
      <c r="D4513" s="3"/>
    </row>
    <row r="4514" spans="1:4">
      <c r="A4514" s="2">
        <v>244</v>
      </c>
      <c r="B4514" s="2" t="s">
        <v>891</v>
      </c>
      <c r="C4514" s="2" t="s">
        <v>5420</v>
      </c>
      <c r="D4514" s="2"/>
    </row>
    <row r="4515" spans="1:4">
      <c r="A4515" s="3">
        <v>244</v>
      </c>
      <c r="B4515" s="3" t="s">
        <v>891</v>
      </c>
      <c r="C4515" s="3" t="s">
        <v>5421</v>
      </c>
      <c r="D4515" s="3"/>
    </row>
    <row r="4516" spans="1:4">
      <c r="A4516" s="2">
        <v>244</v>
      </c>
      <c r="B4516" s="2" t="s">
        <v>891</v>
      </c>
      <c r="C4516" s="2" t="s">
        <v>5422</v>
      </c>
      <c r="D4516" s="2"/>
    </row>
    <row r="4517" spans="1:4">
      <c r="A4517" s="3">
        <v>244</v>
      </c>
      <c r="B4517" s="3" t="s">
        <v>891</v>
      </c>
      <c r="C4517" s="3" t="s">
        <v>5423</v>
      </c>
      <c r="D4517" s="3"/>
    </row>
    <row r="4518" spans="1:4">
      <c r="A4518" s="2">
        <v>244</v>
      </c>
      <c r="B4518" s="2" t="s">
        <v>891</v>
      </c>
      <c r="C4518" s="2" t="s">
        <v>5424</v>
      </c>
      <c r="D4518" s="2"/>
    </row>
    <row r="4519" spans="1:4">
      <c r="A4519" s="3">
        <v>244</v>
      </c>
      <c r="B4519" s="3" t="s">
        <v>891</v>
      </c>
      <c r="C4519" s="3" t="s">
        <v>5425</v>
      </c>
      <c r="D4519" s="3"/>
    </row>
    <row r="4520" spans="1:4">
      <c r="A4520" s="2">
        <v>244</v>
      </c>
      <c r="B4520" s="2" t="s">
        <v>891</v>
      </c>
      <c r="C4520" s="2" t="s">
        <v>5426</v>
      </c>
      <c r="D4520" s="2"/>
    </row>
    <row r="4521" spans="1:4">
      <c r="A4521" s="3">
        <v>244</v>
      </c>
      <c r="B4521" s="3" t="s">
        <v>891</v>
      </c>
      <c r="C4521" s="3" t="s">
        <v>5427</v>
      </c>
      <c r="D4521" s="3"/>
    </row>
    <row r="4522" spans="1:4">
      <c r="A4522" s="2">
        <v>244</v>
      </c>
      <c r="B4522" s="2" t="s">
        <v>891</v>
      </c>
      <c r="C4522" s="2" t="s">
        <v>5428</v>
      </c>
      <c r="D4522" s="2"/>
    </row>
    <row r="4523" spans="1:4">
      <c r="A4523" s="3">
        <v>244</v>
      </c>
      <c r="B4523" s="3" t="s">
        <v>891</v>
      </c>
      <c r="C4523" s="3" t="s">
        <v>5429</v>
      </c>
      <c r="D4523" s="3"/>
    </row>
    <row r="4524" spans="1:4">
      <c r="A4524" s="2">
        <v>244</v>
      </c>
      <c r="B4524" s="2" t="s">
        <v>891</v>
      </c>
      <c r="C4524" s="2" t="s">
        <v>5430</v>
      </c>
      <c r="D4524" s="2"/>
    </row>
    <row r="4525" spans="1:4">
      <c r="A4525" s="3">
        <v>244</v>
      </c>
      <c r="B4525" s="3" t="s">
        <v>891</v>
      </c>
      <c r="C4525" s="3" t="s">
        <v>5431</v>
      </c>
      <c r="D4525" s="3"/>
    </row>
    <row r="4526" spans="1:4">
      <c r="A4526" s="2">
        <v>244</v>
      </c>
      <c r="B4526" s="2" t="s">
        <v>891</v>
      </c>
      <c r="C4526" s="2" t="s">
        <v>5432</v>
      </c>
      <c r="D4526" s="2"/>
    </row>
    <row r="4527" spans="1:4">
      <c r="A4527" s="3">
        <v>244</v>
      </c>
      <c r="B4527" s="3" t="s">
        <v>891</v>
      </c>
      <c r="C4527" s="3" t="s">
        <v>5433</v>
      </c>
      <c r="D4527" s="3"/>
    </row>
    <row r="4528" spans="1:4">
      <c r="A4528" s="2">
        <v>244</v>
      </c>
      <c r="B4528" s="2" t="s">
        <v>891</v>
      </c>
      <c r="C4528" s="2" t="s">
        <v>5434</v>
      </c>
      <c r="D4528" s="2"/>
    </row>
    <row r="4529" spans="1:4">
      <c r="A4529" s="3">
        <v>244</v>
      </c>
      <c r="B4529" s="3" t="s">
        <v>891</v>
      </c>
      <c r="C4529" s="3" t="s">
        <v>5435</v>
      </c>
      <c r="D4529" s="3"/>
    </row>
    <row r="4530" spans="1:4">
      <c r="A4530" s="2">
        <v>244</v>
      </c>
      <c r="B4530" s="2" t="s">
        <v>891</v>
      </c>
      <c r="C4530" s="2" t="s">
        <v>5436</v>
      </c>
      <c r="D4530" s="2"/>
    </row>
    <row r="4531" spans="1:4">
      <c r="A4531" s="3">
        <v>244</v>
      </c>
      <c r="B4531" s="3" t="s">
        <v>891</v>
      </c>
      <c r="C4531" s="3" t="s">
        <v>5437</v>
      </c>
      <c r="D4531" s="3"/>
    </row>
    <row r="4532" spans="1:4">
      <c r="A4532" s="2">
        <v>244</v>
      </c>
      <c r="B4532" s="2" t="s">
        <v>891</v>
      </c>
      <c r="C4532" s="2" t="s">
        <v>5438</v>
      </c>
      <c r="D4532" s="2"/>
    </row>
    <row r="4533" spans="1:4">
      <c r="A4533" s="3">
        <v>244</v>
      </c>
      <c r="B4533" s="3" t="s">
        <v>891</v>
      </c>
      <c r="C4533" s="3" t="s">
        <v>5439</v>
      </c>
      <c r="D4533" s="3"/>
    </row>
    <row r="4534" spans="1:4">
      <c r="A4534" s="2">
        <v>244</v>
      </c>
      <c r="B4534" s="2" t="s">
        <v>891</v>
      </c>
      <c r="C4534" s="2" t="s">
        <v>5440</v>
      </c>
      <c r="D4534" s="2"/>
    </row>
    <row r="4535" spans="1:4">
      <c r="A4535" s="3">
        <v>245</v>
      </c>
      <c r="B4535" s="3" t="s">
        <v>892</v>
      </c>
      <c r="C4535" s="3" t="s">
        <v>5441</v>
      </c>
      <c r="D4535" s="3"/>
    </row>
    <row r="4536" spans="1:4">
      <c r="A4536" s="2">
        <v>245</v>
      </c>
      <c r="B4536" s="2" t="s">
        <v>892</v>
      </c>
      <c r="C4536" s="2" t="s">
        <v>5442</v>
      </c>
      <c r="D4536" s="2"/>
    </row>
    <row r="4537" spans="1:4">
      <c r="A4537" s="3">
        <v>245</v>
      </c>
      <c r="B4537" s="3" t="s">
        <v>892</v>
      </c>
      <c r="C4537" s="3" t="s">
        <v>5443</v>
      </c>
      <c r="D4537" s="3"/>
    </row>
    <row r="4538" spans="1:4">
      <c r="A4538" s="2">
        <v>245</v>
      </c>
      <c r="B4538" s="2" t="s">
        <v>892</v>
      </c>
      <c r="C4538" s="2" t="s">
        <v>5444</v>
      </c>
      <c r="D4538" s="2"/>
    </row>
    <row r="4539" spans="1:4">
      <c r="A4539" s="3">
        <v>245</v>
      </c>
      <c r="B4539" s="3" t="s">
        <v>892</v>
      </c>
      <c r="C4539" s="3" t="s">
        <v>5445</v>
      </c>
      <c r="D4539" s="3"/>
    </row>
    <row r="4540" spans="1:4">
      <c r="A4540" s="2">
        <v>245</v>
      </c>
      <c r="B4540" s="2" t="s">
        <v>892</v>
      </c>
      <c r="C4540" s="2" t="s">
        <v>5446</v>
      </c>
      <c r="D4540" s="2"/>
    </row>
    <row r="4541" spans="1:4">
      <c r="A4541" s="3">
        <v>245</v>
      </c>
      <c r="B4541" s="3" t="s">
        <v>892</v>
      </c>
      <c r="C4541" s="3" t="s">
        <v>5447</v>
      </c>
      <c r="D4541" s="3"/>
    </row>
    <row r="4542" spans="1:4">
      <c r="A4542" s="2">
        <v>245</v>
      </c>
      <c r="B4542" s="2" t="s">
        <v>892</v>
      </c>
      <c r="C4542" s="2" t="s">
        <v>5448</v>
      </c>
      <c r="D4542" s="2"/>
    </row>
    <row r="4543" spans="1:4">
      <c r="A4543" s="3">
        <v>245</v>
      </c>
      <c r="B4543" s="3" t="s">
        <v>892</v>
      </c>
      <c r="C4543" s="3" t="s">
        <v>5449</v>
      </c>
      <c r="D4543" s="3"/>
    </row>
    <row r="4544" spans="1:4">
      <c r="A4544" s="2">
        <v>245</v>
      </c>
      <c r="B4544" s="2" t="s">
        <v>892</v>
      </c>
      <c r="C4544" s="2" t="s">
        <v>5450</v>
      </c>
      <c r="D4544" s="2"/>
    </row>
    <row r="4545" spans="1:4">
      <c r="A4545" s="3">
        <v>245</v>
      </c>
      <c r="B4545" s="3" t="s">
        <v>892</v>
      </c>
      <c r="C4545" s="3" t="s">
        <v>5451</v>
      </c>
      <c r="D4545" s="3"/>
    </row>
    <row r="4546" spans="1:4">
      <c r="A4546" s="2">
        <v>245</v>
      </c>
      <c r="B4546" s="2" t="s">
        <v>892</v>
      </c>
      <c r="C4546" s="2" t="s">
        <v>5452</v>
      </c>
      <c r="D4546" s="2"/>
    </row>
    <row r="4547" spans="1:4">
      <c r="A4547" s="3">
        <v>245</v>
      </c>
      <c r="B4547" s="3" t="s">
        <v>892</v>
      </c>
      <c r="C4547" s="3" t="s">
        <v>5453</v>
      </c>
      <c r="D4547" s="3"/>
    </row>
    <row r="4548" spans="1:4">
      <c r="A4548" s="2">
        <v>245</v>
      </c>
      <c r="B4548" s="2" t="s">
        <v>892</v>
      </c>
      <c r="C4548" s="2" t="s">
        <v>5454</v>
      </c>
      <c r="D4548" s="2"/>
    </row>
    <row r="4549" spans="1:4">
      <c r="A4549" s="3">
        <v>245</v>
      </c>
      <c r="B4549" s="3" t="s">
        <v>892</v>
      </c>
      <c r="C4549" s="3" t="s">
        <v>5455</v>
      </c>
      <c r="D4549" s="3"/>
    </row>
    <row r="4550" spans="1:4">
      <c r="A4550" s="2">
        <v>245</v>
      </c>
      <c r="B4550" s="2" t="s">
        <v>892</v>
      </c>
      <c r="C4550" s="2" t="s">
        <v>5456</v>
      </c>
      <c r="D4550" s="2"/>
    </row>
    <row r="4551" spans="1:4">
      <c r="A4551" s="3">
        <v>245</v>
      </c>
      <c r="B4551" s="3" t="s">
        <v>892</v>
      </c>
      <c r="C4551" s="3" t="s">
        <v>5457</v>
      </c>
      <c r="D4551" s="3"/>
    </row>
    <row r="4552" spans="1:4">
      <c r="A4552" s="2">
        <v>245</v>
      </c>
      <c r="B4552" s="2" t="s">
        <v>892</v>
      </c>
      <c r="C4552" s="2" t="s">
        <v>5458</v>
      </c>
      <c r="D4552" s="2"/>
    </row>
    <row r="4553" spans="1:4">
      <c r="A4553" s="3">
        <v>245</v>
      </c>
      <c r="B4553" s="3" t="s">
        <v>892</v>
      </c>
      <c r="C4553" s="3" t="s">
        <v>5459</v>
      </c>
      <c r="D4553" s="3"/>
    </row>
    <row r="4554" spans="1:4">
      <c r="A4554" s="2">
        <v>245</v>
      </c>
      <c r="B4554" s="2" t="s">
        <v>892</v>
      </c>
      <c r="C4554" s="2" t="s">
        <v>5460</v>
      </c>
      <c r="D4554" s="2"/>
    </row>
    <row r="4555" spans="1:4">
      <c r="A4555" s="3">
        <v>245</v>
      </c>
      <c r="B4555" s="3" t="s">
        <v>892</v>
      </c>
      <c r="C4555" s="3" t="s">
        <v>5461</v>
      </c>
      <c r="D4555" s="3"/>
    </row>
    <row r="4556" spans="1:4">
      <c r="A4556" s="2">
        <v>245</v>
      </c>
      <c r="B4556" s="2" t="s">
        <v>892</v>
      </c>
      <c r="C4556" s="2" t="s">
        <v>5462</v>
      </c>
      <c r="D4556" s="2"/>
    </row>
    <row r="4557" spans="1:4">
      <c r="A4557" s="3">
        <v>245</v>
      </c>
      <c r="B4557" s="3" t="s">
        <v>892</v>
      </c>
      <c r="C4557" s="3" t="s">
        <v>5463</v>
      </c>
      <c r="D4557" s="3"/>
    </row>
    <row r="4558" spans="1:4">
      <c r="A4558" s="2">
        <v>245</v>
      </c>
      <c r="B4558" s="2" t="s">
        <v>892</v>
      </c>
      <c r="C4558" s="2" t="s">
        <v>5464</v>
      </c>
      <c r="D4558" s="2"/>
    </row>
    <row r="4559" spans="1:4">
      <c r="A4559" s="3">
        <v>245</v>
      </c>
      <c r="B4559" s="3" t="s">
        <v>892</v>
      </c>
      <c r="C4559" s="3" t="s">
        <v>5465</v>
      </c>
      <c r="D4559" s="3"/>
    </row>
    <row r="4560" spans="1:4">
      <c r="A4560" s="2">
        <v>245</v>
      </c>
      <c r="B4560" s="2" t="s">
        <v>892</v>
      </c>
      <c r="C4560" s="2" t="s">
        <v>5466</v>
      </c>
      <c r="D4560" s="2"/>
    </row>
    <row r="4561" spans="1:4">
      <c r="A4561" s="3">
        <v>245</v>
      </c>
      <c r="B4561" s="3" t="s">
        <v>892</v>
      </c>
      <c r="C4561" s="3">
        <f> (ω2-ω2) V ei (3.11)</f>
        <v>0</v>
      </c>
      <c r="D4561" s="3"/>
    </row>
    <row r="4562" spans="1:4">
      <c r="A4562" s="2">
        <v>245</v>
      </c>
      <c r="B4562" s="2" t="s">
        <v>892</v>
      </c>
      <c r="C4562" s="2" t="s">
        <v>5467</v>
      </c>
      <c r="D4562" s="2"/>
    </row>
    <row r="4563" spans="1:4">
      <c r="A4563" s="3">
        <v>245</v>
      </c>
      <c r="B4563" s="3" t="s">
        <v>892</v>
      </c>
      <c r="C4563" s="3" t="s">
        <v>5468</v>
      </c>
      <c r="D4563" s="3"/>
    </row>
    <row r="4564" spans="1:4">
      <c r="A4564" s="2">
        <v>245</v>
      </c>
      <c r="B4564" s="2" t="s">
        <v>892</v>
      </c>
      <c r="C4564" s="2" t="s">
        <v>5469</v>
      </c>
      <c r="D4564" s="2"/>
    </row>
    <row r="4565" spans="1:4">
      <c r="A4565" s="3">
        <v>245</v>
      </c>
      <c r="B4565" s="3" t="s">
        <v>892</v>
      </c>
      <c r="C4565" s="3" t="s">
        <v>5470</v>
      </c>
      <c r="D4565" s="3"/>
    </row>
    <row r="4566" spans="1:4">
      <c r="A4566" s="2">
        <v>245</v>
      </c>
      <c r="B4566" s="2" t="s">
        <v>892</v>
      </c>
      <c r="C4566" s="2" t="s">
        <v>5471</v>
      </c>
      <c r="D4566" s="2"/>
    </row>
    <row r="4567" spans="1:4">
      <c r="A4567" s="3">
        <v>245</v>
      </c>
      <c r="B4567" s="3" t="s">
        <v>892</v>
      </c>
      <c r="C4567" s="3" t="s">
        <v>5472</v>
      </c>
      <c r="D4567" s="3"/>
    </row>
    <row r="4568" spans="1:4">
      <c r="A4568" s="2">
        <v>245</v>
      </c>
      <c r="B4568" s="2" t="s">
        <v>892</v>
      </c>
      <c r="C4568" s="2" t="s">
        <v>5473</v>
      </c>
      <c r="D4568" s="2"/>
    </row>
    <row r="4569" spans="1:4">
      <c r="A4569" s="3">
        <v>245</v>
      </c>
      <c r="B4569" s="3" t="s">
        <v>892</v>
      </c>
      <c r="C4569" s="3">
        <f> [ίω (Ê ol + i B x t Q1) + (qB/m) B x Ê0l - i(qB/m) É QJ/2</f>
        <v>0</v>
      </c>
      <c r="D4569" s="3"/>
    </row>
    <row r="4570" spans="1:4">
      <c r="A4570" s="2">
        <v>245</v>
      </c>
      <c r="B4570" s="2" t="s">
        <v>892</v>
      </c>
      <c r="C4570" s="2">
        <f> [ίω (t oi + 1 B x toi) - i(qB/m) (É oi + i B x ÊQl)]/2</f>
        <v>0</v>
      </c>
      <c r="D4570" s="2"/>
    </row>
    <row r="4571" spans="1:4">
      <c r="A4571" s="3">
        <v>245</v>
      </c>
      <c r="B4571" s="3" t="s">
        <v>892</v>
      </c>
      <c r="C4571" s="3">
        <f> ι'(ω - qB/m) t oR (3.24)</f>
        <v>0</v>
      </c>
      <c r="D4571" s="3"/>
    </row>
    <row r="4572" spans="1:4">
      <c r="A4572" s="2">
        <v>245</v>
      </c>
      <c r="B4572" s="2" t="s">
        <v>892</v>
      </c>
      <c r="C4572" s="2" t="s">
        <v>5474</v>
      </c>
      <c r="D4572" s="2"/>
    </row>
    <row r="4573" spans="1:4">
      <c r="A4573" s="3">
        <v>245</v>
      </c>
      <c r="B4573" s="3" t="s">
        <v>892</v>
      </c>
      <c r="C4573" s="3" t="s">
        <v>5475</v>
      </c>
      <c r="D4573" s="3"/>
    </row>
    <row r="4574" spans="1:4">
      <c r="A4574" s="2">
        <v>245</v>
      </c>
      <c r="B4574" s="2" t="s">
        <v>892</v>
      </c>
      <c r="C4574" s="2" t="s">
        <v>5476</v>
      </c>
      <c r="D4574" s="2"/>
    </row>
    <row r="4575" spans="1:4">
      <c r="A4575" s="3">
        <v>245</v>
      </c>
      <c r="B4575" s="3" t="s">
        <v>892</v>
      </c>
      <c r="C4575" s="3" t="s">
        <v>5477</v>
      </c>
      <c r="D4575" s="3"/>
    </row>
    <row r="4576" spans="1:4">
      <c r="A4576" s="2">
        <v>245</v>
      </c>
      <c r="B4576" s="2" t="s">
        <v>892</v>
      </c>
      <c r="C4576" s="2" t="s">
        <v>5478</v>
      </c>
      <c r="D4576" s="2"/>
    </row>
    <row r="4577" spans="1:4">
      <c r="A4577" s="3">
        <v>245</v>
      </c>
      <c r="B4577" s="3" t="s">
        <v>892</v>
      </c>
      <c r="C4577" s="3" t="s">
        <v>5479</v>
      </c>
      <c r="D4577" s="3"/>
    </row>
    <row r="4578" spans="1:4">
      <c r="A4578" s="2">
        <v>245</v>
      </c>
      <c r="B4578" s="2" t="s">
        <v>892</v>
      </c>
      <c r="C4578" s="2" t="s">
        <v>5480</v>
      </c>
      <c r="D4578" s="2"/>
    </row>
    <row r="4579" spans="1:4">
      <c r="A4579" s="3">
        <v>245</v>
      </c>
      <c r="B4579" s="3" t="s">
        <v>892</v>
      </c>
      <c r="C4579" s="3" t="s">
        <v>5481</v>
      </c>
      <c r="D4579" s="3"/>
    </row>
    <row r="4580" spans="1:4">
      <c r="A4580" s="2">
        <v>245</v>
      </c>
      <c r="B4580" s="2" t="s">
        <v>892</v>
      </c>
      <c r="C4580" s="2" t="s">
        <v>5482</v>
      </c>
      <c r="D4580" s="2"/>
    </row>
    <row r="4581" spans="1:4">
      <c r="A4581" s="3">
        <v>245</v>
      </c>
      <c r="B4581" s="3" t="s">
        <v>892</v>
      </c>
      <c r="C4581" s="3" t="s">
        <v>5483</v>
      </c>
      <c r="D4581" s="3"/>
    </row>
    <row r="4582" spans="1:4">
      <c r="A4582" s="2">
        <v>245</v>
      </c>
      <c r="B4582" s="2" t="s">
        <v>892</v>
      </c>
      <c r="C4582" s="2" t="s">
        <v>5484</v>
      </c>
      <c r="D4582" s="2"/>
    </row>
    <row r="4583" spans="1:4">
      <c r="A4583" s="3">
        <v>245</v>
      </c>
      <c r="B4583" s="3" t="s">
        <v>892</v>
      </c>
      <c r="C4583" s="3" t="s">
        <v>5485</v>
      </c>
      <c r="D4583" s="3"/>
    </row>
    <row r="4584" spans="1:4">
      <c r="A4584" s="2">
        <v>245</v>
      </c>
      <c r="B4584" s="2" t="s">
        <v>892</v>
      </c>
      <c r="C4584" s="2" t="s">
        <v>5486</v>
      </c>
      <c r="D4584" s="2"/>
    </row>
    <row r="4585" spans="1:4">
      <c r="A4585" s="3">
        <v>246</v>
      </c>
      <c r="B4585" s="3" t="s">
        <v>897</v>
      </c>
      <c r="C4585" s="3" t="s">
        <v>5487</v>
      </c>
      <c r="D4585" s="3"/>
    </row>
    <row r="4586" spans="1:4">
      <c r="A4586" s="2">
        <v>246</v>
      </c>
      <c r="B4586" s="2" t="s">
        <v>897</v>
      </c>
      <c r="C4586" s="2" t="s">
        <v>5488</v>
      </c>
      <c r="D4586" s="2"/>
    </row>
    <row r="4587" spans="1:4">
      <c r="A4587" s="3">
        <v>246</v>
      </c>
      <c r="B4587" s="3" t="s">
        <v>897</v>
      </c>
      <c r="C4587" s="3" t="s">
        <v>5489</v>
      </c>
      <c r="D4587" s="3"/>
    </row>
    <row r="4588" spans="1:4">
      <c r="A4588" s="2">
        <v>246</v>
      </c>
      <c r="B4588" s="2" t="s">
        <v>897</v>
      </c>
      <c r="C4588" s="2" t="s">
        <v>5490</v>
      </c>
      <c r="D4588" s="2"/>
    </row>
    <row r="4589" spans="1:4">
      <c r="A4589" s="3">
        <v>246</v>
      </c>
      <c r="B4589" s="3" t="s">
        <v>897</v>
      </c>
      <c r="C4589" s="3" t="s">
        <v>5491</v>
      </c>
      <c r="D4589" s="3"/>
    </row>
    <row r="4590" spans="1:4">
      <c r="A4590" s="2">
        <v>246</v>
      </c>
      <c r="B4590" s="2" t="s">
        <v>897</v>
      </c>
      <c r="C4590" s="2" t="s">
        <v>5492</v>
      </c>
      <c r="D4590" s="2"/>
    </row>
    <row r="4591" spans="1:4">
      <c r="A4591" s="3">
        <v>246</v>
      </c>
      <c r="B4591" s="3" t="s">
        <v>897</v>
      </c>
      <c r="C4591" s="3" t="s">
        <v>5493</v>
      </c>
      <c r="D4591" s="3"/>
    </row>
    <row r="4592" spans="1:4">
      <c r="A4592" s="2">
        <v>246</v>
      </c>
      <c r="B4592" s="2" t="s">
        <v>897</v>
      </c>
      <c r="C4592" s="2" t="s">
        <v>5494</v>
      </c>
      <c r="D4592" s="2"/>
    </row>
    <row r="4593" spans="1:4">
      <c r="A4593" s="3">
        <v>246</v>
      </c>
      <c r="B4593" s="3" t="s">
        <v>897</v>
      </c>
      <c r="C4593" s="3" t="s">
        <v>5495</v>
      </c>
      <c r="D4593" s="3"/>
    </row>
    <row r="4594" spans="1:4">
      <c r="A4594" s="2">
        <v>246</v>
      </c>
      <c r="B4594" s="2" t="s">
        <v>897</v>
      </c>
      <c r="C4594" s="2" t="s">
        <v>5496</v>
      </c>
      <c r="D4594" s="2"/>
    </row>
    <row r="4595" spans="1:4">
      <c r="A4595" s="3">
        <v>246</v>
      </c>
      <c r="B4595" s="3" t="s">
        <v>897</v>
      </c>
      <c r="C4595" s="3" t="s">
        <v>5497</v>
      </c>
      <c r="D4595" s="3"/>
    </row>
    <row r="4596" spans="1:4">
      <c r="A4596" s="2">
        <v>246</v>
      </c>
      <c r="B4596" s="2" t="s">
        <v>897</v>
      </c>
      <c r="C4596" s="2" t="s">
        <v>5498</v>
      </c>
      <c r="D4596" s="2"/>
    </row>
    <row r="4597" spans="1:4">
      <c r="A4597" s="3">
        <v>246</v>
      </c>
      <c r="B4597" s="3" t="s">
        <v>897</v>
      </c>
      <c r="C4597" s="3" t="s">
        <v>5499</v>
      </c>
      <c r="D4597" s="3"/>
    </row>
    <row r="4598" spans="1:4">
      <c r="A4598" s="2">
        <v>246</v>
      </c>
      <c r="B4598" s="2" t="s">
        <v>897</v>
      </c>
      <c r="C4598" s="2" t="s">
        <v>5500</v>
      </c>
      <c r="D4598" s="2"/>
    </row>
    <row r="4599" spans="1:4">
      <c r="A4599" s="3">
        <v>246</v>
      </c>
      <c r="B4599" s="3" t="s">
        <v>897</v>
      </c>
      <c r="C4599" s="3" t="s">
        <v>5501</v>
      </c>
      <c r="D4599" s="3"/>
    </row>
    <row r="4600" spans="1:4">
      <c r="A4600" s="2">
        <v>246</v>
      </c>
      <c r="B4600" s="2" t="s">
        <v>897</v>
      </c>
      <c r="C4600" s="2" t="s">
        <v>5502</v>
      </c>
      <c r="D4600" s="2"/>
    </row>
    <row r="4601" spans="1:4">
      <c r="A4601" s="3">
        <v>246</v>
      </c>
      <c r="B4601" s="3" t="s">
        <v>897</v>
      </c>
      <c r="C4601" s="3" t="s">
        <v>5503</v>
      </c>
      <c r="D4601" s="3"/>
    </row>
    <row r="4602" spans="1:4">
      <c r="A4602" s="2">
        <v>246</v>
      </c>
      <c r="B4602" s="2" t="s">
        <v>897</v>
      </c>
      <c r="C4602" s="2" t="s">
        <v>5504</v>
      </c>
      <c r="D4602" s="2"/>
    </row>
    <row r="4603" spans="1:4">
      <c r="A4603" s="3">
        <v>246</v>
      </c>
      <c r="B4603" s="3" t="s">
        <v>897</v>
      </c>
      <c r="C4603" s="3" t="s">
        <v>5505</v>
      </c>
      <c r="D4603" s="3"/>
    </row>
    <row r="4604" spans="1:4">
      <c r="A4604" s="2">
        <v>246</v>
      </c>
      <c r="B4604" s="2" t="s">
        <v>897</v>
      </c>
      <c r="C4604" s="2" t="s">
        <v>5506</v>
      </c>
      <c r="D4604" s="2"/>
    </row>
    <row r="4605" spans="1:4">
      <c r="A4605" s="3">
        <v>247</v>
      </c>
      <c r="B4605" s="3" t="s">
        <v>889</v>
      </c>
      <c r="C4605" s="3" t="s">
        <v>5507</v>
      </c>
      <c r="D4605" s="3"/>
    </row>
    <row r="4606" spans="1:4">
      <c r="A4606" s="2">
        <v>247</v>
      </c>
      <c r="B4606" s="2" t="s">
        <v>889</v>
      </c>
      <c r="C4606" s="2" t="s">
        <v>5508</v>
      </c>
      <c r="D4606" s="2"/>
    </row>
    <row r="4607" spans="1:4">
      <c r="A4607" s="3">
        <v>247</v>
      </c>
      <c r="B4607" s="3" t="s">
        <v>889</v>
      </c>
      <c r="C4607" s="3" t="s">
        <v>5509</v>
      </c>
      <c r="D4607" s="3"/>
    </row>
    <row r="4608" spans="1:4">
      <c r="A4608" s="2">
        <v>247</v>
      </c>
      <c r="B4608" s="2" t="s">
        <v>889</v>
      </c>
      <c r="C4608" s="2" t="s">
        <v>5510</v>
      </c>
      <c r="D4608" s="2"/>
    </row>
    <row r="4609" spans="1:4">
      <c r="A4609" s="3">
        <v>247</v>
      </c>
      <c r="B4609" s="3" t="s">
        <v>889</v>
      </c>
      <c r="C4609" s="3" t="s">
        <v>5511</v>
      </c>
      <c r="D4609" s="3"/>
    </row>
    <row r="4610" spans="1:4">
      <c r="A4610" s="2">
        <v>247</v>
      </c>
      <c r="B4610" s="2" t="s">
        <v>889</v>
      </c>
      <c r="C4610" s="2" t="s">
        <v>5512</v>
      </c>
      <c r="D4610" s="2"/>
    </row>
    <row r="4611" spans="1:4">
      <c r="A4611" s="3">
        <v>247</v>
      </c>
      <c r="B4611" s="3" t="s">
        <v>889</v>
      </c>
      <c r="C4611" s="3" t="s">
        <v>5513</v>
      </c>
      <c r="D4611" s="3"/>
    </row>
    <row r="4612" spans="1:4">
      <c r="A4612" s="2">
        <v>247</v>
      </c>
      <c r="B4612" s="2" t="s">
        <v>889</v>
      </c>
      <c r="C4612" s="2" t="s">
        <v>5514</v>
      </c>
      <c r="D4612" s="2"/>
    </row>
    <row r="4613" spans="1:4">
      <c r="A4613" s="3">
        <v>247</v>
      </c>
      <c r="B4613" s="3" t="s">
        <v>889</v>
      </c>
      <c r="C4613" s="3" t="s">
        <v>5515</v>
      </c>
      <c r="D4613" s="3"/>
    </row>
    <row r="4614" spans="1:4">
      <c r="A4614" s="2">
        <v>247</v>
      </c>
      <c r="B4614" s="2" t="s">
        <v>889</v>
      </c>
      <c r="C4614" s="2" t="s">
        <v>5516</v>
      </c>
      <c r="D4614" s="2"/>
    </row>
    <row r="4615" spans="1:4">
      <c r="A4615" s="3">
        <v>247</v>
      </c>
      <c r="B4615" s="3" t="s">
        <v>889</v>
      </c>
      <c r="C4615" s="3" t="s">
        <v>5517</v>
      </c>
      <c r="D4615" s="3"/>
    </row>
    <row r="4616" spans="1:4">
      <c r="A4616" s="2">
        <v>247</v>
      </c>
      <c r="B4616" s="2" t="s">
        <v>889</v>
      </c>
      <c r="C4616" s="2" t="s">
        <v>5518</v>
      </c>
      <c r="D4616" s="2"/>
    </row>
    <row r="4617" spans="1:4">
      <c r="A4617" s="3">
        <v>247</v>
      </c>
      <c r="B4617" s="3" t="s">
        <v>889</v>
      </c>
      <c r="C4617" s="3" t="s">
        <v>5519</v>
      </c>
      <c r="D4617" s="3"/>
    </row>
    <row r="4618" spans="1:4">
      <c r="A4618" s="2">
        <v>247</v>
      </c>
      <c r="B4618" s="2" t="s">
        <v>889</v>
      </c>
      <c r="C4618" s="2" t="s">
        <v>5520</v>
      </c>
      <c r="D4618" s="2"/>
    </row>
    <row r="4619" spans="1:4">
      <c r="A4619" s="3">
        <v>247</v>
      </c>
      <c r="B4619" s="3" t="s">
        <v>889</v>
      </c>
      <c r="C4619" s="3" t="s">
        <v>5521</v>
      </c>
      <c r="D4619" s="3"/>
    </row>
    <row r="4620" spans="1:4">
      <c r="A4620" s="2">
        <v>247</v>
      </c>
      <c r="B4620" s="2" t="s">
        <v>889</v>
      </c>
      <c r="C4620" s="2" t="s">
        <v>5522</v>
      </c>
      <c r="D4620" s="2"/>
    </row>
    <row r="4621" spans="1:4">
      <c r="A4621" s="3">
        <v>247</v>
      </c>
      <c r="B4621" s="3" t="s">
        <v>889</v>
      </c>
      <c r="C4621" s="3" t="s">
        <v>5523</v>
      </c>
      <c r="D4621" s="3"/>
    </row>
    <row r="4622" spans="1:4">
      <c r="A4622" s="2">
        <v>247</v>
      </c>
      <c r="B4622" s="2" t="s">
        <v>889</v>
      </c>
      <c r="C4622" s="2" t="s">
        <v>5524</v>
      </c>
      <c r="D4622" s="2"/>
    </row>
    <row r="4623" spans="1:4">
      <c r="A4623" s="3">
        <v>247</v>
      </c>
      <c r="B4623" s="3" t="s">
        <v>889</v>
      </c>
      <c r="C4623" s="3" t="s">
        <v>5525</v>
      </c>
      <c r="D4623" s="3"/>
    </row>
    <row r="4624" spans="1:4">
      <c r="A4624" s="2">
        <v>247</v>
      </c>
      <c r="B4624" s="2" t="s">
        <v>889</v>
      </c>
      <c r="C4624" s="2" t="s">
        <v>5526</v>
      </c>
      <c r="D4624" s="2"/>
    </row>
    <row r="4625" spans="1:4">
      <c r="A4625" s="3">
        <v>247</v>
      </c>
      <c r="B4625" s="3" t="s">
        <v>889</v>
      </c>
      <c r="C4625" s="3" t="s">
        <v>5527</v>
      </c>
      <c r="D4625" s="3"/>
    </row>
    <row r="4626" spans="1:4">
      <c r="A4626" s="2">
        <v>247</v>
      </c>
      <c r="B4626" s="2" t="s">
        <v>889</v>
      </c>
      <c r="C4626" s="2" t="s">
        <v>5528</v>
      </c>
      <c r="D4626" s="2"/>
    </row>
    <row r="4627" spans="1:4">
      <c r="A4627" s="3">
        <v>247</v>
      </c>
      <c r="B4627" s="3" t="s">
        <v>889</v>
      </c>
      <c r="C4627" s="3" t="s">
        <v>5529</v>
      </c>
      <c r="D4627" s="3"/>
    </row>
    <row r="4628" spans="1:4">
      <c r="A4628" s="2">
        <v>247</v>
      </c>
      <c r="B4628" s="2" t="s">
        <v>889</v>
      </c>
      <c r="C4628" s="2" t="s">
        <v>5530</v>
      </c>
      <c r="D4628" s="2"/>
    </row>
    <row r="4629" spans="1:4">
      <c r="A4629" s="3">
        <v>247</v>
      </c>
      <c r="B4629" s="3" t="s">
        <v>889</v>
      </c>
      <c r="C4629" s="3" t="s">
        <v>5531</v>
      </c>
      <c r="D4629" s="3"/>
    </row>
    <row r="4630" spans="1:4">
      <c r="A4630" s="2">
        <v>247</v>
      </c>
      <c r="B4630" s="2" t="s">
        <v>889</v>
      </c>
      <c r="C4630" s="2" t="s">
        <v>5532</v>
      </c>
      <c r="D4630" s="2"/>
    </row>
    <row r="4631" spans="1:4">
      <c r="A4631" s="3">
        <v>247</v>
      </c>
      <c r="B4631" s="3" t="s">
        <v>889</v>
      </c>
      <c r="C4631" s="3" t="s">
        <v>5533</v>
      </c>
      <c r="D4631" s="3"/>
    </row>
    <row r="4632" spans="1:4">
      <c r="A4632" s="2">
        <v>247</v>
      </c>
      <c r="B4632" s="2" t="s">
        <v>889</v>
      </c>
      <c r="C4632" s="2" t="s">
        <v>5534</v>
      </c>
      <c r="D4632" s="2"/>
    </row>
    <row r="4633" spans="1:4">
      <c r="A4633" s="3">
        <v>247</v>
      </c>
      <c r="B4633" s="3" t="s">
        <v>889</v>
      </c>
      <c r="C4633" s="3" t="s">
        <v>5535</v>
      </c>
      <c r="D4633" s="3"/>
    </row>
    <row r="4634" spans="1:4">
      <c r="A4634" s="2">
        <v>247</v>
      </c>
      <c r="B4634" s="2" t="s">
        <v>889</v>
      </c>
      <c r="C4634" s="2" t="s">
        <v>5536</v>
      </c>
      <c r="D4634" s="2"/>
    </row>
    <row r="4635" spans="1:4">
      <c r="A4635" s="3">
        <v>247</v>
      </c>
      <c r="B4635" s="3" t="s">
        <v>889</v>
      </c>
      <c r="C4635" s="3" t="s">
        <v>5537</v>
      </c>
      <c r="D4635" s="3"/>
    </row>
    <row r="4636" spans="1:4">
      <c r="A4636" s="2">
        <v>247</v>
      </c>
      <c r="B4636" s="2" t="s">
        <v>889</v>
      </c>
      <c r="C4636" s="2" t="s">
        <v>5538</v>
      </c>
      <c r="D4636" s="2"/>
    </row>
    <row r="4637" spans="1:4">
      <c r="A4637" s="3">
        <v>247</v>
      </c>
      <c r="B4637" s="3" t="s">
        <v>889</v>
      </c>
      <c r="C4637" s="3" t="s">
        <v>5539</v>
      </c>
      <c r="D4637" s="3"/>
    </row>
    <row r="4638" spans="1:4">
      <c r="A4638" s="2">
        <v>247</v>
      </c>
      <c r="B4638" s="2" t="s">
        <v>889</v>
      </c>
      <c r="C4638" s="2" t="s">
        <v>5540</v>
      </c>
      <c r="D4638" s="2"/>
    </row>
    <row r="4639" spans="1:4">
      <c r="A4639" s="3">
        <v>247</v>
      </c>
      <c r="B4639" s="3" t="s">
        <v>889</v>
      </c>
      <c r="C4639" s="3" t="s">
        <v>5541</v>
      </c>
      <c r="D4639" s="3"/>
    </row>
    <row r="4640" spans="1:4">
      <c r="A4640" s="2">
        <v>248</v>
      </c>
      <c r="B4640" s="2" t="s">
        <v>940</v>
      </c>
      <c r="C4640" s="2" t="s">
        <v>5542</v>
      </c>
      <c r="D4640" s="2"/>
    </row>
    <row r="4641" spans="1:4">
      <c r="A4641" s="3">
        <v>248</v>
      </c>
      <c r="B4641" s="3" t="s">
        <v>940</v>
      </c>
      <c r="C4641" s="3" t="s">
        <v>5543</v>
      </c>
      <c r="D4641" s="3"/>
    </row>
    <row r="4642" spans="1:4">
      <c r="A4642" s="2">
        <v>248</v>
      </c>
      <c r="B4642" s="2" t="s">
        <v>940</v>
      </c>
      <c r="C4642" s="2" t="s">
        <v>5544</v>
      </c>
      <c r="D4642" s="2"/>
    </row>
    <row r="4643" spans="1:4">
      <c r="A4643" s="3">
        <v>248</v>
      </c>
      <c r="B4643" s="3" t="s">
        <v>940</v>
      </c>
      <c r="C4643" s="3" t="s">
        <v>5545</v>
      </c>
      <c r="D4643" s="3"/>
    </row>
    <row r="4644" spans="1:4">
      <c r="A4644" s="2">
        <v>248</v>
      </c>
      <c r="B4644" s="2" t="s">
        <v>940</v>
      </c>
      <c r="C4644" s="2" t="s">
        <v>5546</v>
      </c>
      <c r="D4644" s="2"/>
    </row>
    <row r="4645" spans="1:4">
      <c r="A4645" s="3">
        <v>248</v>
      </c>
      <c r="B4645" s="3" t="s">
        <v>940</v>
      </c>
      <c r="C4645" s="3" t="s">
        <v>5547</v>
      </c>
      <c r="D4645" s="3"/>
    </row>
    <row r="4646" spans="1:4">
      <c r="A4646" s="2">
        <v>248</v>
      </c>
      <c r="B4646" s="2" t="s">
        <v>940</v>
      </c>
      <c r="C4646" s="2" t="s">
        <v>5548</v>
      </c>
      <c r="D4646" s="2"/>
    </row>
    <row r="4647" spans="1:4">
      <c r="A4647" s="3">
        <v>248</v>
      </c>
      <c r="B4647" s="3" t="s">
        <v>940</v>
      </c>
      <c r="C4647" s="3" t="s">
        <v>5549</v>
      </c>
      <c r="D4647" s="3"/>
    </row>
    <row r="4648" spans="1:4">
      <c r="A4648" s="2">
        <v>248</v>
      </c>
      <c r="B4648" s="2" t="s">
        <v>940</v>
      </c>
      <c r="C4648" s="2" t="s">
        <v>5550</v>
      </c>
      <c r="D4648" s="2"/>
    </row>
    <row r="4649" spans="1:4">
      <c r="A4649" s="3">
        <v>248</v>
      </c>
      <c r="B4649" s="3" t="s">
        <v>940</v>
      </c>
      <c r="C4649" s="3" t="s">
        <v>5551</v>
      </c>
      <c r="D4649" s="3"/>
    </row>
    <row r="4650" spans="1:4">
      <c r="A4650" s="2">
        <v>248</v>
      </c>
      <c r="B4650" s="2" t="s">
        <v>940</v>
      </c>
      <c r="C4650" s="2" t="s">
        <v>5552</v>
      </c>
      <c r="D4650" s="2"/>
    </row>
    <row r="4651" spans="1:4">
      <c r="A4651" s="3">
        <v>248</v>
      </c>
      <c r="B4651" s="3" t="s">
        <v>940</v>
      </c>
      <c r="C4651" s="3" t="s">
        <v>5553</v>
      </c>
      <c r="D4651" s="3"/>
    </row>
    <row r="4652" spans="1:4">
      <c r="A4652" s="2">
        <v>248</v>
      </c>
      <c r="B4652" s="2" t="s">
        <v>940</v>
      </c>
      <c r="C4652" s="2" t="s">
        <v>5554</v>
      </c>
      <c r="D4652" s="2"/>
    </row>
    <row r="4653" spans="1:4">
      <c r="A4653" s="3">
        <v>248</v>
      </c>
      <c r="B4653" s="3" t="s">
        <v>940</v>
      </c>
      <c r="C4653" s="3" t="s">
        <v>5555</v>
      </c>
      <c r="D4653" s="3"/>
    </row>
    <row r="4654" spans="1:4">
      <c r="A4654" s="2">
        <v>248</v>
      </c>
      <c r="B4654" s="2" t="s">
        <v>940</v>
      </c>
      <c r="C4654" s="2" t="s">
        <v>5556</v>
      </c>
      <c r="D4654" s="2"/>
    </row>
    <row r="4655" spans="1:4">
      <c r="A4655" s="3">
        <v>248</v>
      </c>
      <c r="B4655" s="3" t="s">
        <v>940</v>
      </c>
      <c r="C4655" s="3" t="s">
        <v>5557</v>
      </c>
      <c r="D4655" s="3"/>
    </row>
    <row r="4656" spans="1:4">
      <c r="A4656" s="2">
        <v>248</v>
      </c>
      <c r="B4656" s="2" t="s">
        <v>940</v>
      </c>
      <c r="C4656" s="2" t="s">
        <v>5558</v>
      </c>
      <c r="D4656" s="2"/>
    </row>
    <row r="4657" spans="1:4">
      <c r="A4657" s="3">
        <v>248</v>
      </c>
      <c r="B4657" s="3" t="s">
        <v>940</v>
      </c>
      <c r="C4657" s="3" t="s">
        <v>5559</v>
      </c>
      <c r="D4657" s="3"/>
    </row>
    <row r="4658" spans="1:4">
      <c r="A4658" s="2">
        <v>248</v>
      </c>
      <c r="B4658" s="2" t="s">
        <v>940</v>
      </c>
      <c r="C4658" s="2" t="s">
        <v>5560</v>
      </c>
      <c r="D4658" s="2"/>
    </row>
    <row r="4659" spans="1:4">
      <c r="A4659" s="3">
        <v>248</v>
      </c>
      <c r="B4659" s="3" t="s">
        <v>940</v>
      </c>
      <c r="C4659" s="3" t="s">
        <v>5561</v>
      </c>
      <c r="D4659" s="3"/>
    </row>
    <row r="4660" spans="1:4">
      <c r="A4660" s="2">
        <v>248</v>
      </c>
      <c r="B4660" s="2" t="s">
        <v>940</v>
      </c>
      <c r="C4660" s="2" t="s">
        <v>5562</v>
      </c>
      <c r="D4660" s="2"/>
    </row>
    <row r="4661" spans="1:4">
      <c r="A4661" s="3">
        <v>248</v>
      </c>
      <c r="B4661" s="3" t="s">
        <v>940</v>
      </c>
      <c r="C4661" s="3" t="s">
        <v>5563</v>
      </c>
      <c r="D4661" s="3"/>
    </row>
    <row r="4662" spans="1:4">
      <c r="A4662" s="2">
        <v>248</v>
      </c>
      <c r="B4662" s="2" t="s">
        <v>940</v>
      </c>
      <c r="C4662" s="2" t="s">
        <v>5564</v>
      </c>
      <c r="D4662" s="2"/>
    </row>
    <row r="4663" spans="1:4">
      <c r="A4663" s="3">
        <v>248</v>
      </c>
      <c r="B4663" s="3" t="s">
        <v>940</v>
      </c>
      <c r="C4663" s="3" t="s">
        <v>5565</v>
      </c>
      <c r="D4663" s="3"/>
    </row>
    <row r="4664" spans="1:4">
      <c r="A4664" s="2">
        <v>248</v>
      </c>
      <c r="B4664" s="2" t="s">
        <v>940</v>
      </c>
      <c r="C4664" s="2" t="s">
        <v>5566</v>
      </c>
      <c r="D4664" s="2"/>
    </row>
    <row r="4665" spans="1:4">
      <c r="A4665" s="3">
        <v>248</v>
      </c>
      <c r="B4665" s="3" t="s">
        <v>940</v>
      </c>
      <c r="C4665" s="3" t="s">
        <v>5567</v>
      </c>
      <c r="D4665" s="3"/>
    </row>
    <row r="4666" spans="1:4">
      <c r="A4666" s="2">
        <v>248</v>
      </c>
      <c r="B4666" s="2" t="s">
        <v>940</v>
      </c>
      <c r="C4666" s="2" t="s">
        <v>5568</v>
      </c>
      <c r="D4666" s="2"/>
    </row>
    <row r="4667" spans="1:4">
      <c r="A4667" s="3">
        <v>248</v>
      </c>
      <c r="B4667" s="3" t="s">
        <v>940</v>
      </c>
      <c r="C4667" s="3" t="s">
        <v>5569</v>
      </c>
      <c r="D4667" s="3"/>
    </row>
    <row r="4668" spans="1:4">
      <c r="A4668" s="2">
        <v>248</v>
      </c>
      <c r="B4668" s="2" t="s">
        <v>940</v>
      </c>
      <c r="C4668" s="2" t="s">
        <v>5570</v>
      </c>
      <c r="D4668" s="2"/>
    </row>
    <row r="4669" spans="1:4">
      <c r="A4669" s="3">
        <v>248</v>
      </c>
      <c r="B4669" s="3" t="s">
        <v>940</v>
      </c>
      <c r="C4669" s="3" t="s">
        <v>5571</v>
      </c>
      <c r="D4669" s="3"/>
    </row>
    <row r="4670" spans="1:4">
      <c r="A4670" s="2">
        <v>248</v>
      </c>
      <c r="B4670" s="2" t="s">
        <v>940</v>
      </c>
      <c r="C4670" s="2" t="s">
        <v>5572</v>
      </c>
      <c r="D4670" s="2"/>
    </row>
    <row r="4671" spans="1:4">
      <c r="A4671" s="3">
        <v>248</v>
      </c>
      <c r="B4671" s="3" t="s">
        <v>940</v>
      </c>
      <c r="C4671" s="3" t="s">
        <v>5573</v>
      </c>
      <c r="D4671" s="3"/>
    </row>
    <row r="4672" spans="1:4">
      <c r="A4672" s="2">
        <v>248</v>
      </c>
      <c r="B4672" s="2" t="s">
        <v>940</v>
      </c>
      <c r="C4672" s="2" t="s">
        <v>5574</v>
      </c>
      <c r="D4672" s="2"/>
    </row>
    <row r="4673" spans="1:4">
      <c r="A4673" s="3">
        <v>248</v>
      </c>
      <c r="B4673" s="3" t="s">
        <v>940</v>
      </c>
      <c r="C4673" s="3" t="s">
        <v>5575</v>
      </c>
      <c r="D4673" s="3"/>
    </row>
    <row r="4674" spans="1:4">
      <c r="A4674" s="2">
        <v>248</v>
      </c>
      <c r="B4674" s="2" t="s">
        <v>940</v>
      </c>
      <c r="C4674" s="2" t="s">
        <v>5576</v>
      </c>
      <c r="D4674" s="2"/>
    </row>
    <row r="4675" spans="1:4">
      <c r="A4675" s="3">
        <v>248</v>
      </c>
      <c r="B4675" s="3" t="s">
        <v>940</v>
      </c>
      <c r="C4675" s="3" t="s">
        <v>5577</v>
      </c>
      <c r="D4675" s="3"/>
    </row>
    <row r="4676" spans="1:4">
      <c r="A4676" s="2">
        <v>248</v>
      </c>
      <c r="B4676" s="2" t="s">
        <v>940</v>
      </c>
      <c r="C4676" s="2" t="s">
        <v>5578</v>
      </c>
      <c r="D4676" s="2"/>
    </row>
    <row r="4677" spans="1:4">
      <c r="A4677" s="3">
        <v>248</v>
      </c>
      <c r="B4677" s="3" t="s">
        <v>940</v>
      </c>
      <c r="C4677" s="3" t="s">
        <v>5579</v>
      </c>
      <c r="D4677" s="3"/>
    </row>
    <row r="4678" spans="1:4">
      <c r="A4678" s="2">
        <v>248</v>
      </c>
      <c r="B4678" s="2" t="s">
        <v>940</v>
      </c>
      <c r="C4678" s="2" t="s">
        <v>5580</v>
      </c>
      <c r="D4678" s="2"/>
    </row>
    <row r="4679" spans="1:4">
      <c r="A4679" s="3">
        <v>248</v>
      </c>
      <c r="B4679" s="3" t="s">
        <v>940</v>
      </c>
      <c r="C4679" s="3" t="s">
        <v>5581</v>
      </c>
      <c r="D4679" s="3"/>
    </row>
    <row r="4680" spans="1:4">
      <c r="A4680" s="2">
        <v>248</v>
      </c>
      <c r="B4680" s="2" t="s">
        <v>940</v>
      </c>
      <c r="C4680" s="2" t="s">
        <v>5582</v>
      </c>
      <c r="D4680" s="2"/>
    </row>
    <row r="4681" spans="1:4">
      <c r="A4681" s="3">
        <v>248</v>
      </c>
      <c r="B4681" s="3" t="s">
        <v>940</v>
      </c>
      <c r="C4681" s="3" t="s">
        <v>5583</v>
      </c>
      <c r="D4681" s="3"/>
    </row>
    <row r="4682" spans="1:4">
      <c r="A4682" s="2">
        <v>248</v>
      </c>
      <c r="B4682" s="2" t="s">
        <v>940</v>
      </c>
      <c r="C4682" s="2" t="s">
        <v>5584</v>
      </c>
      <c r="D4682" s="2"/>
    </row>
    <row r="4683" spans="1:4">
      <c r="A4683" s="3">
        <v>248</v>
      </c>
      <c r="B4683" s="3" t="s">
        <v>940</v>
      </c>
      <c r="C4683" s="3" t="s">
        <v>5585</v>
      </c>
      <c r="D4683" s="3"/>
    </row>
    <row r="4684" spans="1:4">
      <c r="A4684" s="2">
        <v>248</v>
      </c>
      <c r="B4684" s="2" t="s">
        <v>940</v>
      </c>
      <c r="C4684" s="2" t="s">
        <v>5586</v>
      </c>
      <c r="D4684" s="2"/>
    </row>
    <row r="4685" spans="1:4">
      <c r="A4685" s="3">
        <v>249</v>
      </c>
      <c r="B4685" s="3" t="s">
        <v>927</v>
      </c>
      <c r="C4685" s="3" t="s">
        <v>5587</v>
      </c>
      <c r="D4685" s="3"/>
    </row>
    <row r="4686" spans="1:4">
      <c r="A4686" s="2">
        <v>249</v>
      </c>
      <c r="B4686" s="2" t="s">
        <v>927</v>
      </c>
      <c r="C4686" s="2" t="s">
        <v>5588</v>
      </c>
      <c r="D4686" s="2"/>
    </row>
    <row r="4687" spans="1:4">
      <c r="A4687" s="3">
        <v>249</v>
      </c>
      <c r="B4687" s="3" t="s">
        <v>927</v>
      </c>
      <c r="C4687" s="3" t="s">
        <v>5589</v>
      </c>
      <c r="D4687" s="3"/>
    </row>
    <row r="4688" spans="1:4">
      <c r="A4688" s="2">
        <v>249</v>
      </c>
      <c r="B4688" s="2" t="s">
        <v>927</v>
      </c>
      <c r="C4688" s="2" t="s">
        <v>5590</v>
      </c>
      <c r="D4688" s="2"/>
    </row>
    <row r="4689" spans="1:4">
      <c r="A4689" s="3">
        <v>249</v>
      </c>
      <c r="B4689" s="3" t="s">
        <v>927</v>
      </c>
      <c r="C4689" s="3" t="s">
        <v>5591</v>
      </c>
      <c r="D4689" s="3"/>
    </row>
    <row r="4690" spans="1:4">
      <c r="A4690" s="2">
        <v>249</v>
      </c>
      <c r="B4690" s="2" t="s">
        <v>927</v>
      </c>
      <c r="C4690" s="2" t="s">
        <v>5592</v>
      </c>
      <c r="D4690" s="2"/>
    </row>
    <row r="4691" spans="1:4">
      <c r="A4691" s="3">
        <v>249</v>
      </c>
      <c r="B4691" s="3" t="s">
        <v>927</v>
      </c>
      <c r="C4691" s="3" t="s">
        <v>5593</v>
      </c>
      <c r="D4691" s="3"/>
    </row>
    <row r="4692" spans="1:4">
      <c r="A4692" s="2">
        <v>249</v>
      </c>
      <c r="B4692" s="2" t="s">
        <v>927</v>
      </c>
      <c r="C4692" s="2" t="s">
        <v>5594</v>
      </c>
      <c r="D4692" s="2"/>
    </row>
    <row r="4693" spans="1:4">
      <c r="A4693" s="3">
        <v>249</v>
      </c>
      <c r="B4693" s="3" t="s">
        <v>927</v>
      </c>
      <c r="C4693" s="3" t="s">
        <v>5595</v>
      </c>
      <c r="D4693" s="3"/>
    </row>
    <row r="4694" spans="1:4">
      <c r="A4694" s="2">
        <v>249</v>
      </c>
      <c r="B4694" s="2" t="s">
        <v>927</v>
      </c>
      <c r="C4694" s="2" t="s">
        <v>5596</v>
      </c>
      <c r="D4694" s="2"/>
    </row>
    <row r="4695" spans="1:4">
      <c r="A4695" s="3">
        <v>249</v>
      </c>
      <c r="B4695" s="3" t="s">
        <v>927</v>
      </c>
      <c r="C4695" s="3" t="s">
        <v>5597</v>
      </c>
      <c r="D4695" s="3"/>
    </row>
    <row r="4696" spans="1:4">
      <c r="A4696" s="2">
        <v>249</v>
      </c>
      <c r="B4696" s="2" t="s">
        <v>927</v>
      </c>
      <c r="C4696" s="2" t="s">
        <v>5598</v>
      </c>
      <c r="D4696" s="2"/>
    </row>
    <row r="4697" spans="1:4">
      <c r="A4697" s="3">
        <v>249</v>
      </c>
      <c r="B4697" s="3" t="s">
        <v>927</v>
      </c>
      <c r="C4697" s="3" t="s">
        <v>5599</v>
      </c>
      <c r="D4697" s="3"/>
    </row>
    <row r="4698" spans="1:4">
      <c r="A4698" s="2">
        <v>249</v>
      </c>
      <c r="B4698" s="2" t="s">
        <v>927</v>
      </c>
      <c r="C4698" s="2" t="s">
        <v>5600</v>
      </c>
      <c r="D4698" s="2"/>
    </row>
    <row r="4699" spans="1:4">
      <c r="A4699" s="3">
        <v>249</v>
      </c>
      <c r="B4699" s="3" t="s">
        <v>927</v>
      </c>
      <c r="C4699" s="3" t="s">
        <v>5601</v>
      </c>
      <c r="D4699" s="3"/>
    </row>
    <row r="4700" spans="1:4">
      <c r="A4700" s="2">
        <v>249</v>
      </c>
      <c r="B4700" s="2" t="s">
        <v>927</v>
      </c>
      <c r="C4700" s="2" t="s">
        <v>5602</v>
      </c>
      <c r="D4700" s="2"/>
    </row>
    <row r="4701" spans="1:4">
      <c r="A4701" s="3">
        <v>249</v>
      </c>
      <c r="B4701" s="3" t="s">
        <v>927</v>
      </c>
      <c r="C4701" s="3" t="s">
        <v>5603</v>
      </c>
      <c r="D4701" s="3"/>
    </row>
    <row r="4702" spans="1:4">
      <c r="A4702" s="2">
        <v>249</v>
      </c>
      <c r="B4702" s="2" t="s">
        <v>927</v>
      </c>
      <c r="C4702" s="2" t="s">
        <v>5604</v>
      </c>
      <c r="D4702" s="2"/>
    </row>
    <row r="4703" spans="1:4">
      <c r="A4703" s="3">
        <v>249</v>
      </c>
      <c r="B4703" s="3" t="s">
        <v>927</v>
      </c>
      <c r="C4703" s="3" t="s">
        <v>5605</v>
      </c>
      <c r="D4703" s="3"/>
    </row>
    <row r="4704" spans="1:4">
      <c r="A4704" s="2">
        <v>249</v>
      </c>
      <c r="B4704" s="2" t="s">
        <v>927</v>
      </c>
      <c r="C4704" s="2" t="s">
        <v>5606</v>
      </c>
      <c r="D4704" s="2"/>
    </row>
    <row r="4705" spans="1:4">
      <c r="A4705" s="3">
        <v>249</v>
      </c>
      <c r="B4705" s="3" t="s">
        <v>927</v>
      </c>
      <c r="C4705" s="3" t="s">
        <v>5607</v>
      </c>
      <c r="D4705" s="3"/>
    </row>
    <row r="4706" spans="1:4">
      <c r="A4706" s="2">
        <v>249</v>
      </c>
      <c r="B4706" s="2" t="s">
        <v>927</v>
      </c>
      <c r="C4706" s="2" t="s">
        <v>5608</v>
      </c>
      <c r="D4706" s="2"/>
    </row>
    <row r="4707" spans="1:4">
      <c r="A4707" s="3">
        <v>249</v>
      </c>
      <c r="B4707" s="3" t="s">
        <v>927</v>
      </c>
      <c r="C4707" s="3" t="s">
        <v>5609</v>
      </c>
      <c r="D4707" s="3"/>
    </row>
    <row r="4708" spans="1:4">
      <c r="A4708" s="2">
        <v>249</v>
      </c>
      <c r="B4708" s="2" t="s">
        <v>927</v>
      </c>
      <c r="C4708" s="2" t="s">
        <v>5610</v>
      </c>
      <c r="D4708" s="2"/>
    </row>
    <row r="4709" spans="1:4">
      <c r="A4709" s="3">
        <v>249</v>
      </c>
      <c r="B4709" s="3" t="s">
        <v>927</v>
      </c>
      <c r="C4709" s="3" t="s">
        <v>5611</v>
      </c>
      <c r="D4709" s="3"/>
    </row>
    <row r="4710" spans="1:4">
      <c r="A4710" s="2">
        <v>249</v>
      </c>
      <c r="B4710" s="2" t="s">
        <v>927</v>
      </c>
      <c r="C4710" s="2" t="s">
        <v>5612</v>
      </c>
      <c r="D4710" s="2"/>
    </row>
    <row r="4711" spans="1:4">
      <c r="A4711" s="3">
        <v>249</v>
      </c>
      <c r="B4711" s="3" t="s">
        <v>927</v>
      </c>
      <c r="C4711" s="3" t="s">
        <v>5613</v>
      </c>
      <c r="D4711" s="3"/>
    </row>
    <row r="4712" spans="1:4">
      <c r="A4712" s="2">
        <v>249</v>
      </c>
      <c r="B4712" s="2" t="s">
        <v>927</v>
      </c>
      <c r="C4712" s="2" t="s">
        <v>5614</v>
      </c>
      <c r="D4712" s="2"/>
    </row>
    <row r="4713" spans="1:4">
      <c r="A4713" s="3">
        <v>249</v>
      </c>
      <c r="B4713" s="3" t="s">
        <v>927</v>
      </c>
      <c r="C4713" s="3" t="s">
        <v>5615</v>
      </c>
      <c r="D4713" s="3"/>
    </row>
    <row r="4714" spans="1:4">
      <c r="A4714" s="2">
        <v>250</v>
      </c>
      <c r="B4714" s="2" t="s">
        <v>926</v>
      </c>
      <c r="C4714" s="2" t="s">
        <v>5616</v>
      </c>
      <c r="D4714" s="2"/>
    </row>
    <row r="4715" spans="1:4">
      <c r="A4715" s="3">
        <v>250</v>
      </c>
      <c r="B4715" s="3" t="s">
        <v>926</v>
      </c>
      <c r="C4715" s="3" t="s">
        <v>5617</v>
      </c>
      <c r="D4715" s="3"/>
    </row>
    <row r="4716" spans="1:4">
      <c r="A4716" s="2">
        <v>250</v>
      </c>
      <c r="B4716" s="2" t="s">
        <v>926</v>
      </c>
      <c r="C4716" s="2" t="s">
        <v>5618</v>
      </c>
      <c r="D4716" s="2"/>
    </row>
    <row r="4717" spans="1:4">
      <c r="A4717" s="3">
        <v>250</v>
      </c>
      <c r="B4717" s="3" t="s">
        <v>926</v>
      </c>
      <c r="C4717" s="3" t="s">
        <v>5619</v>
      </c>
      <c r="D4717" s="3"/>
    </row>
    <row r="4718" spans="1:4">
      <c r="A4718" s="2">
        <v>250</v>
      </c>
      <c r="B4718" s="2" t="s">
        <v>926</v>
      </c>
      <c r="C4718" s="2" t="s">
        <v>5620</v>
      </c>
      <c r="D4718" s="2"/>
    </row>
    <row r="4719" spans="1:4">
      <c r="A4719" s="3">
        <v>250</v>
      </c>
      <c r="B4719" s="3" t="s">
        <v>926</v>
      </c>
      <c r="C4719" s="3" t="s">
        <v>5621</v>
      </c>
      <c r="D4719" s="3"/>
    </row>
    <row r="4720" spans="1:4">
      <c r="A4720" s="2">
        <v>250</v>
      </c>
      <c r="B4720" s="2" t="s">
        <v>926</v>
      </c>
      <c r="C4720" s="2" t="s">
        <v>5622</v>
      </c>
      <c r="D4720" s="2"/>
    </row>
    <row r="4721" spans="1:4">
      <c r="A4721" s="3">
        <v>250</v>
      </c>
      <c r="B4721" s="3" t="s">
        <v>926</v>
      </c>
      <c r="C4721" s="3" t="s">
        <v>5623</v>
      </c>
      <c r="D4721" s="3"/>
    </row>
    <row r="4722" spans="1:4">
      <c r="A4722" s="2">
        <v>250</v>
      </c>
      <c r="B4722" s="2" t="s">
        <v>926</v>
      </c>
      <c r="C4722" s="2" t="s">
        <v>5624</v>
      </c>
      <c r="D4722" s="2"/>
    </row>
    <row r="4723" spans="1:4">
      <c r="A4723" s="3">
        <v>250</v>
      </c>
      <c r="B4723" s="3" t="s">
        <v>926</v>
      </c>
      <c r="C4723" s="3" t="s">
        <v>5625</v>
      </c>
      <c r="D4723" s="3"/>
    </row>
    <row r="4724" spans="1:4">
      <c r="A4724" s="2">
        <v>250</v>
      </c>
      <c r="B4724" s="2" t="s">
        <v>926</v>
      </c>
      <c r="C4724" s="2" t="s">
        <v>5626</v>
      </c>
      <c r="D4724" s="2"/>
    </row>
    <row r="4725" spans="1:4">
      <c r="A4725" s="3">
        <v>250</v>
      </c>
      <c r="B4725" s="3" t="s">
        <v>926</v>
      </c>
      <c r="C4725" s="3" t="s">
        <v>5627</v>
      </c>
      <c r="D4725" s="3"/>
    </row>
    <row r="4726" spans="1:4">
      <c r="A4726" s="2">
        <v>250</v>
      </c>
      <c r="B4726" s="2" t="s">
        <v>926</v>
      </c>
      <c r="C4726" s="2" t="s">
        <v>5628</v>
      </c>
      <c r="D4726" s="2"/>
    </row>
    <row r="4727" spans="1:4">
      <c r="A4727" s="3">
        <v>250</v>
      </c>
      <c r="B4727" s="3" t="s">
        <v>926</v>
      </c>
      <c r="C4727" s="3" t="s">
        <v>5629</v>
      </c>
      <c r="D4727" s="3"/>
    </row>
    <row r="4728" spans="1:4">
      <c r="A4728" s="2">
        <v>250</v>
      </c>
      <c r="B4728" s="2" t="s">
        <v>926</v>
      </c>
      <c r="C4728" s="2" t="s">
        <v>5630</v>
      </c>
      <c r="D4728" s="2"/>
    </row>
    <row r="4729" spans="1:4">
      <c r="A4729" s="3">
        <v>250</v>
      </c>
      <c r="B4729" s="3" t="s">
        <v>926</v>
      </c>
      <c r="C4729" s="3" t="s">
        <v>5631</v>
      </c>
      <c r="D4729" s="3"/>
    </row>
    <row r="4730" spans="1:4">
      <c r="A4730" s="2">
        <v>250</v>
      </c>
      <c r="B4730" s="2" t="s">
        <v>926</v>
      </c>
      <c r="C4730" s="2" t="s">
        <v>5632</v>
      </c>
      <c r="D4730" s="2"/>
    </row>
    <row r="4731" spans="1:4">
      <c r="A4731" s="3">
        <v>250</v>
      </c>
      <c r="B4731" s="3" t="s">
        <v>926</v>
      </c>
      <c r="C4731" s="3" t="s">
        <v>5633</v>
      </c>
      <c r="D4731" s="3"/>
    </row>
    <row r="4732" spans="1:4">
      <c r="A4732" s="2">
        <v>250</v>
      </c>
      <c r="B4732" s="2" t="s">
        <v>926</v>
      </c>
      <c r="C4732" s="2" t="s">
        <v>5634</v>
      </c>
      <c r="D4732" s="2"/>
    </row>
    <row r="4733" spans="1:4">
      <c r="A4733" s="3">
        <v>250</v>
      </c>
      <c r="B4733" s="3" t="s">
        <v>926</v>
      </c>
      <c r="C4733" s="3" t="s">
        <v>5635</v>
      </c>
      <c r="D4733" s="3"/>
    </row>
    <row r="4734" spans="1:4">
      <c r="A4734" s="2">
        <v>250</v>
      </c>
      <c r="B4734" s="2" t="s">
        <v>926</v>
      </c>
      <c r="C4734" s="2" t="s">
        <v>5636</v>
      </c>
      <c r="D4734" s="2"/>
    </row>
    <row r="4735" spans="1:4">
      <c r="A4735" s="3">
        <v>250</v>
      </c>
      <c r="B4735" s="3" t="s">
        <v>926</v>
      </c>
      <c r="C4735" s="3" t="s">
        <v>5637</v>
      </c>
      <c r="D4735" s="3"/>
    </row>
    <row r="4736" spans="1:4">
      <c r="A4736" s="2">
        <v>250</v>
      </c>
      <c r="B4736" s="2" t="s">
        <v>926</v>
      </c>
      <c r="C4736" s="2" t="s">
        <v>5638</v>
      </c>
      <c r="D4736" s="2"/>
    </row>
    <row r="4737" spans="1:4">
      <c r="A4737" s="3">
        <v>250</v>
      </c>
      <c r="B4737" s="3" t="s">
        <v>926</v>
      </c>
      <c r="C4737" s="3" t="s">
        <v>5639</v>
      </c>
      <c r="D4737" s="3"/>
    </row>
    <row r="4738" spans="1:4">
      <c r="A4738" s="2">
        <v>250</v>
      </c>
      <c r="B4738" s="2" t="s">
        <v>926</v>
      </c>
      <c r="C4738" s="2" t="s">
        <v>5640</v>
      </c>
      <c r="D4738" s="2"/>
    </row>
    <row r="4739" spans="1:4">
      <c r="A4739" s="3">
        <v>250</v>
      </c>
      <c r="B4739" s="3" t="s">
        <v>926</v>
      </c>
      <c r="C4739" s="3" t="s">
        <v>5641</v>
      </c>
      <c r="D4739" s="3"/>
    </row>
    <row r="4740" spans="1:4">
      <c r="A4740" s="2">
        <v>250</v>
      </c>
      <c r="B4740" s="2" t="s">
        <v>926</v>
      </c>
      <c r="C4740" s="2" t="s">
        <v>5642</v>
      </c>
      <c r="D4740" s="2"/>
    </row>
    <row r="4741" spans="1:4">
      <c r="A4741" s="3">
        <v>250</v>
      </c>
      <c r="B4741" s="3" t="s">
        <v>926</v>
      </c>
      <c r="C4741" s="3" t="s">
        <v>5643</v>
      </c>
      <c r="D4741" s="3"/>
    </row>
    <row r="4742" spans="1:4">
      <c r="A4742" s="2">
        <v>250</v>
      </c>
      <c r="B4742" s="2" t="s">
        <v>926</v>
      </c>
      <c r="C4742" s="2" t="s">
        <v>5644</v>
      </c>
      <c r="D4742" s="2"/>
    </row>
    <row r="4743" spans="1:4">
      <c r="A4743" s="3">
        <v>250</v>
      </c>
      <c r="B4743" s="3" t="s">
        <v>926</v>
      </c>
      <c r="C4743" s="3" t="s">
        <v>5645</v>
      </c>
      <c r="D4743" s="3"/>
    </row>
    <row r="4744" spans="1:4">
      <c r="A4744" s="2">
        <v>250</v>
      </c>
      <c r="B4744" s="2" t="s">
        <v>926</v>
      </c>
      <c r="C4744" s="2" t="s">
        <v>5646</v>
      </c>
      <c r="D4744" s="2"/>
    </row>
    <row r="4745" spans="1:4">
      <c r="A4745" s="3">
        <v>250</v>
      </c>
      <c r="B4745" s="3" t="s">
        <v>926</v>
      </c>
      <c r="C4745" s="3" t="s">
        <v>5647</v>
      </c>
      <c r="D4745" s="3"/>
    </row>
    <row r="4746" spans="1:4">
      <c r="A4746" s="2">
        <v>250</v>
      </c>
      <c r="B4746" s="2" t="s">
        <v>926</v>
      </c>
      <c r="C4746" s="2" t="s">
        <v>5648</v>
      </c>
      <c r="D4746" s="2"/>
    </row>
    <row r="4747" spans="1:4">
      <c r="A4747" s="3">
        <v>250</v>
      </c>
      <c r="B4747" s="3" t="s">
        <v>926</v>
      </c>
      <c r="C4747" s="3" t="s">
        <v>5649</v>
      </c>
      <c r="D4747" s="3"/>
    </row>
    <row r="4748" spans="1:4">
      <c r="A4748" s="2">
        <v>250</v>
      </c>
      <c r="B4748" s="2" t="s">
        <v>926</v>
      </c>
      <c r="C4748" s="2" t="s">
        <v>5650</v>
      </c>
      <c r="D4748" s="2"/>
    </row>
    <row r="4749" spans="1:4">
      <c r="A4749" s="3">
        <v>250</v>
      </c>
      <c r="B4749" s="3" t="s">
        <v>926</v>
      </c>
      <c r="C4749" s="3" t="s">
        <v>5651</v>
      </c>
      <c r="D4749" s="3"/>
    </row>
    <row r="4750" spans="1:4">
      <c r="A4750" s="2">
        <v>250</v>
      </c>
      <c r="B4750" s="2" t="s">
        <v>926</v>
      </c>
      <c r="C4750" s="2" t="s">
        <v>5652</v>
      </c>
      <c r="D4750" s="2"/>
    </row>
    <row r="4751" spans="1:4">
      <c r="A4751" s="3">
        <v>250</v>
      </c>
      <c r="B4751" s="3" t="s">
        <v>926</v>
      </c>
      <c r="C4751" s="3" t="s">
        <v>5653</v>
      </c>
      <c r="D4751" s="3"/>
    </row>
    <row r="4752" spans="1:4">
      <c r="A4752" s="2">
        <v>250</v>
      </c>
      <c r="B4752" s="2" t="s">
        <v>926</v>
      </c>
      <c r="C4752" s="2" t="s">
        <v>5654</v>
      </c>
      <c r="D4752" s="2"/>
    </row>
    <row r="4753" spans="1:4">
      <c r="A4753" s="3">
        <v>250</v>
      </c>
      <c r="B4753" s="3" t="s">
        <v>926</v>
      </c>
      <c r="C4753" s="3" t="s">
        <v>5655</v>
      </c>
      <c r="D4753" s="3"/>
    </row>
    <row r="4754" spans="1:4">
      <c r="A4754" s="2">
        <v>250</v>
      </c>
      <c r="B4754" s="2" t="s">
        <v>926</v>
      </c>
      <c r="C4754" s="2" t="s">
        <v>5656</v>
      </c>
      <c r="D4754" s="2"/>
    </row>
    <row r="4755" spans="1:4">
      <c r="A4755" s="3">
        <v>250</v>
      </c>
      <c r="B4755" s="3" t="s">
        <v>926</v>
      </c>
      <c r="C4755" s="3" t="s">
        <v>5657</v>
      </c>
      <c r="D4755" s="3"/>
    </row>
    <row r="4756" spans="1:4">
      <c r="A4756" s="2">
        <v>250</v>
      </c>
      <c r="B4756" s="2" t="s">
        <v>926</v>
      </c>
      <c r="C4756" s="2" t="s">
        <v>5658</v>
      </c>
      <c r="D4756" s="2"/>
    </row>
    <row r="4757" spans="1:4">
      <c r="A4757" s="3">
        <v>250</v>
      </c>
      <c r="B4757" s="3" t="s">
        <v>926</v>
      </c>
      <c r="C4757" s="3" t="s">
        <v>5659</v>
      </c>
      <c r="D4757" s="3"/>
    </row>
    <row r="4758" spans="1:4">
      <c r="A4758" s="2">
        <v>250</v>
      </c>
      <c r="B4758" s="2" t="s">
        <v>926</v>
      </c>
      <c r="C4758" s="2" t="s">
        <v>5660</v>
      </c>
      <c r="D4758" s="2"/>
    </row>
    <row r="4759" spans="1:4">
      <c r="A4759" s="3">
        <v>250</v>
      </c>
      <c r="B4759" s="3" t="s">
        <v>926</v>
      </c>
      <c r="C4759" s="3" t="s">
        <v>5661</v>
      </c>
      <c r="D4759" s="3"/>
    </row>
    <row r="4760" spans="1:4">
      <c r="A4760" s="2">
        <v>250</v>
      </c>
      <c r="B4760" s="2" t="s">
        <v>926</v>
      </c>
      <c r="C4760" s="2" t="s">
        <v>5662</v>
      </c>
      <c r="D4760" s="2"/>
    </row>
    <row r="4761" spans="1:4">
      <c r="A4761" s="3">
        <v>250</v>
      </c>
      <c r="B4761" s="3" t="s">
        <v>926</v>
      </c>
      <c r="C4761" s="3" t="s">
        <v>5663</v>
      </c>
      <c r="D4761" s="3"/>
    </row>
    <row r="4762" spans="1:4">
      <c r="A4762" s="2">
        <v>250</v>
      </c>
      <c r="B4762" s="2" t="s">
        <v>926</v>
      </c>
      <c r="C4762" s="2" t="s">
        <v>5664</v>
      </c>
      <c r="D4762" s="2"/>
    </row>
    <row r="4763" spans="1:4">
      <c r="A4763" s="3">
        <v>250</v>
      </c>
      <c r="B4763" s="3" t="s">
        <v>926</v>
      </c>
      <c r="C4763" s="3" t="s">
        <v>5665</v>
      </c>
      <c r="D4763" s="3"/>
    </row>
    <row r="4764" spans="1:4">
      <c r="A4764" s="2">
        <v>251</v>
      </c>
      <c r="B4764" s="2" t="s">
        <v>819</v>
      </c>
      <c r="C4764" s="2" t="s">
        <v>5666</v>
      </c>
      <c r="D4764" s="2"/>
    </row>
    <row r="4765" spans="1:4">
      <c r="A4765" s="3">
        <v>251</v>
      </c>
      <c r="B4765" s="3" t="s">
        <v>819</v>
      </c>
      <c r="C4765" s="3" t="s">
        <v>5667</v>
      </c>
      <c r="D4765" s="3"/>
    </row>
    <row r="4766" spans="1:4">
      <c r="A4766" s="2">
        <v>251</v>
      </c>
      <c r="B4766" s="2" t="s">
        <v>819</v>
      </c>
      <c r="C4766" s="2" t="s">
        <v>5668</v>
      </c>
      <c r="D4766" s="2"/>
    </row>
    <row r="4767" spans="1:4">
      <c r="A4767" s="3">
        <v>251</v>
      </c>
      <c r="B4767" s="3" t="s">
        <v>819</v>
      </c>
      <c r="C4767" s="3" t="s">
        <v>5669</v>
      </c>
      <c r="D4767" s="3"/>
    </row>
    <row r="4768" spans="1:4">
      <c r="A4768" s="2">
        <v>251</v>
      </c>
      <c r="B4768" s="2" t="s">
        <v>819</v>
      </c>
      <c r="C4768" s="2" t="s">
        <v>5670</v>
      </c>
      <c r="D4768" s="2"/>
    </row>
    <row r="4769" spans="1:4">
      <c r="A4769" s="3">
        <v>251</v>
      </c>
      <c r="B4769" s="3" t="s">
        <v>819</v>
      </c>
      <c r="C4769" s="3" t="s">
        <v>5671</v>
      </c>
      <c r="D4769" s="3"/>
    </row>
    <row r="4770" spans="1:4">
      <c r="A4770" s="2">
        <v>254</v>
      </c>
      <c r="B4770" s="2" t="s">
        <v>837</v>
      </c>
      <c r="C4770" s="2" t="s">
        <v>5672</v>
      </c>
      <c r="D4770" s="2"/>
    </row>
    <row r="4771" spans="1:4">
      <c r="A4771" s="3">
        <v>254</v>
      </c>
      <c r="B4771" s="3" t="s">
        <v>837</v>
      </c>
      <c r="C4771" s="3" t="s">
        <v>5673</v>
      </c>
      <c r="D4771" s="3"/>
    </row>
    <row r="4772" spans="1:4">
      <c r="A4772" s="2">
        <v>254</v>
      </c>
      <c r="B4772" s="2" t="s">
        <v>837</v>
      </c>
      <c r="C4772" s="2" t="s">
        <v>5674</v>
      </c>
      <c r="D4772" s="2"/>
    </row>
    <row r="4773" spans="1:4">
      <c r="A4773" s="3">
        <v>254</v>
      </c>
      <c r="B4773" s="3" t="s">
        <v>837</v>
      </c>
      <c r="C4773" s="3" t="s">
        <v>5675</v>
      </c>
      <c r="D4773" s="3"/>
    </row>
    <row r="4774" spans="1:4">
      <c r="A4774" s="2">
        <v>254</v>
      </c>
      <c r="B4774" s="2" t="s">
        <v>837</v>
      </c>
      <c r="C4774" s="2" t="s">
        <v>5676</v>
      </c>
      <c r="D4774" s="2"/>
    </row>
    <row r="4775" spans="1:4">
      <c r="A4775" s="3">
        <v>254</v>
      </c>
      <c r="B4775" s="3" t="s">
        <v>837</v>
      </c>
      <c r="C4775" s="3" t="s">
        <v>5677</v>
      </c>
      <c r="D4775" s="3"/>
    </row>
    <row r="4776" spans="1:4">
      <c r="A4776" s="2">
        <v>254</v>
      </c>
      <c r="B4776" s="2" t="s">
        <v>837</v>
      </c>
      <c r="C4776" s="2" t="s">
        <v>5678</v>
      </c>
      <c r="D4776" s="2"/>
    </row>
    <row r="4777" spans="1:4">
      <c r="A4777" s="3">
        <v>254</v>
      </c>
      <c r="B4777" s="3" t="s">
        <v>837</v>
      </c>
      <c r="C4777" s="3" t="s">
        <v>5679</v>
      </c>
      <c r="D4777" s="3"/>
    </row>
    <row r="4778" spans="1:4">
      <c r="A4778" s="2">
        <v>254</v>
      </c>
      <c r="B4778" s="2" t="s">
        <v>837</v>
      </c>
      <c r="C4778" s="2" t="s">
        <v>5680</v>
      </c>
      <c r="D4778" s="2"/>
    </row>
    <row r="4779" spans="1:4">
      <c r="A4779" s="3">
        <v>254</v>
      </c>
      <c r="B4779" s="3" t="s">
        <v>837</v>
      </c>
      <c r="C4779" s="3" t="s">
        <v>5681</v>
      </c>
      <c r="D4779" s="3"/>
    </row>
    <row r="4780" spans="1:4">
      <c r="A4780" s="2">
        <v>254</v>
      </c>
      <c r="B4780" s="2" t="s">
        <v>837</v>
      </c>
      <c r="C4780" s="2" t="s">
        <v>5682</v>
      </c>
      <c r="D4780" s="2"/>
    </row>
    <row r="4781" spans="1:4">
      <c r="A4781" s="3">
        <v>254</v>
      </c>
      <c r="B4781" s="3" t="s">
        <v>837</v>
      </c>
      <c r="C4781" s="3" t="s">
        <v>5683</v>
      </c>
      <c r="D4781" s="3"/>
    </row>
    <row r="4782" spans="1:4">
      <c r="A4782" s="2">
        <v>254</v>
      </c>
      <c r="B4782" s="2" t="s">
        <v>837</v>
      </c>
      <c r="C4782" s="2" t="s">
        <v>5684</v>
      </c>
      <c r="D4782" s="2"/>
    </row>
    <row r="4783" spans="1:4">
      <c r="A4783" s="3">
        <v>254</v>
      </c>
      <c r="B4783" s="3" t="s">
        <v>837</v>
      </c>
      <c r="C4783" s="3" t="s">
        <v>5685</v>
      </c>
      <c r="D4783" s="3"/>
    </row>
    <row r="4784" spans="1:4">
      <c r="A4784" s="2">
        <v>254</v>
      </c>
      <c r="B4784" s="2" t="s">
        <v>837</v>
      </c>
      <c r="C4784" s="2" t="s">
        <v>5686</v>
      </c>
      <c r="D4784" s="2"/>
    </row>
    <row r="4785" spans="1:4">
      <c r="A4785" s="3">
        <v>254</v>
      </c>
      <c r="B4785" s="3" t="s">
        <v>837</v>
      </c>
      <c r="C4785" s="3" t="s">
        <v>5687</v>
      </c>
      <c r="D4785" s="3"/>
    </row>
    <row r="4786" spans="1:4">
      <c r="A4786" s="2">
        <v>254</v>
      </c>
      <c r="B4786" s="2" t="s">
        <v>837</v>
      </c>
      <c r="C4786" s="2" t="s">
        <v>5688</v>
      </c>
      <c r="D4786" s="2"/>
    </row>
    <row r="4787" spans="1:4">
      <c r="A4787" s="3">
        <v>254</v>
      </c>
      <c r="B4787" s="3" t="s">
        <v>837</v>
      </c>
      <c r="C4787" s="3" t="s">
        <v>5689</v>
      </c>
      <c r="D4787" s="3"/>
    </row>
    <row r="4788" spans="1:4">
      <c r="A4788" s="2">
        <v>254</v>
      </c>
      <c r="B4788" s="2" t="s">
        <v>837</v>
      </c>
      <c r="C4788" s="2" t="s">
        <v>5690</v>
      </c>
      <c r="D4788" s="2"/>
    </row>
    <row r="4789" spans="1:4">
      <c r="A4789" s="3">
        <v>254</v>
      </c>
      <c r="B4789" s="3" t="s">
        <v>837</v>
      </c>
      <c r="C4789" s="3" t="s">
        <v>5691</v>
      </c>
      <c r="D4789" s="3"/>
    </row>
    <row r="4790" spans="1:4">
      <c r="A4790" s="2">
        <v>254</v>
      </c>
      <c r="B4790" s="2" t="s">
        <v>837</v>
      </c>
      <c r="C4790" s="2" t="s">
        <v>5692</v>
      </c>
      <c r="D4790" s="2"/>
    </row>
    <row r="4791" spans="1:4">
      <c r="A4791" s="3">
        <v>254</v>
      </c>
      <c r="B4791" s="3" t="s">
        <v>837</v>
      </c>
      <c r="C4791" s="3" t="s">
        <v>5693</v>
      </c>
      <c r="D4791" s="3"/>
    </row>
    <row r="4792" spans="1:4">
      <c r="A4792" s="2">
        <v>256</v>
      </c>
      <c r="B4792" s="2" t="s">
        <v>785</v>
      </c>
      <c r="C4792" s="2" t="s">
        <v>5694</v>
      </c>
      <c r="D4792" s="2"/>
    </row>
    <row r="4793" spans="1:4">
      <c r="A4793" s="3">
        <v>256</v>
      </c>
      <c r="B4793" s="3" t="s">
        <v>785</v>
      </c>
      <c r="C4793" s="3" t="s">
        <v>5695</v>
      </c>
      <c r="D4793" s="3"/>
    </row>
    <row r="4794" spans="1:4">
      <c r="A4794" s="2">
        <v>256</v>
      </c>
      <c r="B4794" s="2" t="s">
        <v>785</v>
      </c>
      <c r="C4794" s="2" t="s">
        <v>5696</v>
      </c>
      <c r="D4794" s="2"/>
    </row>
    <row r="4795" spans="1:4">
      <c r="A4795" s="3">
        <v>256</v>
      </c>
      <c r="B4795" s="3" t="s">
        <v>785</v>
      </c>
      <c r="C4795" s="3" t="s">
        <v>5697</v>
      </c>
      <c r="D4795" s="3"/>
    </row>
    <row r="4796" spans="1:4">
      <c r="A4796" s="2">
        <v>256</v>
      </c>
      <c r="B4796" s="2" t="s">
        <v>785</v>
      </c>
      <c r="C4796" s="2" t="s">
        <v>5698</v>
      </c>
      <c r="D4796" s="2"/>
    </row>
    <row r="4797" spans="1:4">
      <c r="A4797" s="3">
        <v>256</v>
      </c>
      <c r="B4797" s="3" t="s">
        <v>785</v>
      </c>
      <c r="C4797" s="3" t="s">
        <v>5699</v>
      </c>
      <c r="D4797" s="3"/>
    </row>
    <row r="4798" spans="1:4">
      <c r="A4798" s="2">
        <v>256</v>
      </c>
      <c r="B4798" s="2" t="s">
        <v>785</v>
      </c>
      <c r="C4798" s="2" t="s">
        <v>5700</v>
      </c>
      <c r="D4798" s="2"/>
    </row>
    <row r="4799" spans="1:4">
      <c r="A4799" s="3">
        <v>256</v>
      </c>
      <c r="B4799" s="3" t="s">
        <v>785</v>
      </c>
      <c r="C4799" s="3" t="s">
        <v>5701</v>
      </c>
      <c r="D4799" s="3"/>
    </row>
    <row r="4800" spans="1:4">
      <c r="A4800" s="2">
        <v>257</v>
      </c>
      <c r="B4800" s="2" t="s">
        <v>876</v>
      </c>
      <c r="C4800" s="2" t="s">
        <v>5702</v>
      </c>
      <c r="D4800" s="2"/>
    </row>
    <row r="4801" spans="1:4">
      <c r="A4801" s="3">
        <v>257</v>
      </c>
      <c r="B4801" s="3" t="s">
        <v>876</v>
      </c>
      <c r="C4801" s="3" t="s">
        <v>5703</v>
      </c>
      <c r="D4801" s="3"/>
    </row>
    <row r="4802" spans="1:4">
      <c r="A4802" s="2">
        <v>257</v>
      </c>
      <c r="B4802" s="2" t="s">
        <v>876</v>
      </c>
      <c r="C4802" s="2" t="s">
        <v>5704</v>
      </c>
      <c r="D4802" s="2"/>
    </row>
    <row r="4803" spans="1:4">
      <c r="A4803" s="3">
        <v>257</v>
      </c>
      <c r="B4803" s="3" t="s">
        <v>876</v>
      </c>
      <c r="C4803" s="3" t="s">
        <v>5705</v>
      </c>
      <c r="D4803" s="3"/>
    </row>
    <row r="4804" spans="1:4">
      <c r="A4804" s="2">
        <v>257</v>
      </c>
      <c r="B4804" s="2" t="s">
        <v>876</v>
      </c>
      <c r="C4804" s="2" t="s">
        <v>5706</v>
      </c>
      <c r="D4804" s="2"/>
    </row>
    <row r="4805" spans="1:4">
      <c r="A4805" s="3">
        <v>257</v>
      </c>
      <c r="B4805" s="3" t="s">
        <v>876</v>
      </c>
      <c r="C4805" s="3" t="s">
        <v>5707</v>
      </c>
      <c r="D4805" s="3"/>
    </row>
    <row r="4806" spans="1:4">
      <c r="A4806" s="2">
        <v>257</v>
      </c>
      <c r="B4806" s="2" t="s">
        <v>876</v>
      </c>
      <c r="C4806" s="2" t="s">
        <v>5708</v>
      </c>
      <c r="D4806" s="2"/>
    </row>
    <row r="4807" spans="1:4">
      <c r="A4807" s="3">
        <v>257</v>
      </c>
      <c r="B4807" s="3" t="s">
        <v>876</v>
      </c>
      <c r="C4807" s="3" t="s">
        <v>5709</v>
      </c>
      <c r="D4807" s="3"/>
    </row>
    <row r="4808" spans="1:4">
      <c r="A4808" s="2">
        <v>257</v>
      </c>
      <c r="B4808" s="2" t="s">
        <v>876</v>
      </c>
      <c r="C4808" s="2" t="s">
        <v>5710</v>
      </c>
      <c r="D4808" s="2"/>
    </row>
    <row r="4809" spans="1:4">
      <c r="A4809" s="3">
        <v>257</v>
      </c>
      <c r="B4809" s="3" t="s">
        <v>876</v>
      </c>
      <c r="C4809" s="3" t="s">
        <v>5711</v>
      </c>
      <c r="D4809" s="3"/>
    </row>
    <row r="4810" spans="1:4">
      <c r="A4810" s="2">
        <v>257</v>
      </c>
      <c r="B4810" s="2" t="s">
        <v>876</v>
      </c>
      <c r="C4810" s="2" t="s">
        <v>5712</v>
      </c>
      <c r="D4810" s="2"/>
    </row>
    <row r="4811" spans="1:4">
      <c r="A4811" s="3">
        <v>257</v>
      </c>
      <c r="B4811" s="3" t="s">
        <v>876</v>
      </c>
      <c r="C4811" s="3" t="s">
        <v>5713</v>
      </c>
      <c r="D4811" s="3"/>
    </row>
    <row r="4812" spans="1:4">
      <c r="A4812" s="2">
        <v>257</v>
      </c>
      <c r="B4812" s="2" t="s">
        <v>876</v>
      </c>
      <c r="C4812" s="2" t="s">
        <v>5714</v>
      </c>
      <c r="D4812" s="2"/>
    </row>
    <row r="4813" spans="1:4">
      <c r="A4813" s="3">
        <v>257</v>
      </c>
      <c r="B4813" s="3" t="s">
        <v>876</v>
      </c>
      <c r="C4813" s="3" t="s">
        <v>5715</v>
      </c>
      <c r="D4813" s="3"/>
    </row>
    <row r="4814" spans="1:4">
      <c r="A4814" s="2">
        <v>257</v>
      </c>
      <c r="B4814" s="2" t="s">
        <v>876</v>
      </c>
      <c r="C4814" s="2" t="s">
        <v>5716</v>
      </c>
      <c r="D4814" s="2"/>
    </row>
    <row r="4815" spans="1:4">
      <c r="A4815" s="3">
        <v>257</v>
      </c>
      <c r="B4815" s="3" t="s">
        <v>876</v>
      </c>
      <c r="C4815" s="3" t="s">
        <v>5717</v>
      </c>
      <c r="D4815" s="3"/>
    </row>
    <row r="4816" spans="1:4">
      <c r="A4816" s="2">
        <v>257</v>
      </c>
      <c r="B4816" s="2" t="s">
        <v>876</v>
      </c>
      <c r="C4816" s="2" t="s">
        <v>5718</v>
      </c>
      <c r="D4816" s="2"/>
    </row>
    <row r="4817" spans="1:4">
      <c r="A4817" s="3">
        <v>257</v>
      </c>
      <c r="B4817" s="3" t="s">
        <v>876</v>
      </c>
      <c r="C4817" s="3" t="s">
        <v>5719</v>
      </c>
      <c r="D4817" s="3"/>
    </row>
    <row r="4818" spans="1:4">
      <c r="A4818" s="2">
        <v>257</v>
      </c>
      <c r="B4818" s="2" t="s">
        <v>876</v>
      </c>
      <c r="C4818" s="2" t="s">
        <v>5720</v>
      </c>
      <c r="D4818" s="2"/>
    </row>
    <row r="4819" spans="1:4">
      <c r="A4819" s="3">
        <v>257</v>
      </c>
      <c r="B4819" s="3" t="s">
        <v>876</v>
      </c>
      <c r="C4819" s="3" t="s">
        <v>5721</v>
      </c>
      <c r="D4819" s="3"/>
    </row>
    <row r="4820" spans="1:4">
      <c r="A4820" s="2">
        <v>257</v>
      </c>
      <c r="B4820" s="2" t="s">
        <v>876</v>
      </c>
      <c r="C4820" s="2" t="s">
        <v>5722</v>
      </c>
      <c r="D4820" s="2"/>
    </row>
    <row r="4821" spans="1:4">
      <c r="A4821" s="3">
        <v>257</v>
      </c>
      <c r="B4821" s="3" t="s">
        <v>876</v>
      </c>
      <c r="C4821" s="3" t="s">
        <v>5723</v>
      </c>
      <c r="D4821" s="3"/>
    </row>
    <row r="4822" spans="1:4">
      <c r="A4822" s="2">
        <v>257</v>
      </c>
      <c r="B4822" s="2" t="s">
        <v>876</v>
      </c>
      <c r="C4822" s="2" t="s">
        <v>5724</v>
      </c>
      <c r="D4822" s="2"/>
    </row>
    <row r="4823" spans="1:4">
      <c r="A4823" s="3">
        <v>257</v>
      </c>
      <c r="B4823" s="3" t="s">
        <v>876</v>
      </c>
      <c r="C4823" s="3" t="s">
        <v>5725</v>
      </c>
      <c r="D4823" s="3"/>
    </row>
    <row r="4824" spans="1:4">
      <c r="A4824" s="2">
        <v>257</v>
      </c>
      <c r="B4824" s="2" t="s">
        <v>876</v>
      </c>
      <c r="C4824" s="2" t="s">
        <v>5726</v>
      </c>
      <c r="D4824" s="2"/>
    </row>
    <row r="4825" spans="1:4">
      <c r="A4825" s="3">
        <v>257</v>
      </c>
      <c r="B4825" s="3" t="s">
        <v>876</v>
      </c>
      <c r="C4825" s="3" t="s">
        <v>5727</v>
      </c>
      <c r="D4825" s="3"/>
    </row>
    <row r="4826" spans="1:4">
      <c r="A4826" s="2">
        <v>257</v>
      </c>
      <c r="B4826" s="2" t="s">
        <v>876</v>
      </c>
      <c r="C4826" s="2" t="s">
        <v>5728</v>
      </c>
      <c r="D4826" s="2"/>
    </row>
    <row r="4827" spans="1:4">
      <c r="A4827" s="3">
        <v>257</v>
      </c>
      <c r="B4827" s="3" t="s">
        <v>876</v>
      </c>
      <c r="C4827" s="3" t="s">
        <v>5729</v>
      </c>
      <c r="D4827" s="3"/>
    </row>
    <row r="4828" spans="1:4">
      <c r="A4828" s="2">
        <v>257</v>
      </c>
      <c r="B4828" s="2" t="s">
        <v>876</v>
      </c>
      <c r="C4828" s="2" t="s">
        <v>5730</v>
      </c>
      <c r="D4828" s="2"/>
    </row>
    <row r="4829" spans="1:4">
      <c r="A4829" s="3">
        <v>262</v>
      </c>
      <c r="B4829" s="3" t="s">
        <v>355</v>
      </c>
      <c r="C4829" s="3" t="s">
        <v>5731</v>
      </c>
      <c r="D4829" s="3"/>
    </row>
    <row r="4830" spans="1:4">
      <c r="A4830" s="2">
        <v>262</v>
      </c>
      <c r="B4830" s="2" t="s">
        <v>355</v>
      </c>
      <c r="C4830" s="2" t="s">
        <v>5732</v>
      </c>
      <c r="D4830" s="2"/>
    </row>
    <row r="4831" spans="1:4">
      <c r="A4831" s="3">
        <v>262</v>
      </c>
      <c r="B4831" s="3" t="s">
        <v>355</v>
      </c>
      <c r="C4831" s="3" t="s">
        <v>5733</v>
      </c>
      <c r="D4831" s="3"/>
    </row>
    <row r="4832" spans="1:4">
      <c r="A4832" s="2">
        <v>262</v>
      </c>
      <c r="B4832" s="2" t="s">
        <v>355</v>
      </c>
      <c r="C4832" s="2" t="s">
        <v>5734</v>
      </c>
      <c r="D4832" s="2"/>
    </row>
    <row r="4833" spans="1:4">
      <c r="A4833" s="3">
        <v>262</v>
      </c>
      <c r="B4833" s="3" t="s">
        <v>355</v>
      </c>
      <c r="C4833" s="3" t="s">
        <v>5735</v>
      </c>
      <c r="D4833" s="3"/>
    </row>
    <row r="4834" spans="1:4">
      <c r="A4834" s="2">
        <v>262</v>
      </c>
      <c r="B4834" s="2" t="s">
        <v>355</v>
      </c>
      <c r="C4834" s="2" t="s">
        <v>5736</v>
      </c>
      <c r="D4834" s="2"/>
    </row>
    <row r="4835" spans="1:4">
      <c r="A4835" s="3">
        <v>262</v>
      </c>
      <c r="B4835" s="3" t="s">
        <v>355</v>
      </c>
      <c r="C4835" s="3" t="s">
        <v>5737</v>
      </c>
      <c r="D4835" s="3"/>
    </row>
    <row r="4836" spans="1:4">
      <c r="A4836" s="2">
        <v>263</v>
      </c>
      <c r="B4836" s="2" t="s">
        <v>793</v>
      </c>
      <c r="C4836" s="2" t="s">
        <v>5738</v>
      </c>
      <c r="D4836" s="2"/>
    </row>
    <row r="4837" spans="1:4">
      <c r="A4837" s="3">
        <v>263</v>
      </c>
      <c r="B4837" s="3" t="s">
        <v>793</v>
      </c>
      <c r="C4837" s="3" t="s">
        <v>5739</v>
      </c>
      <c r="D4837" s="3"/>
    </row>
    <row r="4838" spans="1:4">
      <c r="A4838" s="2">
        <v>263</v>
      </c>
      <c r="B4838" s="2" t="s">
        <v>793</v>
      </c>
      <c r="C4838" s="2" t="s">
        <v>5740</v>
      </c>
      <c r="D4838" s="2"/>
    </row>
    <row r="4839" spans="1:4">
      <c r="A4839" s="3">
        <v>263</v>
      </c>
      <c r="B4839" s="3" t="s">
        <v>793</v>
      </c>
      <c r="C4839" s="3" t="s">
        <v>5741</v>
      </c>
      <c r="D4839" s="3"/>
    </row>
    <row r="4840" spans="1:4">
      <c r="A4840" s="2">
        <v>263</v>
      </c>
      <c r="B4840" s="2" t="s">
        <v>793</v>
      </c>
      <c r="C4840" s="2" t="s">
        <v>5742</v>
      </c>
      <c r="D4840" s="2"/>
    </row>
    <row r="4841" spans="1:4">
      <c r="A4841" s="3">
        <v>263</v>
      </c>
      <c r="B4841" s="3" t="s">
        <v>793</v>
      </c>
      <c r="C4841" s="3" t="s">
        <v>5743</v>
      </c>
      <c r="D4841" s="3"/>
    </row>
    <row r="4842" spans="1:4">
      <c r="A4842" s="2">
        <v>263</v>
      </c>
      <c r="B4842" s="2" t="s">
        <v>793</v>
      </c>
      <c r="C4842" s="2" t="s">
        <v>5744</v>
      </c>
      <c r="D4842" s="2"/>
    </row>
    <row r="4843" spans="1:4">
      <c r="A4843" s="3">
        <v>263</v>
      </c>
      <c r="B4843" s="3" t="s">
        <v>793</v>
      </c>
      <c r="C4843" s="3" t="s">
        <v>5745</v>
      </c>
      <c r="D4843" s="3"/>
    </row>
    <row r="4844" spans="1:4">
      <c r="A4844" s="2">
        <v>263</v>
      </c>
      <c r="B4844" s="2" t="s">
        <v>793</v>
      </c>
      <c r="C4844" s="2" t="s">
        <v>5746</v>
      </c>
      <c r="D4844" s="2"/>
    </row>
    <row r="4845" spans="1:4">
      <c r="A4845" s="3">
        <v>263</v>
      </c>
      <c r="B4845" s="3" t="s">
        <v>793</v>
      </c>
      <c r="C4845" s="3" t="s">
        <v>5747</v>
      </c>
      <c r="D4845" s="3"/>
    </row>
    <row r="4846" spans="1:4">
      <c r="A4846" s="2">
        <v>263</v>
      </c>
      <c r="B4846" s="2" t="s">
        <v>793</v>
      </c>
      <c r="C4846" s="2" t="s">
        <v>5748</v>
      </c>
      <c r="D4846" s="2"/>
    </row>
    <row r="4847" spans="1:4">
      <c r="A4847" s="3">
        <v>263</v>
      </c>
      <c r="B4847" s="3" t="s">
        <v>793</v>
      </c>
      <c r="C4847" s="3" t="s">
        <v>5749</v>
      </c>
      <c r="D4847" s="3"/>
    </row>
    <row r="4848" spans="1:4">
      <c r="A4848" s="2">
        <v>263</v>
      </c>
      <c r="B4848" s="2" t="s">
        <v>793</v>
      </c>
      <c r="C4848" s="2" t="s">
        <v>5750</v>
      </c>
      <c r="D4848" s="2"/>
    </row>
    <row r="4849" spans="1:4">
      <c r="A4849" s="3">
        <v>263</v>
      </c>
      <c r="B4849" s="3" t="s">
        <v>793</v>
      </c>
      <c r="C4849" s="3" t="s">
        <v>5751</v>
      </c>
      <c r="D4849" s="3"/>
    </row>
    <row r="4850" spans="1:4">
      <c r="A4850" s="2">
        <v>263</v>
      </c>
      <c r="B4850" s="2" t="s">
        <v>793</v>
      </c>
      <c r="C4850" s="2" t="s">
        <v>5752</v>
      </c>
      <c r="D4850" s="2"/>
    </row>
    <row r="4851" spans="1:4">
      <c r="A4851" s="3">
        <v>263</v>
      </c>
      <c r="B4851" s="3" t="s">
        <v>793</v>
      </c>
      <c r="C4851" s="3" t="s">
        <v>5753</v>
      </c>
      <c r="D4851" s="3"/>
    </row>
    <row r="4852" spans="1:4">
      <c r="A4852" s="2">
        <v>263</v>
      </c>
      <c r="B4852" s="2" t="s">
        <v>793</v>
      </c>
      <c r="C4852" s="2" t="s">
        <v>5754</v>
      </c>
      <c r="D4852" s="2"/>
    </row>
    <row r="4853" spans="1:4">
      <c r="A4853" s="3">
        <v>263</v>
      </c>
      <c r="B4853" s="3" t="s">
        <v>793</v>
      </c>
      <c r="C4853" s="3" t="s">
        <v>5755</v>
      </c>
      <c r="D4853" s="3"/>
    </row>
    <row r="4854" spans="1:4">
      <c r="A4854" s="2">
        <v>263</v>
      </c>
      <c r="B4854" s="2" t="s">
        <v>793</v>
      </c>
      <c r="C4854" s="2" t="s">
        <v>5756</v>
      </c>
      <c r="D4854" s="2"/>
    </row>
    <row r="4855" spans="1:4">
      <c r="A4855" s="3">
        <v>263</v>
      </c>
      <c r="B4855" s="3" t="s">
        <v>793</v>
      </c>
      <c r="C4855" s="3" t="s">
        <v>5757</v>
      </c>
      <c r="D4855" s="3"/>
    </row>
    <row r="4856" spans="1:4">
      <c r="A4856" s="2">
        <v>263</v>
      </c>
      <c r="B4856" s="2" t="s">
        <v>793</v>
      </c>
      <c r="C4856" s="2" t="s">
        <v>5758</v>
      </c>
      <c r="D4856" s="2"/>
    </row>
    <row r="4857" spans="1:4">
      <c r="A4857" s="3">
        <v>263</v>
      </c>
      <c r="B4857" s="3" t="s">
        <v>793</v>
      </c>
      <c r="C4857" s="3" t="s">
        <v>5759</v>
      </c>
      <c r="D4857" s="3"/>
    </row>
    <row r="4858" spans="1:4">
      <c r="A4858" s="2">
        <v>263</v>
      </c>
      <c r="B4858" s="2" t="s">
        <v>793</v>
      </c>
      <c r="C4858" s="2" t="s">
        <v>5760</v>
      </c>
      <c r="D4858" s="2"/>
    </row>
    <row r="4859" spans="1:4">
      <c r="A4859" s="3">
        <v>263</v>
      </c>
      <c r="B4859" s="3" t="s">
        <v>793</v>
      </c>
      <c r="C4859" s="3" t="s">
        <v>5761</v>
      </c>
      <c r="D4859" s="3"/>
    </row>
    <row r="4860" spans="1:4">
      <c r="A4860" s="2">
        <v>263</v>
      </c>
      <c r="B4860" s="2" t="s">
        <v>793</v>
      </c>
      <c r="C4860" s="2" t="s">
        <v>5762</v>
      </c>
      <c r="D4860" s="2"/>
    </row>
    <row r="4861" spans="1:4">
      <c r="A4861" s="3">
        <v>263</v>
      </c>
      <c r="B4861" s="3" t="s">
        <v>793</v>
      </c>
      <c r="C4861" s="3" t="s">
        <v>5763</v>
      </c>
      <c r="D4861" s="3"/>
    </row>
    <row r="4862" spans="1:4">
      <c r="A4862" s="2">
        <v>263</v>
      </c>
      <c r="B4862" s="2" t="s">
        <v>793</v>
      </c>
      <c r="C4862" s="2" t="s">
        <v>5764</v>
      </c>
      <c r="D4862" s="2"/>
    </row>
    <row r="4863" spans="1:4">
      <c r="A4863" s="3">
        <v>263</v>
      </c>
      <c r="B4863" s="3" t="s">
        <v>793</v>
      </c>
      <c r="C4863" s="3" t="s">
        <v>5765</v>
      </c>
      <c r="D4863" s="3"/>
    </row>
    <row r="4864" spans="1:4">
      <c r="A4864" s="2">
        <v>263</v>
      </c>
      <c r="B4864" s="2" t="s">
        <v>793</v>
      </c>
      <c r="C4864" s="2" t="s">
        <v>5766</v>
      </c>
      <c r="D4864" s="2"/>
    </row>
    <row r="4865" spans="1:4">
      <c r="A4865" s="3">
        <v>263</v>
      </c>
      <c r="B4865" s="3" t="s">
        <v>793</v>
      </c>
      <c r="C4865" s="3" t="s">
        <v>5767</v>
      </c>
      <c r="D4865" s="3"/>
    </row>
    <row r="4866" spans="1:4">
      <c r="A4866" s="2">
        <v>263</v>
      </c>
      <c r="B4866" s="2" t="s">
        <v>793</v>
      </c>
      <c r="C4866" s="2" t="s">
        <v>5768</v>
      </c>
      <c r="D4866" s="2"/>
    </row>
    <row r="4867" spans="1:4">
      <c r="A4867" s="3">
        <v>263</v>
      </c>
      <c r="B4867" s="3" t="s">
        <v>793</v>
      </c>
      <c r="C4867" s="3" t="s">
        <v>5769</v>
      </c>
      <c r="D4867" s="3"/>
    </row>
    <row r="4868" spans="1:4">
      <c r="A4868" s="2">
        <v>263</v>
      </c>
      <c r="B4868" s="2" t="s">
        <v>793</v>
      </c>
      <c r="C4868" s="2" t="s">
        <v>5770</v>
      </c>
      <c r="D4868" s="2"/>
    </row>
    <row r="4869" spans="1:4">
      <c r="A4869" s="3">
        <v>263</v>
      </c>
      <c r="B4869" s="3" t="s">
        <v>793</v>
      </c>
      <c r="C4869" s="3" t="s">
        <v>5771</v>
      </c>
      <c r="D4869" s="3"/>
    </row>
    <row r="4870" spans="1:4">
      <c r="A4870" s="2">
        <v>263</v>
      </c>
      <c r="B4870" s="2" t="s">
        <v>793</v>
      </c>
      <c r="C4870" s="2" t="s">
        <v>5772</v>
      </c>
      <c r="D4870" s="2"/>
    </row>
    <row r="4871" spans="1:4">
      <c r="A4871" s="3">
        <v>263</v>
      </c>
      <c r="B4871" s="3" t="s">
        <v>793</v>
      </c>
      <c r="C4871" s="3" t="s">
        <v>5773</v>
      </c>
      <c r="D4871" s="3"/>
    </row>
    <row r="4872" spans="1:4">
      <c r="A4872" s="2">
        <v>263</v>
      </c>
      <c r="B4872" s="2" t="s">
        <v>793</v>
      </c>
      <c r="C4872" s="2" t="s">
        <v>5774</v>
      </c>
      <c r="D4872" s="2"/>
    </row>
    <row r="4873" spans="1:4">
      <c r="A4873" s="3">
        <v>263</v>
      </c>
      <c r="B4873" s="3" t="s">
        <v>793</v>
      </c>
      <c r="C4873" s="3" t="s">
        <v>5775</v>
      </c>
      <c r="D4873" s="3"/>
    </row>
    <row r="4874" spans="1:4">
      <c r="A4874" s="2">
        <v>263</v>
      </c>
      <c r="B4874" s="2" t="s">
        <v>793</v>
      </c>
      <c r="C4874" s="2" t="s">
        <v>5776</v>
      </c>
      <c r="D4874" s="2"/>
    </row>
    <row r="4875" spans="1:4">
      <c r="A4875" s="3">
        <v>263</v>
      </c>
      <c r="B4875" s="3" t="s">
        <v>793</v>
      </c>
      <c r="C4875" s="3" t="s">
        <v>5777</v>
      </c>
      <c r="D4875" s="3"/>
    </row>
    <row r="4876" spans="1:4">
      <c r="A4876" s="2">
        <v>263</v>
      </c>
      <c r="B4876" s="2" t="s">
        <v>793</v>
      </c>
      <c r="C4876" s="2" t="s">
        <v>1210</v>
      </c>
      <c r="D4876" s="2"/>
    </row>
    <row r="4877" spans="1:4">
      <c r="A4877" s="3">
        <v>263</v>
      </c>
      <c r="B4877" s="3" t="s">
        <v>793</v>
      </c>
      <c r="C4877" s="3" t="s">
        <v>5778</v>
      </c>
      <c r="D4877" s="3"/>
    </row>
    <row r="4878" spans="1:4">
      <c r="A4878" s="2">
        <v>263</v>
      </c>
      <c r="B4878" s="2" t="s">
        <v>793</v>
      </c>
      <c r="C4878" s="2" t="s">
        <v>5779</v>
      </c>
      <c r="D4878" s="2"/>
    </row>
    <row r="4879" spans="1:4">
      <c r="A4879" s="3">
        <v>263</v>
      </c>
      <c r="B4879" s="3" t="s">
        <v>793</v>
      </c>
      <c r="C4879" s="3" t="s">
        <v>5780</v>
      </c>
      <c r="D4879" s="3"/>
    </row>
    <row r="4880" spans="1:4">
      <c r="A4880" s="2">
        <v>263</v>
      </c>
      <c r="B4880" s="2" t="s">
        <v>793</v>
      </c>
      <c r="C4880" s="2" t="s">
        <v>5781</v>
      </c>
      <c r="D4880" s="2"/>
    </row>
    <row r="4881" spans="1:4">
      <c r="A4881" s="3">
        <v>263</v>
      </c>
      <c r="B4881" s="3" t="s">
        <v>793</v>
      </c>
      <c r="C4881" s="3" t="s">
        <v>5782</v>
      </c>
      <c r="D4881" s="3"/>
    </row>
    <row r="4882" spans="1:4">
      <c r="A4882" s="2">
        <v>263</v>
      </c>
      <c r="B4882" s="2" t="s">
        <v>793</v>
      </c>
      <c r="C4882" s="2" t="s">
        <v>5783</v>
      </c>
      <c r="D4882" s="2"/>
    </row>
    <row r="4883" spans="1:4">
      <c r="A4883" s="3">
        <v>263</v>
      </c>
      <c r="B4883" s="3" t="s">
        <v>793</v>
      </c>
      <c r="C4883" s="3" t="s">
        <v>5784</v>
      </c>
      <c r="D4883" s="3"/>
    </row>
    <row r="4884" spans="1:4">
      <c r="A4884" s="2">
        <v>263</v>
      </c>
      <c r="B4884" s="2" t="s">
        <v>793</v>
      </c>
      <c r="C4884" s="2" t="s">
        <v>5785</v>
      </c>
      <c r="D4884" s="2"/>
    </row>
    <row r="4885" spans="1:4">
      <c r="A4885" s="3">
        <v>263</v>
      </c>
      <c r="B4885" s="3" t="s">
        <v>793</v>
      </c>
      <c r="C4885" s="3" t="s">
        <v>5786</v>
      </c>
      <c r="D4885" s="3"/>
    </row>
    <row r="4886" spans="1:4">
      <c r="A4886" s="2">
        <v>264</v>
      </c>
      <c r="B4886" s="2" t="s">
        <v>775</v>
      </c>
      <c r="C4886" s="2" t="s">
        <v>5787</v>
      </c>
      <c r="D4886" s="2"/>
    </row>
    <row r="4887" spans="1:4">
      <c r="A4887" s="3">
        <v>264</v>
      </c>
      <c r="B4887" s="3" t="s">
        <v>775</v>
      </c>
      <c r="C4887" s="3" t="s">
        <v>5788</v>
      </c>
      <c r="D4887" s="3"/>
    </row>
    <row r="4888" spans="1:4">
      <c r="A4888" s="2">
        <v>264</v>
      </c>
      <c r="B4888" s="2" t="s">
        <v>775</v>
      </c>
      <c r="C4888" s="2" t="s">
        <v>5789</v>
      </c>
      <c r="D4888" s="2"/>
    </row>
    <row r="4889" spans="1:4">
      <c r="A4889" s="3">
        <v>264</v>
      </c>
      <c r="B4889" s="3" t="s">
        <v>775</v>
      </c>
      <c r="C4889" s="3" t="s">
        <v>5790</v>
      </c>
      <c r="D4889" s="3"/>
    </row>
    <row r="4890" spans="1:4">
      <c r="A4890" s="2">
        <v>264</v>
      </c>
      <c r="B4890" s="2" t="s">
        <v>775</v>
      </c>
      <c r="C4890" s="2" t="s">
        <v>5791</v>
      </c>
      <c r="D4890" s="2"/>
    </row>
    <row r="4891" spans="1:4">
      <c r="A4891" s="3">
        <v>264</v>
      </c>
      <c r="B4891" s="3" t="s">
        <v>775</v>
      </c>
      <c r="C4891" s="3" t="s">
        <v>5792</v>
      </c>
      <c r="D4891" s="3"/>
    </row>
    <row r="4892" spans="1:4">
      <c r="A4892" s="2">
        <v>264</v>
      </c>
      <c r="B4892" s="2" t="s">
        <v>775</v>
      </c>
      <c r="C4892" s="2" t="s">
        <v>5793</v>
      </c>
      <c r="D4892" s="2"/>
    </row>
    <row r="4893" spans="1:4">
      <c r="A4893" s="3">
        <v>264</v>
      </c>
      <c r="B4893" s="3" t="s">
        <v>775</v>
      </c>
      <c r="C4893" s="3" t="s">
        <v>5794</v>
      </c>
      <c r="D4893" s="3"/>
    </row>
    <row r="4894" spans="1:4">
      <c r="A4894" s="2">
        <v>264</v>
      </c>
      <c r="B4894" s="2" t="s">
        <v>775</v>
      </c>
      <c r="C4894" s="2" t="s">
        <v>5795</v>
      </c>
      <c r="D4894" s="2"/>
    </row>
    <row r="4895" spans="1:4">
      <c r="A4895" s="3">
        <v>264</v>
      </c>
      <c r="B4895" s="3" t="s">
        <v>775</v>
      </c>
      <c r="C4895" s="3" t="s">
        <v>5796</v>
      </c>
      <c r="D4895" s="3"/>
    </row>
    <row r="4896" spans="1:4">
      <c r="A4896" s="2">
        <v>264</v>
      </c>
      <c r="B4896" s="2" t="s">
        <v>775</v>
      </c>
      <c r="C4896" s="2" t="s">
        <v>5797</v>
      </c>
      <c r="D4896" s="2"/>
    </row>
    <row r="4897" spans="1:4">
      <c r="A4897" s="3">
        <v>264</v>
      </c>
      <c r="B4897" s="3" t="s">
        <v>775</v>
      </c>
      <c r="C4897" s="3" t="s">
        <v>5798</v>
      </c>
      <c r="D4897" s="3"/>
    </row>
    <row r="4898" spans="1:4">
      <c r="A4898" s="2">
        <v>264</v>
      </c>
      <c r="B4898" s="2" t="s">
        <v>775</v>
      </c>
      <c r="C4898" s="2" t="s">
        <v>5799</v>
      </c>
      <c r="D4898" s="2"/>
    </row>
    <row r="4899" spans="1:4">
      <c r="A4899" s="3">
        <v>264</v>
      </c>
      <c r="B4899" s="3" t="s">
        <v>775</v>
      </c>
      <c r="C4899" s="3" t="s">
        <v>5800</v>
      </c>
      <c r="D4899" s="3"/>
    </row>
    <row r="4900" spans="1:4">
      <c r="A4900" s="2">
        <v>264</v>
      </c>
      <c r="B4900" s="2" t="s">
        <v>775</v>
      </c>
      <c r="C4900" s="2" t="s">
        <v>5801</v>
      </c>
      <c r="D4900" s="2"/>
    </row>
    <row r="4901" spans="1:4">
      <c r="A4901" s="3">
        <v>264</v>
      </c>
      <c r="B4901" s="3" t="s">
        <v>775</v>
      </c>
      <c r="C4901" s="3" t="s">
        <v>5802</v>
      </c>
      <c r="D4901" s="3"/>
    </row>
    <row r="4902" spans="1:4">
      <c r="A4902" s="2">
        <v>264</v>
      </c>
      <c r="B4902" s="2" t="s">
        <v>775</v>
      </c>
      <c r="C4902" s="2" t="s">
        <v>5803</v>
      </c>
      <c r="D4902" s="2"/>
    </row>
    <row r="4903" spans="1:4">
      <c r="A4903" s="3">
        <v>264</v>
      </c>
      <c r="B4903" s="3" t="s">
        <v>775</v>
      </c>
      <c r="C4903" s="3" t="s">
        <v>5804</v>
      </c>
      <c r="D4903" s="3"/>
    </row>
    <row r="4904" spans="1:4">
      <c r="A4904" s="2">
        <v>264</v>
      </c>
      <c r="B4904" s="2" t="s">
        <v>775</v>
      </c>
      <c r="C4904" s="2" t="s">
        <v>5805</v>
      </c>
      <c r="D4904" s="2"/>
    </row>
    <row r="4905" spans="1:4">
      <c r="A4905" s="3">
        <v>264</v>
      </c>
      <c r="B4905" s="3" t="s">
        <v>775</v>
      </c>
      <c r="C4905" s="3" t="s">
        <v>5806</v>
      </c>
      <c r="D4905" s="3"/>
    </row>
    <row r="4906" spans="1:4">
      <c r="A4906" s="2">
        <v>264</v>
      </c>
      <c r="B4906" s="2" t="s">
        <v>775</v>
      </c>
      <c r="C4906" s="2" t="s">
        <v>5807</v>
      </c>
      <c r="D4906" s="2"/>
    </row>
    <row r="4907" spans="1:4">
      <c r="A4907" s="3">
        <v>264</v>
      </c>
      <c r="B4907" s="3" t="s">
        <v>775</v>
      </c>
      <c r="C4907" s="3" t="s">
        <v>5808</v>
      </c>
      <c r="D4907" s="3"/>
    </row>
    <row r="4908" spans="1:4">
      <c r="A4908" s="2">
        <v>264</v>
      </c>
      <c r="B4908" s="2" t="s">
        <v>775</v>
      </c>
      <c r="C4908" s="2" t="s">
        <v>5809</v>
      </c>
      <c r="D4908" s="2"/>
    </row>
    <row r="4909" spans="1:4">
      <c r="A4909" s="3">
        <v>264</v>
      </c>
      <c r="B4909" s="3" t="s">
        <v>775</v>
      </c>
      <c r="C4909" s="3" t="s">
        <v>5810</v>
      </c>
      <c r="D4909" s="3"/>
    </row>
    <row r="4910" spans="1:4">
      <c r="A4910" s="2">
        <v>264</v>
      </c>
      <c r="B4910" s="2" t="s">
        <v>775</v>
      </c>
      <c r="C4910" s="2" t="s">
        <v>5811</v>
      </c>
      <c r="D4910" s="2"/>
    </row>
    <row r="4911" spans="1:4">
      <c r="A4911" s="3">
        <v>264</v>
      </c>
      <c r="B4911" s="3" t="s">
        <v>775</v>
      </c>
      <c r="C4911" s="3" t="s">
        <v>5812</v>
      </c>
      <c r="D4911" s="3"/>
    </row>
    <row r="4912" spans="1:4">
      <c r="A4912" s="2">
        <v>264</v>
      </c>
      <c r="B4912" s="2" t="s">
        <v>775</v>
      </c>
      <c r="C4912" s="2" t="s">
        <v>5813</v>
      </c>
      <c r="D4912" s="2"/>
    </row>
    <row r="4913" spans="1:4">
      <c r="A4913" s="3">
        <v>264</v>
      </c>
      <c r="B4913" s="3" t="s">
        <v>775</v>
      </c>
      <c r="C4913" s="3" t="s">
        <v>5814</v>
      </c>
      <c r="D4913" s="3"/>
    </row>
    <row r="4914" spans="1:4">
      <c r="A4914" s="2">
        <v>264</v>
      </c>
      <c r="B4914" s="2" t="s">
        <v>775</v>
      </c>
      <c r="C4914" s="2" t="s">
        <v>5815</v>
      </c>
      <c r="D4914" s="2"/>
    </row>
    <row r="4915" spans="1:4">
      <c r="A4915" s="3">
        <v>264</v>
      </c>
      <c r="B4915" s="3" t="s">
        <v>775</v>
      </c>
      <c r="C4915" s="3" t="s">
        <v>5816</v>
      </c>
      <c r="D4915" s="3"/>
    </row>
    <row r="4916" spans="1:4">
      <c r="A4916" s="2">
        <v>264</v>
      </c>
      <c r="B4916" s="2" t="s">
        <v>775</v>
      </c>
      <c r="C4916" s="2" t="s">
        <v>5817</v>
      </c>
      <c r="D4916" s="2"/>
    </row>
    <row r="4917" spans="1:4">
      <c r="A4917" s="3">
        <v>264</v>
      </c>
      <c r="B4917" s="3" t="s">
        <v>775</v>
      </c>
      <c r="C4917" s="3" t="s">
        <v>5818</v>
      </c>
      <c r="D4917" s="3"/>
    </row>
    <row r="4918" spans="1:4">
      <c r="A4918" s="2">
        <v>264</v>
      </c>
      <c r="B4918" s="2" t="s">
        <v>775</v>
      </c>
      <c r="C4918" s="2" t="s">
        <v>5819</v>
      </c>
      <c r="D4918" s="2"/>
    </row>
    <row r="4919" spans="1:4">
      <c r="A4919" s="3">
        <v>264</v>
      </c>
      <c r="B4919" s="3" t="s">
        <v>775</v>
      </c>
      <c r="C4919" s="3" t="s">
        <v>5820</v>
      </c>
      <c r="D4919" s="3"/>
    </row>
    <row r="4920" spans="1:4">
      <c r="A4920" s="2">
        <v>265</v>
      </c>
      <c r="B4920" s="2" t="s">
        <v>860</v>
      </c>
      <c r="C4920" s="2" t="s">
        <v>5821</v>
      </c>
      <c r="D4920" s="2"/>
    </row>
    <row r="4921" spans="1:4">
      <c r="A4921" s="3">
        <v>265</v>
      </c>
      <c r="B4921" s="3" t="s">
        <v>860</v>
      </c>
      <c r="C4921" s="3" t="s">
        <v>5822</v>
      </c>
      <c r="D4921" s="3"/>
    </row>
    <row r="4922" spans="1:4">
      <c r="A4922" s="2">
        <v>265</v>
      </c>
      <c r="B4922" s="2" t="s">
        <v>860</v>
      </c>
      <c r="C4922" s="2" t="s">
        <v>5823</v>
      </c>
      <c r="D4922" s="2"/>
    </row>
    <row r="4923" spans="1:4">
      <c r="A4923" s="3">
        <v>265</v>
      </c>
      <c r="B4923" s="3" t="s">
        <v>860</v>
      </c>
      <c r="C4923" s="3" t="s">
        <v>5824</v>
      </c>
      <c r="D4923" s="3"/>
    </row>
    <row r="4924" spans="1:4">
      <c r="A4924" s="2">
        <v>265</v>
      </c>
      <c r="B4924" s="2" t="s">
        <v>860</v>
      </c>
      <c r="C4924" s="2" t="s">
        <v>5825</v>
      </c>
      <c r="D4924" s="2"/>
    </row>
    <row r="4925" spans="1:4">
      <c r="A4925" s="3">
        <v>265</v>
      </c>
      <c r="B4925" s="3" t="s">
        <v>860</v>
      </c>
      <c r="C4925" s="3" t="s">
        <v>5826</v>
      </c>
      <c r="D4925" s="3"/>
    </row>
    <row r="4926" spans="1:4">
      <c r="A4926" s="2">
        <v>265</v>
      </c>
      <c r="B4926" s="2" t="s">
        <v>860</v>
      </c>
      <c r="C4926" s="2" t="s">
        <v>5827</v>
      </c>
      <c r="D4926" s="2"/>
    </row>
    <row r="4927" spans="1:4">
      <c r="A4927" s="3">
        <v>265</v>
      </c>
      <c r="B4927" s="3" t="s">
        <v>860</v>
      </c>
      <c r="C4927" s="3" t="s">
        <v>5828</v>
      </c>
      <c r="D4927" s="3"/>
    </row>
    <row r="4928" spans="1:4">
      <c r="A4928" s="2">
        <v>265</v>
      </c>
      <c r="B4928" s="2" t="s">
        <v>860</v>
      </c>
      <c r="C4928" s="2" t="s">
        <v>5829</v>
      </c>
      <c r="D4928" s="2"/>
    </row>
    <row r="4929" spans="1:4">
      <c r="A4929" s="3">
        <v>265</v>
      </c>
      <c r="B4929" s="3" t="s">
        <v>860</v>
      </c>
      <c r="C4929" s="3" t="s">
        <v>5830</v>
      </c>
      <c r="D4929" s="3"/>
    </row>
    <row r="4930" spans="1:4">
      <c r="A4930" s="2">
        <v>265</v>
      </c>
      <c r="B4930" s="2" t="s">
        <v>860</v>
      </c>
      <c r="C4930" s="2" t="s">
        <v>5831</v>
      </c>
      <c r="D4930" s="2"/>
    </row>
    <row r="4931" spans="1:4">
      <c r="A4931" s="3">
        <v>265</v>
      </c>
      <c r="B4931" s="3" t="s">
        <v>860</v>
      </c>
      <c r="C4931" s="3" t="s">
        <v>5832</v>
      </c>
      <c r="D4931" s="3"/>
    </row>
    <row r="4932" spans="1:4">
      <c r="A4932" s="2">
        <v>265</v>
      </c>
      <c r="B4932" s="2" t="s">
        <v>860</v>
      </c>
      <c r="C4932" s="2" t="s">
        <v>5833</v>
      </c>
      <c r="D4932" s="2"/>
    </row>
    <row r="4933" spans="1:4">
      <c r="A4933" s="3">
        <v>265</v>
      </c>
      <c r="B4933" s="3" t="s">
        <v>860</v>
      </c>
      <c r="C4933" s="3" t="s">
        <v>5834</v>
      </c>
      <c r="D4933" s="3"/>
    </row>
    <row r="4934" spans="1:4">
      <c r="A4934" s="2">
        <v>265</v>
      </c>
      <c r="B4934" s="2" t="s">
        <v>860</v>
      </c>
      <c r="C4934" s="2" t="s">
        <v>5835</v>
      </c>
      <c r="D4934" s="2"/>
    </row>
    <row r="4935" spans="1:4">
      <c r="A4935" s="3">
        <v>265</v>
      </c>
      <c r="B4935" s="3" t="s">
        <v>860</v>
      </c>
      <c r="C4935" s="3" t="s">
        <v>5836</v>
      </c>
      <c r="D4935" s="3"/>
    </row>
    <row r="4936" spans="1:4">
      <c r="A4936" s="2">
        <v>265</v>
      </c>
      <c r="B4936" s="2" t="s">
        <v>860</v>
      </c>
      <c r="C4936" s="2" t="s">
        <v>5837</v>
      </c>
      <c r="D4936" s="2"/>
    </row>
    <row r="4937" spans="1:4">
      <c r="A4937" s="3">
        <v>265</v>
      </c>
      <c r="B4937" s="3" t="s">
        <v>860</v>
      </c>
      <c r="C4937" s="3" t="s">
        <v>5838</v>
      </c>
      <c r="D4937" s="3"/>
    </row>
    <row r="4938" spans="1:4">
      <c r="A4938" s="2">
        <v>265</v>
      </c>
      <c r="B4938" s="2" t="s">
        <v>860</v>
      </c>
      <c r="C4938" s="2" t="s">
        <v>5839</v>
      </c>
      <c r="D4938" s="2"/>
    </row>
    <row r="4939" spans="1:4">
      <c r="A4939" s="3">
        <v>265</v>
      </c>
      <c r="B4939" s="3" t="s">
        <v>860</v>
      </c>
      <c r="C4939" s="3" t="s">
        <v>5840</v>
      </c>
      <c r="D4939" s="3"/>
    </row>
    <row r="4940" spans="1:4">
      <c r="A4940" s="2">
        <v>266</v>
      </c>
      <c r="B4940" s="2" t="s">
        <v>826</v>
      </c>
      <c r="C4940" s="2" t="s">
        <v>5841</v>
      </c>
      <c r="D4940" s="2"/>
    </row>
    <row r="4941" spans="1:4">
      <c r="A4941" s="3">
        <v>266</v>
      </c>
      <c r="B4941" s="3" t="s">
        <v>826</v>
      </c>
      <c r="C4941" s="3" t="s">
        <v>4853</v>
      </c>
      <c r="D4941" s="3"/>
    </row>
    <row r="4942" spans="1:4">
      <c r="A4942" s="2">
        <v>266</v>
      </c>
      <c r="B4942" s="2" t="s">
        <v>826</v>
      </c>
      <c r="C4942" s="2" t="s">
        <v>5842</v>
      </c>
      <c r="D4942" s="2"/>
    </row>
    <row r="4943" spans="1:4">
      <c r="A4943" s="3">
        <v>266</v>
      </c>
      <c r="B4943" s="3" t="s">
        <v>826</v>
      </c>
      <c r="C4943" s="3" t="s">
        <v>5843</v>
      </c>
      <c r="D4943" s="3"/>
    </row>
    <row r="4944" spans="1:4">
      <c r="A4944" s="2">
        <v>266</v>
      </c>
      <c r="B4944" s="2" t="s">
        <v>826</v>
      </c>
      <c r="C4944" s="2" t="s">
        <v>5844</v>
      </c>
      <c r="D4944" s="2"/>
    </row>
    <row r="4945" spans="1:4">
      <c r="A4945" s="3">
        <v>266</v>
      </c>
      <c r="B4945" s="3" t="s">
        <v>826</v>
      </c>
      <c r="C4945" s="3" t="s">
        <v>5845</v>
      </c>
      <c r="D4945" s="3"/>
    </row>
    <row r="4946" spans="1:4">
      <c r="A4946" s="2">
        <v>266</v>
      </c>
      <c r="B4946" s="2" t="s">
        <v>826</v>
      </c>
      <c r="C4946" s="2" t="s">
        <v>5846</v>
      </c>
      <c r="D4946" s="2"/>
    </row>
    <row r="4947" spans="1:4">
      <c r="A4947" s="3">
        <v>266</v>
      </c>
      <c r="B4947" s="3" t="s">
        <v>826</v>
      </c>
      <c r="C4947" s="3" t="s">
        <v>5847</v>
      </c>
      <c r="D4947" s="3"/>
    </row>
    <row r="4948" spans="1:4">
      <c r="A4948" s="2">
        <v>269</v>
      </c>
      <c r="B4948" s="2" t="s">
        <v>825</v>
      </c>
      <c r="C4948" s="2" t="s">
        <v>5848</v>
      </c>
      <c r="D4948" s="2"/>
    </row>
    <row r="4949" spans="1:4">
      <c r="A4949" s="3">
        <v>270</v>
      </c>
      <c r="B4949" s="3" t="s">
        <v>769</v>
      </c>
      <c r="C4949" s="3" t="s">
        <v>5849</v>
      </c>
      <c r="D4949" s="3"/>
    </row>
    <row r="4950" spans="1:4">
      <c r="A4950" s="2">
        <v>270</v>
      </c>
      <c r="B4950" s="2" t="s">
        <v>769</v>
      </c>
      <c r="C4950" s="2" t="s">
        <v>5850</v>
      </c>
      <c r="D4950" s="2"/>
    </row>
    <row r="4951" spans="1:4">
      <c r="A4951" s="3">
        <v>270</v>
      </c>
      <c r="B4951" s="3" t="s">
        <v>769</v>
      </c>
      <c r="C4951" s="3" t="s">
        <v>5851</v>
      </c>
      <c r="D4951" s="3"/>
    </row>
    <row r="4952" spans="1:4">
      <c r="A4952" s="2">
        <v>270</v>
      </c>
      <c r="B4952" s="2" t="s">
        <v>769</v>
      </c>
      <c r="C4952" s="2" t="s">
        <v>5852</v>
      </c>
      <c r="D4952" s="2"/>
    </row>
    <row r="4953" spans="1:4">
      <c r="A4953" s="3">
        <v>270</v>
      </c>
      <c r="B4953" s="3" t="s">
        <v>769</v>
      </c>
      <c r="C4953" s="3" t="s">
        <v>5853</v>
      </c>
      <c r="D4953" s="3"/>
    </row>
    <row r="4954" spans="1:4">
      <c r="A4954" s="2">
        <v>270</v>
      </c>
      <c r="B4954" s="2" t="s">
        <v>769</v>
      </c>
      <c r="C4954" s="2" t="s">
        <v>5854</v>
      </c>
      <c r="D4954" s="2"/>
    </row>
    <row r="4955" spans="1:4">
      <c r="A4955" s="3">
        <v>270</v>
      </c>
      <c r="B4955" s="3" t="s">
        <v>769</v>
      </c>
      <c r="C4955" s="3" t="s">
        <v>5855</v>
      </c>
      <c r="D4955" s="3"/>
    </row>
    <row r="4956" spans="1:4">
      <c r="A4956" s="2">
        <v>270</v>
      </c>
      <c r="B4956" s="2" t="s">
        <v>769</v>
      </c>
      <c r="C4956" s="2" t="s">
        <v>5856</v>
      </c>
      <c r="D4956" s="2"/>
    </row>
    <row r="4957" spans="1:4">
      <c r="A4957" s="3">
        <v>270</v>
      </c>
      <c r="B4957" s="3" t="s">
        <v>769</v>
      </c>
      <c r="C4957" s="3" t="s">
        <v>5857</v>
      </c>
      <c r="D4957" s="3"/>
    </row>
    <row r="4958" spans="1:4">
      <c r="A4958" s="2">
        <v>270</v>
      </c>
      <c r="B4958" s="2" t="s">
        <v>769</v>
      </c>
      <c r="C4958" s="2" t="s">
        <v>5858</v>
      </c>
      <c r="D4958" s="2"/>
    </row>
    <row r="4959" spans="1:4">
      <c r="A4959" s="3">
        <v>270</v>
      </c>
      <c r="B4959" s="3" t="s">
        <v>769</v>
      </c>
      <c r="C4959" s="3" t="s">
        <v>5859</v>
      </c>
      <c r="D4959" s="3"/>
    </row>
    <row r="4960" spans="1:4">
      <c r="A4960" s="2">
        <v>270</v>
      </c>
      <c r="B4960" s="2" t="s">
        <v>769</v>
      </c>
      <c r="C4960" s="2" t="s">
        <v>5860</v>
      </c>
      <c r="D4960" s="2"/>
    </row>
    <row r="4961" spans="1:4">
      <c r="A4961" s="3">
        <v>270</v>
      </c>
      <c r="B4961" s="3" t="s">
        <v>769</v>
      </c>
      <c r="C4961" s="3" t="s">
        <v>5861</v>
      </c>
      <c r="D4961" s="3"/>
    </row>
    <row r="4962" spans="1:4">
      <c r="A4962" s="2">
        <v>270</v>
      </c>
      <c r="B4962" s="2" t="s">
        <v>769</v>
      </c>
      <c r="C4962" s="2" t="s">
        <v>5862</v>
      </c>
      <c r="D4962" s="2"/>
    </row>
    <row r="4963" spans="1:4">
      <c r="A4963" s="3">
        <v>270</v>
      </c>
      <c r="B4963" s="3" t="s">
        <v>769</v>
      </c>
      <c r="C4963" s="3" t="s">
        <v>5863</v>
      </c>
      <c r="D4963" s="3"/>
    </row>
    <row r="4964" spans="1:4">
      <c r="A4964" s="2">
        <v>270</v>
      </c>
      <c r="B4964" s="2" t="s">
        <v>769</v>
      </c>
      <c r="C4964" s="2" t="s">
        <v>5864</v>
      </c>
      <c r="D4964" s="2"/>
    </row>
    <row r="4965" spans="1:4">
      <c r="A4965" s="3">
        <v>270</v>
      </c>
      <c r="B4965" s="3" t="s">
        <v>769</v>
      </c>
      <c r="C4965" s="3" t="s">
        <v>5865</v>
      </c>
      <c r="D4965" s="3"/>
    </row>
    <row r="4966" spans="1:4">
      <c r="A4966" s="2">
        <v>270</v>
      </c>
      <c r="B4966" s="2" t="s">
        <v>769</v>
      </c>
      <c r="C4966" s="2" t="s">
        <v>5866</v>
      </c>
      <c r="D4966" s="2"/>
    </row>
    <row r="4967" spans="1:4">
      <c r="A4967" s="3">
        <v>270</v>
      </c>
      <c r="B4967" s="3" t="s">
        <v>769</v>
      </c>
      <c r="C4967" s="3" t="s">
        <v>5867</v>
      </c>
      <c r="D4967" s="3"/>
    </row>
    <row r="4968" spans="1:4">
      <c r="A4968" s="2">
        <v>270</v>
      </c>
      <c r="B4968" s="2" t="s">
        <v>769</v>
      </c>
      <c r="C4968" s="2" t="s">
        <v>5868</v>
      </c>
      <c r="D4968" s="2"/>
    </row>
    <row r="4969" spans="1:4">
      <c r="A4969" s="3">
        <v>270</v>
      </c>
      <c r="B4969" s="3" t="s">
        <v>769</v>
      </c>
      <c r="C4969" s="3" t="s">
        <v>5869</v>
      </c>
      <c r="D4969" s="3"/>
    </row>
    <row r="4970" spans="1:4">
      <c r="A4970" s="2">
        <v>270</v>
      </c>
      <c r="B4970" s="2" t="s">
        <v>769</v>
      </c>
      <c r="C4970" s="2">
        <f>140 G, and Bmin=130 G. The legend corresponds to the distance from the axis.</f>
        <v>0</v>
      </c>
      <c r="D4970" s="2"/>
    </row>
    <row r="4971" spans="1:4">
      <c r="A4971" s="3">
        <v>270</v>
      </c>
      <c r="B4971" s="3" t="s">
        <v>769</v>
      </c>
      <c r="C4971" s="3" t="s">
        <v>5870</v>
      </c>
      <c r="D4971" s="3"/>
    </row>
    <row r="4972" spans="1:4">
      <c r="A4972" s="2">
        <v>270</v>
      </c>
      <c r="B4972" s="2" t="s">
        <v>769</v>
      </c>
      <c r="C4972" s="2" t="s">
        <v>5871</v>
      </c>
      <c r="D4972" s="2"/>
    </row>
    <row r="4973" spans="1:4">
      <c r="A4973" s="3">
        <v>270</v>
      </c>
      <c r="B4973" s="3" t="s">
        <v>769</v>
      </c>
      <c r="C4973" s="3" t="s">
        <v>5872</v>
      </c>
      <c r="D4973" s="3"/>
    </row>
    <row r="4974" spans="1:4">
      <c r="A4974" s="2">
        <v>270</v>
      </c>
      <c r="B4974" s="2" t="s">
        <v>769</v>
      </c>
      <c r="C4974" s="2" t="s">
        <v>5873</v>
      </c>
      <c r="D4974" s="2"/>
    </row>
    <row r="4975" spans="1:4">
      <c r="A4975" s="3">
        <v>270</v>
      </c>
      <c r="B4975" s="3" t="s">
        <v>769</v>
      </c>
      <c r="C4975" s="3" t="s">
        <v>5874</v>
      </c>
      <c r="D4975" s="3"/>
    </row>
    <row r="4976" spans="1:4">
      <c r="A4976" s="2">
        <v>270</v>
      </c>
      <c r="B4976" s="2" t="s">
        <v>769</v>
      </c>
      <c r="C4976" s="2" t="s">
        <v>5875</v>
      </c>
      <c r="D4976" s="2"/>
    </row>
    <row r="4977" spans="1:4">
      <c r="A4977" s="3">
        <v>270</v>
      </c>
      <c r="B4977" s="3" t="s">
        <v>769</v>
      </c>
      <c r="C4977" s="3" t="s">
        <v>5876</v>
      </c>
      <c r="D4977" s="3"/>
    </row>
    <row r="4978" spans="1:4">
      <c r="A4978" s="2">
        <v>270</v>
      </c>
      <c r="B4978" s="2" t="s">
        <v>769</v>
      </c>
      <c r="C4978" s="2" t="s">
        <v>5877</v>
      </c>
      <c r="D4978" s="2"/>
    </row>
    <row r="4979" spans="1:4">
      <c r="A4979" s="3">
        <v>270</v>
      </c>
      <c r="B4979" s="3" t="s">
        <v>769</v>
      </c>
      <c r="C4979" s="3" t="s">
        <v>5878</v>
      </c>
      <c r="D4979" s="3"/>
    </row>
    <row r="4980" spans="1:4">
      <c r="A4980" s="2">
        <v>270</v>
      </c>
      <c r="B4980" s="2" t="s">
        <v>769</v>
      </c>
      <c r="C4980" s="2" t="s">
        <v>5879</v>
      </c>
      <c r="D4980" s="2"/>
    </row>
    <row r="4981" spans="1:4">
      <c r="A4981" s="3">
        <v>270</v>
      </c>
      <c r="B4981" s="3" t="s">
        <v>769</v>
      </c>
      <c r="C4981" s="3" t="s">
        <v>5880</v>
      </c>
      <c r="D4981" s="3"/>
    </row>
    <row r="4982" spans="1:4">
      <c r="A4982" s="2">
        <v>270</v>
      </c>
      <c r="B4982" s="2" t="s">
        <v>769</v>
      </c>
      <c r="C4982" s="2">
        <f>189 G and (b) Bmax=126 G. The HC emission current is Ic=12 A for both</f>
        <v>0</v>
      </c>
      <c r="D4982" s="2"/>
    </row>
    <row r="4983" spans="1:4">
      <c r="A4983" s="3">
        <v>270</v>
      </c>
      <c r="B4983" s="3" t="s">
        <v>769</v>
      </c>
      <c r="C4983" s="3" t="s">
        <v>5881</v>
      </c>
      <c r="D4983" s="3"/>
    </row>
    <row r="4984" spans="1:4">
      <c r="A4984" s="2">
        <v>270</v>
      </c>
      <c r="B4984" s="2" t="s">
        <v>769</v>
      </c>
      <c r="C4984" s="2" t="s">
        <v>5882</v>
      </c>
      <c r="D4984" s="2"/>
    </row>
    <row r="4985" spans="1:4">
      <c r="A4985" s="3">
        <v>270</v>
      </c>
      <c r="B4985" s="3" t="s">
        <v>769</v>
      </c>
      <c r="C4985" s="3" t="s">
        <v>5883</v>
      </c>
      <c r="D4985" s="3"/>
    </row>
    <row r="4986" spans="1:4">
      <c r="A4986" s="2">
        <v>270</v>
      </c>
      <c r="B4986" s="2" t="s">
        <v>769</v>
      </c>
      <c r="C4986" s="2" t="s">
        <v>5884</v>
      </c>
      <c r="D4986" s="2"/>
    </row>
    <row r="4987" spans="1:4">
      <c r="A4987" s="3">
        <v>270</v>
      </c>
      <c r="B4987" s="3" t="s">
        <v>769</v>
      </c>
      <c r="C4987" s="3" t="s">
        <v>5885</v>
      </c>
      <c r="D4987" s="3"/>
    </row>
    <row r="4988" spans="1:4">
      <c r="A4988" s="2">
        <v>270</v>
      </c>
      <c r="B4988" s="2" t="s">
        <v>769</v>
      </c>
      <c r="C4988" s="2" t="s">
        <v>5886</v>
      </c>
      <c r="D4988" s="2"/>
    </row>
    <row r="4989" spans="1:4">
      <c r="A4989" s="3">
        <v>270</v>
      </c>
      <c r="B4989" s="3" t="s">
        <v>769</v>
      </c>
      <c r="C4989" s="3" t="s">
        <v>5887</v>
      </c>
      <c r="D4989" s="3"/>
    </row>
    <row r="4990" spans="1:4">
      <c r="A4990" s="2">
        <v>270</v>
      </c>
      <c r="B4990" s="2" t="s">
        <v>769</v>
      </c>
      <c r="C4990" s="2" t="s">
        <v>5888</v>
      </c>
      <c r="D4990" s="2"/>
    </row>
    <row r="4991" spans="1:4">
      <c r="A4991" s="3">
        <v>270</v>
      </c>
      <c r="B4991" s="3" t="s">
        <v>769</v>
      </c>
      <c r="C4991" s="3" t="s">
        <v>5889</v>
      </c>
      <c r="D4991" s="3"/>
    </row>
    <row r="4992" spans="1:4">
      <c r="A4992" s="2">
        <v>270</v>
      </c>
      <c r="B4992" s="2" t="s">
        <v>769</v>
      </c>
      <c r="C4992" s="2" t="s">
        <v>5890</v>
      </c>
      <c r="D4992" s="2"/>
    </row>
    <row r="4993" spans="1:4">
      <c r="A4993" s="3">
        <v>270</v>
      </c>
      <c r="B4993" s="3" t="s">
        <v>769</v>
      </c>
      <c r="C4993" s="3" t="s">
        <v>5891</v>
      </c>
      <c r="D4993" s="3"/>
    </row>
    <row r="4994" spans="1:4">
      <c r="A4994" s="2">
        <v>270</v>
      </c>
      <c r="B4994" s="2" t="s">
        <v>769</v>
      </c>
      <c r="C4994" s="2" t="s">
        <v>5892</v>
      </c>
      <c r="D4994" s="2"/>
    </row>
    <row r="4995" spans="1:4">
      <c r="A4995" s="3">
        <v>270</v>
      </c>
      <c r="B4995" s="3" t="s">
        <v>769</v>
      </c>
      <c r="C4995" s="3" t="s">
        <v>5893</v>
      </c>
      <c r="D4995" s="3"/>
    </row>
    <row r="4996" spans="1:4">
      <c r="A4996" s="2">
        <v>270</v>
      </c>
      <c r="B4996" s="2" t="s">
        <v>769</v>
      </c>
      <c r="C4996" s="2" t="s">
        <v>5894</v>
      </c>
      <c r="D4996" s="2"/>
    </row>
    <row r="4997" spans="1:4">
      <c r="A4997" s="3">
        <v>270</v>
      </c>
      <c r="B4997" s="3" t="s">
        <v>769</v>
      </c>
      <c r="C4997" s="3" t="s">
        <v>5895</v>
      </c>
      <c r="D4997" s="3"/>
    </row>
    <row r="4998" spans="1:4">
      <c r="A4998" s="2">
        <v>270</v>
      </c>
      <c r="B4998" s="2" t="s">
        <v>769</v>
      </c>
      <c r="C4998" s="2" t="s">
        <v>5896</v>
      </c>
      <c r="D4998" s="2"/>
    </row>
    <row r="4999" spans="1:4">
      <c r="A4999" s="3">
        <v>272</v>
      </c>
      <c r="B4999" s="3" t="s">
        <v>873</v>
      </c>
      <c r="C4999" s="3" t="s">
        <v>5897</v>
      </c>
      <c r="D4999" s="3"/>
    </row>
    <row r="5000" spans="1:4">
      <c r="A5000" s="2">
        <v>272</v>
      </c>
      <c r="B5000" s="2" t="s">
        <v>873</v>
      </c>
      <c r="C5000" s="2" t="s">
        <v>5898</v>
      </c>
      <c r="D5000" s="2"/>
    </row>
    <row r="5001" spans="1:4">
      <c r="A5001" s="3">
        <v>272</v>
      </c>
      <c r="B5001" s="3" t="s">
        <v>873</v>
      </c>
      <c r="C5001" s="3" t="s">
        <v>5899</v>
      </c>
      <c r="D5001" s="3"/>
    </row>
    <row r="5002" spans="1:4">
      <c r="A5002" s="2">
        <v>272</v>
      </c>
      <c r="B5002" s="2" t="s">
        <v>873</v>
      </c>
      <c r="C5002" s="2" t="s">
        <v>5900</v>
      </c>
      <c r="D5002" s="2"/>
    </row>
    <row r="5003" spans="1:4">
      <c r="A5003" s="3">
        <v>272</v>
      </c>
      <c r="B5003" s="3" t="s">
        <v>873</v>
      </c>
      <c r="C5003" s="3" t="s">
        <v>5901</v>
      </c>
      <c r="D5003" s="3"/>
    </row>
    <row r="5004" spans="1:4">
      <c r="A5004" s="2">
        <v>272</v>
      </c>
      <c r="B5004" s="2" t="s">
        <v>873</v>
      </c>
      <c r="C5004" s="2" t="s">
        <v>5902</v>
      </c>
      <c r="D5004" s="2"/>
    </row>
    <row r="5005" spans="1:4">
      <c r="A5005" s="3">
        <v>272</v>
      </c>
      <c r="B5005" s="3" t="s">
        <v>873</v>
      </c>
      <c r="C5005" s="3" t="s">
        <v>5903</v>
      </c>
      <c r="D5005" s="3"/>
    </row>
    <row r="5006" spans="1:4">
      <c r="A5006" s="2">
        <v>272</v>
      </c>
      <c r="B5006" s="2" t="s">
        <v>873</v>
      </c>
      <c r="C5006" s="2">
        <f> - E/Br = 2nd&lt;t&gt;/d$ = (12)</f>
        <v>0</v>
      </c>
      <c r="D5006" s="2"/>
    </row>
    <row r="5007" spans="1:4">
      <c r="A5007" s="3">
        <v>272</v>
      </c>
      <c r="B5007" s="3" t="s">
        <v>873</v>
      </c>
      <c r="C5007" s="3" t="s">
        <v>5904</v>
      </c>
      <c r="D5007" s="3"/>
    </row>
    <row r="5008" spans="1:4">
      <c r="A5008" s="2">
        <v>272</v>
      </c>
      <c r="B5008" s="2" t="s">
        <v>873</v>
      </c>
      <c r="C5008" s="2" t="s">
        <v>5905</v>
      </c>
      <c r="D5008" s="2"/>
    </row>
    <row r="5009" spans="1:4">
      <c r="A5009" s="3">
        <v>272</v>
      </c>
      <c r="B5009" s="3" t="s">
        <v>873</v>
      </c>
      <c r="C5009" s="3" t="s">
        <v>5906</v>
      </c>
      <c r="D5009" s="3"/>
    </row>
    <row r="5010" spans="1:4">
      <c r="A5010" s="2">
        <v>272</v>
      </c>
      <c r="B5010" s="2" t="s">
        <v>873</v>
      </c>
      <c r="C5010" s="2" t="s">
        <v>5907</v>
      </c>
      <c r="D5010" s="2"/>
    </row>
    <row r="5011" spans="1:4">
      <c r="A5011" s="3">
        <v>272</v>
      </c>
      <c r="B5011" s="3" t="s">
        <v>873</v>
      </c>
      <c r="C5011" s="3" t="s">
        <v>5908</v>
      </c>
      <c r="D5011" s="3"/>
    </row>
    <row r="5012" spans="1:4">
      <c r="A5012" s="2">
        <v>272</v>
      </c>
      <c r="B5012" s="2" t="s">
        <v>873</v>
      </c>
      <c r="C5012" s="2" t="s">
        <v>5909</v>
      </c>
      <c r="D5012" s="2"/>
    </row>
    <row r="5013" spans="1:4">
      <c r="A5013" s="3">
        <v>272</v>
      </c>
      <c r="B5013" s="3" t="s">
        <v>873</v>
      </c>
      <c r="C5013" s="3" t="s">
        <v>5910</v>
      </c>
      <c r="D5013" s="3"/>
    </row>
    <row r="5014" spans="1:4">
      <c r="A5014" s="2">
        <v>272</v>
      </c>
      <c r="B5014" s="2" t="s">
        <v>873</v>
      </c>
      <c r="C5014" s="2" t="s">
        <v>5911</v>
      </c>
      <c r="D5014" s="2"/>
    </row>
    <row r="5015" spans="1:4">
      <c r="A5015" s="3">
        <v>272</v>
      </c>
      <c r="B5015" s="3" t="s">
        <v>873</v>
      </c>
      <c r="C5015" s="3" t="s">
        <v>5912</v>
      </c>
      <c r="D5015" s="3"/>
    </row>
    <row r="5016" spans="1:4">
      <c r="A5016" s="2">
        <v>272</v>
      </c>
      <c r="B5016" s="2" t="s">
        <v>873</v>
      </c>
      <c r="C5016" s="2" t="s">
        <v>5913</v>
      </c>
      <c r="D5016" s="2"/>
    </row>
    <row r="5017" spans="1:4">
      <c r="A5017" s="3">
        <v>272</v>
      </c>
      <c r="B5017" s="3" t="s">
        <v>873</v>
      </c>
      <c r="C5017" s="3" t="s">
        <v>5914</v>
      </c>
      <c r="D5017" s="3"/>
    </row>
    <row r="5018" spans="1:4">
      <c r="A5018" s="2">
        <v>272</v>
      </c>
      <c r="B5018" s="2" t="s">
        <v>873</v>
      </c>
      <c r="C5018" s="2" t="s">
        <v>5915</v>
      </c>
      <c r="D5018" s="2"/>
    </row>
    <row r="5019" spans="1:4">
      <c r="A5019" s="3">
        <v>272</v>
      </c>
      <c r="B5019" s="3" t="s">
        <v>873</v>
      </c>
      <c r="C5019" s="3" t="s">
        <v>5916</v>
      </c>
      <c r="D5019" s="3"/>
    </row>
    <row r="5020" spans="1:4">
      <c r="A5020" s="2">
        <v>272</v>
      </c>
      <c r="B5020" s="2" t="s">
        <v>873</v>
      </c>
      <c r="C5020" s="2" t="s">
        <v>5917</v>
      </c>
      <c r="D5020" s="2"/>
    </row>
    <row r="5021" spans="1:4">
      <c r="A5021" s="3">
        <v>272</v>
      </c>
      <c r="B5021" s="3" t="s">
        <v>873</v>
      </c>
      <c r="C5021" s="3" t="s">
        <v>5918</v>
      </c>
      <c r="D5021" s="3"/>
    </row>
    <row r="5022" spans="1:4">
      <c r="A5022" s="2">
        <v>272</v>
      </c>
      <c r="B5022" s="2" t="s">
        <v>873</v>
      </c>
      <c r="C5022" s="2" t="s">
        <v>5919</v>
      </c>
      <c r="D5022" s="2"/>
    </row>
    <row r="5023" spans="1:4">
      <c r="A5023" s="3">
        <v>272</v>
      </c>
      <c r="B5023" s="3" t="s">
        <v>873</v>
      </c>
      <c r="C5023" s="3" t="s">
        <v>5920</v>
      </c>
      <c r="D5023" s="3"/>
    </row>
    <row r="5024" spans="1:4">
      <c r="A5024" s="2">
        <v>272</v>
      </c>
      <c r="B5024" s="2" t="s">
        <v>873</v>
      </c>
      <c r="C5024" s="2" t="s">
        <v>5921</v>
      </c>
      <c r="D5024" s="2"/>
    </row>
    <row r="5025" spans="1:4">
      <c r="A5025" s="3">
        <v>272</v>
      </c>
      <c r="B5025" s="3" t="s">
        <v>873</v>
      </c>
      <c r="C5025" s="3" t="s">
        <v>5922</v>
      </c>
      <c r="D5025" s="3"/>
    </row>
    <row r="5026" spans="1:4">
      <c r="A5026" s="2">
        <v>272</v>
      </c>
      <c r="B5026" s="2" t="s">
        <v>873</v>
      </c>
      <c r="C5026" s="2" t="s">
        <v>5923</v>
      </c>
      <c r="D5026" s="2"/>
    </row>
    <row r="5027" spans="1:4">
      <c r="A5027" s="3">
        <v>272</v>
      </c>
      <c r="B5027" s="3" t="s">
        <v>873</v>
      </c>
      <c r="C5027" s="3" t="s">
        <v>5924</v>
      </c>
      <c r="D5027" s="3"/>
    </row>
    <row r="5028" spans="1:4">
      <c r="A5028" s="2">
        <v>272</v>
      </c>
      <c r="B5028" s="2" t="s">
        <v>873</v>
      </c>
      <c r="C5028" s="2" t="s">
        <v>5925</v>
      </c>
      <c r="D5028" s="2"/>
    </row>
    <row r="5029" spans="1:4">
      <c r="A5029" s="3">
        <v>272</v>
      </c>
      <c r="B5029" s="3" t="s">
        <v>873</v>
      </c>
      <c r="C5029" s="3" t="s">
        <v>5926</v>
      </c>
      <c r="D5029" s="3"/>
    </row>
    <row r="5030" spans="1:4">
      <c r="A5030" s="2">
        <v>272</v>
      </c>
      <c r="B5030" s="2" t="s">
        <v>873</v>
      </c>
      <c r="C5030" s="2" t="s">
        <v>5927</v>
      </c>
      <c r="D5030" s="2"/>
    </row>
    <row r="5031" spans="1:4">
      <c r="A5031" s="3">
        <v>272</v>
      </c>
      <c r="B5031" s="3" t="s">
        <v>873</v>
      </c>
      <c r="C5031" s="3" t="s">
        <v>5928</v>
      </c>
      <c r="D5031" s="3"/>
    </row>
    <row r="5032" spans="1:4">
      <c r="A5032" s="2">
        <v>272</v>
      </c>
      <c r="B5032" s="2" t="s">
        <v>873</v>
      </c>
      <c r="C5032" s="2" t="s">
        <v>5929</v>
      </c>
      <c r="D5032" s="2"/>
    </row>
    <row r="5033" spans="1:4">
      <c r="A5033" s="3">
        <v>272</v>
      </c>
      <c r="B5033" s="3" t="s">
        <v>873</v>
      </c>
      <c r="C5033" s="3" t="s">
        <v>5930</v>
      </c>
      <c r="D5033" s="3"/>
    </row>
    <row r="5034" spans="1:4">
      <c r="A5034" s="2">
        <v>272</v>
      </c>
      <c r="B5034" s="2" t="s">
        <v>873</v>
      </c>
      <c r="C5034" s="2" t="s">
        <v>5931</v>
      </c>
      <c r="D5034" s="2"/>
    </row>
    <row r="5035" spans="1:4">
      <c r="A5035" s="3">
        <v>272</v>
      </c>
      <c r="B5035" s="3" t="s">
        <v>873</v>
      </c>
      <c r="C5035" s="3" t="s">
        <v>5932</v>
      </c>
      <c r="D5035" s="3"/>
    </row>
    <row r="5036" spans="1:4">
      <c r="A5036" s="2">
        <v>272</v>
      </c>
      <c r="B5036" s="2" t="s">
        <v>873</v>
      </c>
      <c r="C5036" s="2" t="s">
        <v>5933</v>
      </c>
      <c r="D5036" s="2"/>
    </row>
    <row r="5037" spans="1:4">
      <c r="A5037" s="3">
        <v>272</v>
      </c>
      <c r="B5037" s="3" t="s">
        <v>873</v>
      </c>
      <c r="C5037" s="3" t="s">
        <v>5934</v>
      </c>
      <c r="D5037" s="3"/>
    </row>
    <row r="5038" spans="1:4">
      <c r="A5038" s="2">
        <v>272</v>
      </c>
      <c r="B5038" s="2" t="s">
        <v>873</v>
      </c>
      <c r="C5038" s="2" t="s">
        <v>5935</v>
      </c>
      <c r="D5038" s="2"/>
    </row>
    <row r="5039" spans="1:4">
      <c r="A5039" s="3">
        <v>272</v>
      </c>
      <c r="B5039" s="3" t="s">
        <v>873</v>
      </c>
      <c r="C5039" s="3" t="s">
        <v>5936</v>
      </c>
      <c r="D5039" s="3"/>
    </row>
    <row r="5040" spans="1:4">
      <c r="A5040" s="2">
        <v>272</v>
      </c>
      <c r="B5040" s="2" t="s">
        <v>873</v>
      </c>
      <c r="C5040" s="2" t="s">
        <v>5937</v>
      </c>
      <c r="D5040" s="2"/>
    </row>
    <row r="5041" spans="1:4">
      <c r="A5041" s="3">
        <v>272</v>
      </c>
      <c r="B5041" s="3" t="s">
        <v>873</v>
      </c>
      <c r="C5041" s="3" t="s">
        <v>5938</v>
      </c>
      <c r="D5041" s="3"/>
    </row>
    <row r="5042" spans="1:4">
      <c r="A5042" s="2">
        <v>274</v>
      </c>
      <c r="B5042" s="2" t="s">
        <v>773</v>
      </c>
      <c r="C5042" s="2" t="s">
        <v>5939</v>
      </c>
      <c r="D5042" s="2"/>
    </row>
    <row r="5043" spans="1:4">
      <c r="A5043" s="3">
        <v>274</v>
      </c>
      <c r="B5043" s="3" t="s">
        <v>773</v>
      </c>
      <c r="C5043" s="3" t="s">
        <v>5940</v>
      </c>
      <c r="D5043" s="3"/>
    </row>
    <row r="5044" spans="1:4">
      <c r="A5044" s="2">
        <v>274</v>
      </c>
      <c r="B5044" s="2" t="s">
        <v>773</v>
      </c>
      <c r="C5044" s="2" t="s">
        <v>5941</v>
      </c>
      <c r="D5044" s="2"/>
    </row>
    <row r="5045" spans="1:4">
      <c r="A5045" s="3">
        <v>274</v>
      </c>
      <c r="B5045" s="3" t="s">
        <v>773</v>
      </c>
      <c r="C5045" s="3" t="s">
        <v>5942</v>
      </c>
      <c r="D5045" s="3"/>
    </row>
    <row r="5046" spans="1:4">
      <c r="A5046" s="2">
        <v>274</v>
      </c>
      <c r="B5046" s="2" t="s">
        <v>773</v>
      </c>
      <c r="C5046" s="2" t="s">
        <v>5943</v>
      </c>
      <c r="D5046" s="2"/>
    </row>
    <row r="5047" spans="1:4">
      <c r="A5047" s="3">
        <v>275</v>
      </c>
      <c r="B5047" s="3" t="s">
        <v>781</v>
      </c>
      <c r="C5047" s="3" t="s">
        <v>5944</v>
      </c>
      <c r="D5047" s="3"/>
    </row>
    <row r="5048" spans="1:4">
      <c r="A5048" s="2">
        <v>275</v>
      </c>
      <c r="B5048" s="2" t="s">
        <v>781</v>
      </c>
      <c r="C5048" s="2" t="s">
        <v>5945</v>
      </c>
      <c r="D5048" s="2"/>
    </row>
    <row r="5049" spans="1:4">
      <c r="A5049" s="3">
        <v>275</v>
      </c>
      <c r="B5049" s="3" t="s">
        <v>781</v>
      </c>
      <c r="C5049" s="3" t="s">
        <v>5946</v>
      </c>
      <c r="D5049" s="3"/>
    </row>
    <row r="5050" spans="1:4">
      <c r="A5050" s="2">
        <v>275</v>
      </c>
      <c r="B5050" s="2" t="s">
        <v>781</v>
      </c>
      <c r="C5050" s="2" t="s">
        <v>5947</v>
      </c>
      <c r="D5050" s="2"/>
    </row>
    <row r="5051" spans="1:4">
      <c r="A5051" s="3">
        <v>275</v>
      </c>
      <c r="B5051" s="3" t="s">
        <v>781</v>
      </c>
      <c r="C5051" s="3" t="s">
        <v>5948</v>
      </c>
      <c r="D5051" s="3"/>
    </row>
    <row r="5052" spans="1:4">
      <c r="A5052" s="2">
        <v>277</v>
      </c>
      <c r="B5052" s="2" t="s">
        <v>796</v>
      </c>
      <c r="C5052" s="2" t="s">
        <v>5949</v>
      </c>
      <c r="D5052" s="2"/>
    </row>
    <row r="5053" spans="1:4">
      <c r="A5053" s="3">
        <v>277</v>
      </c>
      <c r="B5053" s="3" t="s">
        <v>796</v>
      </c>
      <c r="C5053" s="3" t="s">
        <v>5950</v>
      </c>
      <c r="D5053" s="3"/>
    </row>
    <row r="5054" spans="1:4">
      <c r="A5054" s="2">
        <v>277</v>
      </c>
      <c r="B5054" s="2" t="s">
        <v>796</v>
      </c>
      <c r="C5054" s="2" t="s">
        <v>5951</v>
      </c>
      <c r="D5054" s="2"/>
    </row>
    <row r="5055" spans="1:4">
      <c r="A5055" s="3">
        <v>277</v>
      </c>
      <c r="B5055" s="3" t="s">
        <v>796</v>
      </c>
      <c r="C5055" s="3" t="s">
        <v>5952</v>
      </c>
      <c r="D5055" s="3"/>
    </row>
    <row r="5056" spans="1:4">
      <c r="A5056" s="2">
        <v>277</v>
      </c>
      <c r="B5056" s="2" t="s">
        <v>796</v>
      </c>
      <c r="C5056" s="2" t="s">
        <v>5953</v>
      </c>
      <c r="D5056" s="2"/>
    </row>
    <row r="5057" spans="1:4">
      <c r="A5057" s="3">
        <v>277</v>
      </c>
      <c r="B5057" s="3" t="s">
        <v>796</v>
      </c>
      <c r="C5057" s="3" t="s">
        <v>5954</v>
      </c>
      <c r="D5057" s="3"/>
    </row>
    <row r="5058" spans="1:4">
      <c r="A5058" s="2">
        <v>277</v>
      </c>
      <c r="B5058" s="2" t="s">
        <v>796</v>
      </c>
      <c r="C5058" s="2" t="s">
        <v>5955</v>
      </c>
      <c r="D5058" s="2"/>
    </row>
    <row r="5059" spans="1:4">
      <c r="A5059" s="3">
        <v>277</v>
      </c>
      <c r="B5059" s="3" t="s">
        <v>796</v>
      </c>
      <c r="C5059" s="3" t="s">
        <v>5956</v>
      </c>
      <c r="D5059" s="3"/>
    </row>
    <row r="5060" spans="1:4">
      <c r="A5060" s="2">
        <v>277</v>
      </c>
      <c r="B5060" s="2" t="s">
        <v>796</v>
      </c>
      <c r="C5060" s="2" t="s">
        <v>5957</v>
      </c>
      <c r="D5060" s="2"/>
    </row>
    <row r="5061" spans="1:4">
      <c r="A5061" s="3">
        <v>277</v>
      </c>
      <c r="B5061" s="3" t="s">
        <v>796</v>
      </c>
      <c r="C5061" s="3" t="s">
        <v>5958</v>
      </c>
      <c r="D5061" s="3"/>
    </row>
    <row r="5062" spans="1:4">
      <c r="A5062" s="2">
        <v>277</v>
      </c>
      <c r="B5062" s="2" t="s">
        <v>796</v>
      </c>
      <c r="C5062" s="2" t="s">
        <v>5959</v>
      </c>
      <c r="D5062" s="2"/>
    </row>
    <row r="5063" spans="1:4">
      <c r="A5063" s="3">
        <v>277</v>
      </c>
      <c r="B5063" s="3" t="s">
        <v>796</v>
      </c>
      <c r="C5063" s="3" t="s">
        <v>5960</v>
      </c>
      <c r="D5063" s="3"/>
    </row>
    <row r="5064" spans="1:4">
      <c r="A5064" s="2">
        <v>277</v>
      </c>
      <c r="B5064" s="2" t="s">
        <v>796</v>
      </c>
      <c r="C5064" s="2" t="s">
        <v>5961</v>
      </c>
      <c r="D5064" s="2"/>
    </row>
    <row r="5065" spans="1:4">
      <c r="A5065" s="3">
        <v>277</v>
      </c>
      <c r="B5065" s="3" t="s">
        <v>796</v>
      </c>
      <c r="C5065" s="3" t="s">
        <v>5962</v>
      </c>
      <c r="D5065" s="3"/>
    </row>
    <row r="5066" spans="1:4">
      <c r="A5066" s="2">
        <v>277</v>
      </c>
      <c r="B5066" s="2" t="s">
        <v>796</v>
      </c>
      <c r="C5066" s="2" t="s">
        <v>5963</v>
      </c>
      <c r="D5066" s="2"/>
    </row>
    <row r="5067" spans="1:4">
      <c r="A5067" s="3">
        <v>277</v>
      </c>
      <c r="B5067" s="3" t="s">
        <v>796</v>
      </c>
      <c r="C5067" s="3" t="s">
        <v>5964</v>
      </c>
      <c r="D5067" s="3"/>
    </row>
    <row r="5068" spans="1:4">
      <c r="A5068" s="2">
        <v>277</v>
      </c>
      <c r="B5068" s="2" t="s">
        <v>796</v>
      </c>
      <c r="C5068" s="2" t="s">
        <v>5965</v>
      </c>
      <c r="D5068" s="2"/>
    </row>
    <row r="5069" spans="1:4">
      <c r="A5069" s="3">
        <v>277</v>
      </c>
      <c r="B5069" s="3" t="s">
        <v>796</v>
      </c>
      <c r="C5069" s="3" t="s">
        <v>5966</v>
      </c>
      <c r="D5069" s="3"/>
    </row>
    <row r="5070" spans="1:4">
      <c r="A5070" s="2">
        <v>277</v>
      </c>
      <c r="B5070" s="2" t="s">
        <v>796</v>
      </c>
      <c r="C5070" s="2" t="s">
        <v>5967</v>
      </c>
      <c r="D5070" s="2"/>
    </row>
    <row r="5071" spans="1:4">
      <c r="A5071" s="3">
        <v>277</v>
      </c>
      <c r="B5071" s="3" t="s">
        <v>796</v>
      </c>
      <c r="C5071" s="3" t="s">
        <v>5968</v>
      </c>
      <c r="D5071" s="3"/>
    </row>
    <row r="5072" spans="1:4">
      <c r="A5072" s="2">
        <v>277</v>
      </c>
      <c r="B5072" s="2" t="s">
        <v>796</v>
      </c>
      <c r="C5072" s="2" t="s">
        <v>5969</v>
      </c>
      <c r="D5072" s="2"/>
    </row>
    <row r="5073" spans="1:4">
      <c r="A5073" s="3">
        <v>277</v>
      </c>
      <c r="B5073" s="3" t="s">
        <v>796</v>
      </c>
      <c r="C5073" s="3" t="s">
        <v>5970</v>
      </c>
      <c r="D5073" s="3"/>
    </row>
    <row r="5074" spans="1:4">
      <c r="A5074" s="2">
        <v>277</v>
      </c>
      <c r="B5074" s="2" t="s">
        <v>796</v>
      </c>
      <c r="C5074" s="2" t="s">
        <v>5971</v>
      </c>
      <c r="D5074" s="2"/>
    </row>
    <row r="5075" spans="1:4">
      <c r="A5075" s="3">
        <v>277</v>
      </c>
      <c r="B5075" s="3" t="s">
        <v>796</v>
      </c>
      <c r="C5075" s="3" t="s">
        <v>5972</v>
      </c>
      <c r="D5075" s="3"/>
    </row>
    <row r="5076" spans="1:4">
      <c r="A5076" s="2">
        <v>277</v>
      </c>
      <c r="B5076" s="2" t="s">
        <v>796</v>
      </c>
      <c r="C5076" s="2" t="s">
        <v>5973</v>
      </c>
      <c r="D5076" s="2"/>
    </row>
    <row r="5077" spans="1:4">
      <c r="A5077" s="3">
        <v>277</v>
      </c>
      <c r="B5077" s="3" t="s">
        <v>796</v>
      </c>
      <c r="C5077" s="3" t="s">
        <v>5974</v>
      </c>
      <c r="D5077" s="3"/>
    </row>
    <row r="5078" spans="1:4">
      <c r="A5078" s="2">
        <v>277</v>
      </c>
      <c r="B5078" s="2" t="s">
        <v>796</v>
      </c>
      <c r="C5078" s="2" t="s">
        <v>5975</v>
      </c>
      <c r="D5078" s="2"/>
    </row>
    <row r="5079" spans="1:4">
      <c r="A5079" s="3">
        <v>277</v>
      </c>
      <c r="B5079" s="3" t="s">
        <v>796</v>
      </c>
      <c r="C5079" s="3" t="s">
        <v>5976</v>
      </c>
      <c r="D5079" s="3"/>
    </row>
    <row r="5080" spans="1:4">
      <c r="A5080" s="2">
        <v>277</v>
      </c>
      <c r="B5080" s="2" t="s">
        <v>796</v>
      </c>
      <c r="C5080" s="2" t="s">
        <v>5977</v>
      </c>
      <c r="D5080" s="2"/>
    </row>
    <row r="5081" spans="1:4">
      <c r="A5081" s="3">
        <v>277</v>
      </c>
      <c r="B5081" s="3" t="s">
        <v>796</v>
      </c>
      <c r="C5081" s="3" t="s">
        <v>5978</v>
      </c>
      <c r="D5081" s="3"/>
    </row>
    <row r="5082" spans="1:4">
      <c r="A5082" s="2">
        <v>277</v>
      </c>
      <c r="B5082" s="2" t="s">
        <v>796</v>
      </c>
      <c r="C5082" s="2" t="s">
        <v>5979</v>
      </c>
      <c r="D5082" s="2"/>
    </row>
    <row r="5083" spans="1:4">
      <c r="A5083" s="3">
        <v>277</v>
      </c>
      <c r="B5083" s="3" t="s">
        <v>796</v>
      </c>
      <c r="C5083" s="3" t="s">
        <v>5980</v>
      </c>
      <c r="D5083" s="3"/>
    </row>
    <row r="5084" spans="1:4">
      <c r="A5084" s="2">
        <v>278</v>
      </c>
      <c r="B5084" s="2" t="s">
        <v>800</v>
      </c>
      <c r="C5084" s="2" t="s">
        <v>5981</v>
      </c>
      <c r="D5084" s="2"/>
    </row>
    <row r="5085" spans="1:4">
      <c r="A5085" s="3">
        <v>278</v>
      </c>
      <c r="B5085" s="3" t="s">
        <v>800</v>
      </c>
      <c r="C5085" s="3" t="s">
        <v>5982</v>
      </c>
      <c r="D5085" s="3"/>
    </row>
    <row r="5086" spans="1:4">
      <c r="A5086" s="2">
        <v>278</v>
      </c>
      <c r="B5086" s="2" t="s">
        <v>800</v>
      </c>
      <c r="C5086" s="2" t="s">
        <v>5983</v>
      </c>
      <c r="D5086" s="2"/>
    </row>
    <row r="5087" spans="1:4">
      <c r="A5087" s="3">
        <v>278</v>
      </c>
      <c r="B5087" s="3" t="s">
        <v>800</v>
      </c>
      <c r="C5087" s="3" t="s">
        <v>5984</v>
      </c>
      <c r="D5087" s="3"/>
    </row>
    <row r="5088" spans="1:4">
      <c r="A5088" s="2">
        <v>278</v>
      </c>
      <c r="B5088" s="2" t="s">
        <v>800</v>
      </c>
      <c r="C5088" s="2" t="s">
        <v>5985</v>
      </c>
      <c r="D5088" s="2"/>
    </row>
    <row r="5089" spans="1:4">
      <c r="A5089" s="3">
        <v>278</v>
      </c>
      <c r="B5089" s="3" t="s">
        <v>800</v>
      </c>
      <c r="C5089" s="3" t="s">
        <v>5986</v>
      </c>
      <c r="D5089" s="3"/>
    </row>
    <row r="5090" spans="1:4">
      <c r="A5090" s="2">
        <v>278</v>
      </c>
      <c r="B5090" s="2" t="s">
        <v>800</v>
      </c>
      <c r="C5090" s="2" t="s">
        <v>5987</v>
      </c>
      <c r="D5090" s="2"/>
    </row>
    <row r="5091" spans="1:4">
      <c r="A5091" s="3">
        <v>278</v>
      </c>
      <c r="B5091" s="3" t="s">
        <v>800</v>
      </c>
      <c r="C5091" s="3" t="s">
        <v>5988</v>
      </c>
      <c r="D5091" s="3"/>
    </row>
    <row r="5092" spans="1:4">
      <c r="A5092" s="2">
        <v>278</v>
      </c>
      <c r="B5092" s="2" t="s">
        <v>800</v>
      </c>
      <c r="C5092" s="2" t="s">
        <v>5989</v>
      </c>
      <c r="D5092" s="2"/>
    </row>
    <row r="5093" spans="1:4">
      <c r="A5093" s="3">
        <v>278</v>
      </c>
      <c r="B5093" s="3" t="s">
        <v>800</v>
      </c>
      <c r="C5093" s="3" t="s">
        <v>5990</v>
      </c>
      <c r="D5093" s="3"/>
    </row>
    <row r="5094" spans="1:4">
      <c r="A5094" s="2">
        <v>278</v>
      </c>
      <c r="B5094" s="2" t="s">
        <v>800</v>
      </c>
      <c r="C5094" s="2" t="s">
        <v>5991</v>
      </c>
      <c r="D5094" s="2"/>
    </row>
    <row r="5095" spans="1:4">
      <c r="A5095" s="3">
        <v>278</v>
      </c>
      <c r="B5095" s="3" t="s">
        <v>800</v>
      </c>
      <c r="C5095" s="3" t="s">
        <v>5992</v>
      </c>
      <c r="D5095" s="3"/>
    </row>
    <row r="5096" spans="1:4">
      <c r="A5096" s="2">
        <v>278</v>
      </c>
      <c r="B5096" s="2" t="s">
        <v>800</v>
      </c>
      <c r="C5096" s="2" t="s">
        <v>5993</v>
      </c>
      <c r="D5096" s="2"/>
    </row>
    <row r="5097" spans="1:4">
      <c r="A5097" s="3">
        <v>278</v>
      </c>
      <c r="B5097" s="3" t="s">
        <v>800</v>
      </c>
      <c r="C5097" s="3" t="s">
        <v>5994</v>
      </c>
      <c r="D5097" s="3"/>
    </row>
    <row r="5098" spans="1:4">
      <c r="A5098" s="2">
        <v>278</v>
      </c>
      <c r="B5098" s="2" t="s">
        <v>800</v>
      </c>
      <c r="C5098" s="2" t="s">
        <v>5995</v>
      </c>
      <c r="D5098" s="2"/>
    </row>
    <row r="5099" spans="1:4">
      <c r="A5099" s="3">
        <v>278</v>
      </c>
      <c r="B5099" s="3" t="s">
        <v>800</v>
      </c>
      <c r="C5099" s="3" t="s">
        <v>5996</v>
      </c>
      <c r="D5099" s="3"/>
    </row>
    <row r="5100" spans="1:4">
      <c r="A5100" s="2">
        <v>278</v>
      </c>
      <c r="B5100" s="2" t="s">
        <v>800</v>
      </c>
      <c r="C5100" s="2" t="s">
        <v>5997</v>
      </c>
      <c r="D5100" s="2"/>
    </row>
    <row r="5101" spans="1:4">
      <c r="A5101" s="3">
        <v>278</v>
      </c>
      <c r="B5101" s="3" t="s">
        <v>800</v>
      </c>
      <c r="C5101" s="3" t="s">
        <v>5998</v>
      </c>
      <c r="D5101" s="3"/>
    </row>
    <row r="5102" spans="1:4">
      <c r="A5102" s="2">
        <v>278</v>
      </c>
      <c r="B5102" s="2" t="s">
        <v>800</v>
      </c>
      <c r="C5102" s="2" t="s">
        <v>5999</v>
      </c>
      <c r="D5102" s="2"/>
    </row>
    <row r="5103" spans="1:4">
      <c r="A5103" s="3">
        <v>278</v>
      </c>
      <c r="B5103" s="3" t="s">
        <v>800</v>
      </c>
      <c r="C5103" s="3" t="s">
        <v>6000</v>
      </c>
      <c r="D5103" s="3"/>
    </row>
    <row r="5104" spans="1:4">
      <c r="A5104" s="2">
        <v>278</v>
      </c>
      <c r="B5104" s="2" t="s">
        <v>800</v>
      </c>
      <c r="C5104" s="2" t="s">
        <v>6001</v>
      </c>
      <c r="D5104" s="2"/>
    </row>
    <row r="5105" spans="1:4">
      <c r="A5105" s="3">
        <v>278</v>
      </c>
      <c r="B5105" s="3" t="s">
        <v>800</v>
      </c>
      <c r="C5105" s="3" t="s">
        <v>6002</v>
      </c>
      <c r="D5105" s="3"/>
    </row>
    <row r="5106" spans="1:4">
      <c r="A5106" s="2">
        <v>278</v>
      </c>
      <c r="B5106" s="2" t="s">
        <v>800</v>
      </c>
      <c r="C5106" s="2" t="s">
        <v>6003</v>
      </c>
      <c r="D5106" s="2"/>
    </row>
    <row r="5107" spans="1:4">
      <c r="A5107" s="3">
        <v>278</v>
      </c>
      <c r="B5107" s="3" t="s">
        <v>800</v>
      </c>
      <c r="C5107" s="3" t="s">
        <v>6004</v>
      </c>
      <c r="D5107" s="3"/>
    </row>
    <row r="5108" spans="1:4">
      <c r="A5108" s="2">
        <v>278</v>
      </c>
      <c r="B5108" s="2" t="s">
        <v>800</v>
      </c>
      <c r="C5108" s="2" t="s">
        <v>6005</v>
      </c>
      <c r="D5108" s="2"/>
    </row>
    <row r="5109" spans="1:4">
      <c r="A5109" s="3">
        <v>278</v>
      </c>
      <c r="B5109" s="3" t="s">
        <v>800</v>
      </c>
      <c r="C5109" s="3" t="s">
        <v>6006</v>
      </c>
      <c r="D5109" s="3"/>
    </row>
    <row r="5110" spans="1:4">
      <c r="A5110" s="2">
        <v>278</v>
      </c>
      <c r="B5110" s="2" t="s">
        <v>800</v>
      </c>
      <c r="C5110" s="2" t="s">
        <v>6007</v>
      </c>
      <c r="D5110" s="2"/>
    </row>
    <row r="5111" spans="1:4">
      <c r="A5111" s="3">
        <v>278</v>
      </c>
      <c r="B5111" s="3" t="s">
        <v>800</v>
      </c>
      <c r="C5111" s="3" t="s">
        <v>6008</v>
      </c>
      <c r="D5111" s="3"/>
    </row>
    <row r="5112" spans="1:4">
      <c r="A5112" s="2">
        <v>278</v>
      </c>
      <c r="B5112" s="2" t="s">
        <v>800</v>
      </c>
      <c r="C5112" s="2" t="s">
        <v>6009</v>
      </c>
      <c r="D5112" s="2"/>
    </row>
    <row r="5113" spans="1:4">
      <c r="A5113" s="3">
        <v>278</v>
      </c>
      <c r="B5113" s="3" t="s">
        <v>800</v>
      </c>
      <c r="C5113" s="3" t="s">
        <v>6010</v>
      </c>
      <c r="D5113" s="3"/>
    </row>
    <row r="5114" spans="1:4">
      <c r="A5114" s="2">
        <v>278</v>
      </c>
      <c r="B5114" s="2" t="s">
        <v>800</v>
      </c>
      <c r="C5114" s="2" t="s">
        <v>6011</v>
      </c>
      <c r="D5114" s="2"/>
    </row>
    <row r="5115" spans="1:4">
      <c r="A5115" s="3">
        <v>278</v>
      </c>
      <c r="B5115" s="3" t="s">
        <v>800</v>
      </c>
      <c r="C5115" s="3" t="s">
        <v>6012</v>
      </c>
      <c r="D5115" s="3"/>
    </row>
    <row r="5116" spans="1:4">
      <c r="A5116" s="2">
        <v>278</v>
      </c>
      <c r="B5116" s="2" t="s">
        <v>800</v>
      </c>
      <c r="C5116" s="2" t="s">
        <v>6013</v>
      </c>
      <c r="D5116" s="2"/>
    </row>
    <row r="5117" spans="1:4">
      <c r="A5117" s="3">
        <v>278</v>
      </c>
      <c r="B5117" s="3" t="s">
        <v>800</v>
      </c>
      <c r="C5117" s="3" t="s">
        <v>6014</v>
      </c>
      <c r="D5117" s="3"/>
    </row>
    <row r="5118" spans="1:4">
      <c r="A5118" s="2">
        <v>278</v>
      </c>
      <c r="B5118" s="2" t="s">
        <v>800</v>
      </c>
      <c r="C5118" s="2" t="s">
        <v>6015</v>
      </c>
      <c r="D5118" s="2"/>
    </row>
    <row r="5119" spans="1:4">
      <c r="A5119" s="3">
        <v>278</v>
      </c>
      <c r="B5119" s="3" t="s">
        <v>800</v>
      </c>
      <c r="C5119" s="3" t="s">
        <v>6016</v>
      </c>
      <c r="D5119" s="3"/>
    </row>
    <row r="5120" spans="1:4">
      <c r="A5120" s="2">
        <v>278</v>
      </c>
      <c r="B5120" s="2" t="s">
        <v>800</v>
      </c>
      <c r="C5120" s="2" t="s">
        <v>6017</v>
      </c>
      <c r="D5120" s="2"/>
    </row>
    <row r="5121" spans="1:4">
      <c r="A5121" s="3">
        <v>278</v>
      </c>
      <c r="B5121" s="3" t="s">
        <v>800</v>
      </c>
      <c r="C5121" s="3" t="s">
        <v>6018</v>
      </c>
      <c r="D5121" s="3"/>
    </row>
    <row r="5122" spans="1:4">
      <c r="A5122" s="2">
        <v>278</v>
      </c>
      <c r="B5122" s="2" t="s">
        <v>800</v>
      </c>
      <c r="C5122" s="2" t="s">
        <v>6019</v>
      </c>
      <c r="D5122" s="2"/>
    </row>
    <row r="5123" spans="1:4">
      <c r="A5123" s="3">
        <v>278</v>
      </c>
      <c r="B5123" s="3" t="s">
        <v>800</v>
      </c>
      <c r="C5123" s="3" t="s">
        <v>5988</v>
      </c>
      <c r="D5123" s="3"/>
    </row>
    <row r="5124" spans="1:4">
      <c r="A5124" s="2">
        <v>278</v>
      </c>
      <c r="B5124" s="2" t="s">
        <v>800</v>
      </c>
      <c r="C5124" s="2" t="s">
        <v>5989</v>
      </c>
      <c r="D5124" s="2"/>
    </row>
    <row r="5125" spans="1:4">
      <c r="A5125" s="3">
        <v>278</v>
      </c>
      <c r="B5125" s="3" t="s">
        <v>800</v>
      </c>
      <c r="C5125" s="3" t="s">
        <v>5990</v>
      </c>
      <c r="D5125" s="3"/>
    </row>
    <row r="5126" spans="1:4">
      <c r="A5126" s="2">
        <v>278</v>
      </c>
      <c r="B5126" s="2" t="s">
        <v>800</v>
      </c>
      <c r="C5126" s="2" t="s">
        <v>5991</v>
      </c>
      <c r="D5126" s="2"/>
    </row>
    <row r="5127" spans="1:4">
      <c r="A5127" s="3">
        <v>279</v>
      </c>
      <c r="B5127" s="3" t="s">
        <v>778</v>
      </c>
      <c r="C5127" s="3" t="s">
        <v>6020</v>
      </c>
      <c r="D5127" s="3"/>
    </row>
    <row r="5128" spans="1:4">
      <c r="A5128" s="2">
        <v>279</v>
      </c>
      <c r="B5128" s="2" t="s">
        <v>778</v>
      </c>
      <c r="C5128" s="2" t="s">
        <v>6021</v>
      </c>
      <c r="D5128" s="2"/>
    </row>
    <row r="5129" spans="1:4">
      <c r="A5129" s="3">
        <v>279</v>
      </c>
      <c r="B5129" s="3" t="s">
        <v>778</v>
      </c>
      <c r="C5129" s="3" t="s">
        <v>6022</v>
      </c>
      <c r="D5129" s="3"/>
    </row>
    <row r="5130" spans="1:4">
      <c r="A5130" s="2">
        <v>279</v>
      </c>
      <c r="B5130" s="2" t="s">
        <v>778</v>
      </c>
      <c r="C5130" s="2" t="s">
        <v>6023</v>
      </c>
      <c r="D5130" s="2"/>
    </row>
    <row r="5131" spans="1:4">
      <c r="A5131" s="3">
        <v>279</v>
      </c>
      <c r="B5131" s="3" t="s">
        <v>778</v>
      </c>
      <c r="C5131" s="3" t="s">
        <v>6024</v>
      </c>
      <c r="D5131" s="3"/>
    </row>
    <row r="5132" spans="1:4">
      <c r="A5132" s="2">
        <v>279</v>
      </c>
      <c r="B5132" s="2" t="s">
        <v>778</v>
      </c>
      <c r="C5132" s="2" t="s">
        <v>6025</v>
      </c>
      <c r="D5132" s="2"/>
    </row>
    <row r="5133" spans="1:4">
      <c r="A5133" s="3">
        <v>279</v>
      </c>
      <c r="B5133" s="3" t="s">
        <v>778</v>
      </c>
      <c r="C5133" s="3" t="s">
        <v>6026</v>
      </c>
      <c r="D5133" s="3"/>
    </row>
    <row r="5134" spans="1:4">
      <c r="A5134" s="2">
        <v>279</v>
      </c>
      <c r="B5134" s="2" t="s">
        <v>778</v>
      </c>
      <c r="C5134" s="2" t="s">
        <v>6027</v>
      </c>
      <c r="D5134" s="2"/>
    </row>
    <row r="5135" spans="1:4">
      <c r="A5135" s="3">
        <v>279</v>
      </c>
      <c r="B5135" s="3" t="s">
        <v>778</v>
      </c>
      <c r="C5135" s="3" t="s">
        <v>6028</v>
      </c>
      <c r="D5135" s="3"/>
    </row>
    <row r="5136" spans="1:4">
      <c r="A5136" s="2">
        <v>279</v>
      </c>
      <c r="B5136" s="2" t="s">
        <v>778</v>
      </c>
      <c r="C5136" s="2" t="s">
        <v>6029</v>
      </c>
      <c r="D5136" s="2"/>
    </row>
    <row r="5137" spans="1:4">
      <c r="A5137" s="3">
        <v>282</v>
      </c>
      <c r="B5137" s="3" t="s">
        <v>885</v>
      </c>
      <c r="C5137" s="3" t="s">
        <v>6030</v>
      </c>
      <c r="D5137" s="3"/>
    </row>
    <row r="5138" spans="1:4">
      <c r="A5138" s="2">
        <v>282</v>
      </c>
      <c r="B5138" s="2" t="s">
        <v>885</v>
      </c>
      <c r="C5138" s="2" t="s">
        <v>6031</v>
      </c>
      <c r="D5138" s="2"/>
    </row>
    <row r="5139" spans="1:4">
      <c r="A5139" s="3">
        <v>282</v>
      </c>
      <c r="B5139" s="3" t="s">
        <v>885</v>
      </c>
      <c r="C5139" s="3" t="s">
        <v>6032</v>
      </c>
      <c r="D5139" s="3"/>
    </row>
    <row r="5140" spans="1:4">
      <c r="A5140" s="2">
        <v>282</v>
      </c>
      <c r="B5140" s="2" t="s">
        <v>885</v>
      </c>
      <c r="C5140" s="2" t="s">
        <v>6033</v>
      </c>
      <c r="D5140" s="2"/>
    </row>
    <row r="5141" spans="1:4">
      <c r="A5141" s="3">
        <v>282</v>
      </c>
      <c r="B5141" s="3" t="s">
        <v>885</v>
      </c>
      <c r="C5141" s="3" t="s">
        <v>6034</v>
      </c>
      <c r="D5141" s="3"/>
    </row>
    <row r="5142" spans="1:4">
      <c r="A5142" s="2">
        <v>282</v>
      </c>
      <c r="B5142" s="2" t="s">
        <v>885</v>
      </c>
      <c r="C5142" s="2" t="s">
        <v>6035</v>
      </c>
      <c r="D5142" s="2"/>
    </row>
    <row r="5143" spans="1:4">
      <c r="A5143" s="3">
        <v>282</v>
      </c>
      <c r="B5143" s="3" t="s">
        <v>885</v>
      </c>
      <c r="C5143" s="3" t="s">
        <v>6036</v>
      </c>
      <c r="D5143" s="3"/>
    </row>
    <row r="5144" spans="1:4">
      <c r="A5144" s="2">
        <v>282</v>
      </c>
      <c r="B5144" s="2" t="s">
        <v>885</v>
      </c>
      <c r="C5144" s="2" t="s">
        <v>6037</v>
      </c>
      <c r="D5144" s="2"/>
    </row>
    <row r="5145" spans="1:4">
      <c r="A5145" s="3">
        <v>282</v>
      </c>
      <c r="B5145" s="3" t="s">
        <v>885</v>
      </c>
      <c r="C5145" s="3" t="s">
        <v>6038</v>
      </c>
      <c r="D5145" s="3"/>
    </row>
    <row r="5146" spans="1:4">
      <c r="A5146" s="2">
        <v>282</v>
      </c>
      <c r="B5146" s="2" t="s">
        <v>885</v>
      </c>
      <c r="C5146" s="2" t="s">
        <v>6039</v>
      </c>
      <c r="D5146" s="2"/>
    </row>
    <row r="5147" spans="1:4">
      <c r="A5147" s="3">
        <v>282</v>
      </c>
      <c r="B5147" s="3" t="s">
        <v>885</v>
      </c>
      <c r="C5147" s="3" t="s">
        <v>6040</v>
      </c>
      <c r="D5147" s="3"/>
    </row>
    <row r="5148" spans="1:4">
      <c r="A5148" s="2">
        <v>282</v>
      </c>
      <c r="B5148" s="2" t="s">
        <v>885</v>
      </c>
      <c r="C5148" s="2" t="s">
        <v>6041</v>
      </c>
      <c r="D5148" s="2"/>
    </row>
    <row r="5149" spans="1:4">
      <c r="A5149" s="3">
        <v>282</v>
      </c>
      <c r="B5149" s="3" t="s">
        <v>885</v>
      </c>
      <c r="C5149" s="3" t="s">
        <v>6042</v>
      </c>
      <c r="D5149" s="3"/>
    </row>
    <row r="5150" spans="1:4">
      <c r="A5150" s="2">
        <v>282</v>
      </c>
      <c r="B5150" s="2" t="s">
        <v>885</v>
      </c>
      <c r="C5150" s="2" t="s">
        <v>6043</v>
      </c>
      <c r="D5150" s="2"/>
    </row>
    <row r="5151" spans="1:4">
      <c r="A5151" s="3">
        <v>282</v>
      </c>
      <c r="B5151" s="3" t="s">
        <v>885</v>
      </c>
      <c r="C5151" s="3" t="s">
        <v>6044</v>
      </c>
      <c r="D5151" s="3"/>
    </row>
    <row r="5152" spans="1:4">
      <c r="A5152" s="2">
        <v>282</v>
      </c>
      <c r="B5152" s="2" t="s">
        <v>885</v>
      </c>
      <c r="C5152" s="2" t="s">
        <v>6045</v>
      </c>
      <c r="D5152" s="2"/>
    </row>
    <row r="5153" spans="1:4">
      <c r="A5153" s="3">
        <v>283</v>
      </c>
      <c r="B5153" s="3" t="s">
        <v>854</v>
      </c>
      <c r="C5153" s="3" t="s">
        <v>6046</v>
      </c>
      <c r="D5153" s="3"/>
    </row>
    <row r="5154" spans="1:4">
      <c r="A5154" s="2">
        <v>283</v>
      </c>
      <c r="B5154" s="2" t="s">
        <v>854</v>
      </c>
      <c r="C5154" s="2" t="s">
        <v>6047</v>
      </c>
      <c r="D5154" s="2"/>
    </row>
    <row r="5155" spans="1:4">
      <c r="A5155" s="3">
        <v>283</v>
      </c>
      <c r="B5155" s="3" t="s">
        <v>854</v>
      </c>
      <c r="C5155" s="3" t="s">
        <v>6048</v>
      </c>
      <c r="D5155" s="3"/>
    </row>
    <row r="5156" spans="1:4">
      <c r="A5156" s="2">
        <v>283</v>
      </c>
      <c r="B5156" s="2" t="s">
        <v>854</v>
      </c>
      <c r="C5156" s="2" t="s">
        <v>6049</v>
      </c>
      <c r="D5156" s="2"/>
    </row>
    <row r="5157" spans="1:4">
      <c r="A5157" s="3">
        <v>283</v>
      </c>
      <c r="B5157" s="3" t="s">
        <v>854</v>
      </c>
      <c r="C5157" s="3" t="s">
        <v>6050</v>
      </c>
      <c r="D5157" s="3"/>
    </row>
    <row r="5158" spans="1:4">
      <c r="A5158" s="2">
        <v>283</v>
      </c>
      <c r="B5158" s="2" t="s">
        <v>854</v>
      </c>
      <c r="C5158" s="2" t="s">
        <v>6051</v>
      </c>
      <c r="D5158" s="2"/>
    </row>
    <row r="5159" spans="1:4">
      <c r="A5159" s="3">
        <v>283</v>
      </c>
      <c r="B5159" s="3" t="s">
        <v>854</v>
      </c>
      <c r="C5159" s="3" t="s">
        <v>6052</v>
      </c>
      <c r="D5159" s="3"/>
    </row>
    <row r="5160" spans="1:4">
      <c r="A5160" s="2">
        <v>283</v>
      </c>
      <c r="B5160" s="2" t="s">
        <v>854</v>
      </c>
      <c r="C5160" s="2" t="s">
        <v>6053</v>
      </c>
      <c r="D5160" s="2"/>
    </row>
    <row r="5161" spans="1:4">
      <c r="A5161" s="3">
        <v>283</v>
      </c>
      <c r="B5161" s="3" t="s">
        <v>854</v>
      </c>
      <c r="C5161" s="3" t="s">
        <v>6054</v>
      </c>
      <c r="D5161" s="3"/>
    </row>
    <row r="5162" spans="1:4">
      <c r="A5162" s="2">
        <v>283</v>
      </c>
      <c r="B5162" s="2" t="s">
        <v>854</v>
      </c>
      <c r="C5162" s="2" t="s">
        <v>6055</v>
      </c>
      <c r="D5162" s="2"/>
    </row>
    <row r="5163" spans="1:4">
      <c r="A5163" s="3">
        <v>283</v>
      </c>
      <c r="B5163" s="3" t="s">
        <v>854</v>
      </c>
      <c r="C5163" s="3" t="s">
        <v>6056</v>
      </c>
      <c r="D5163" s="3"/>
    </row>
    <row r="5164" spans="1:4">
      <c r="A5164" s="2">
        <v>283</v>
      </c>
      <c r="B5164" s="2" t="s">
        <v>854</v>
      </c>
      <c r="C5164" s="2" t="s">
        <v>6057</v>
      </c>
      <c r="D5164" s="2"/>
    </row>
    <row r="5165" spans="1:4">
      <c r="A5165" s="3">
        <v>283</v>
      </c>
      <c r="B5165" s="3" t="s">
        <v>854</v>
      </c>
      <c r="C5165" s="3" t="s">
        <v>6058</v>
      </c>
      <c r="D5165" s="3"/>
    </row>
    <row r="5166" spans="1:4">
      <c r="A5166" s="2">
        <v>283</v>
      </c>
      <c r="B5166" s="2" t="s">
        <v>854</v>
      </c>
      <c r="C5166" s="2" t="s">
        <v>6059</v>
      </c>
      <c r="D5166" s="2"/>
    </row>
    <row r="5167" spans="1:4">
      <c r="A5167" s="3">
        <v>283</v>
      </c>
      <c r="B5167" s="3" t="s">
        <v>854</v>
      </c>
      <c r="C5167" s="3" t="s">
        <v>6060</v>
      </c>
      <c r="D5167" s="3"/>
    </row>
    <row r="5168" spans="1:4">
      <c r="A5168" s="2">
        <v>283</v>
      </c>
      <c r="B5168" s="2" t="s">
        <v>854</v>
      </c>
      <c r="C5168" s="2" t="s">
        <v>6061</v>
      </c>
      <c r="D5168" s="2"/>
    </row>
    <row r="5169" spans="1:4">
      <c r="A5169" s="3">
        <v>283</v>
      </c>
      <c r="B5169" s="3" t="s">
        <v>854</v>
      </c>
      <c r="C5169" s="3" t="s">
        <v>6062</v>
      </c>
      <c r="D5169" s="3"/>
    </row>
    <row r="5170" spans="1:4">
      <c r="A5170" s="2">
        <v>283</v>
      </c>
      <c r="B5170" s="2" t="s">
        <v>854</v>
      </c>
      <c r="C5170" s="2" t="s">
        <v>6063</v>
      </c>
      <c r="D5170" s="2"/>
    </row>
    <row r="5171" spans="1:4">
      <c r="A5171" s="3">
        <v>284</v>
      </c>
      <c r="B5171" s="3" t="s">
        <v>854</v>
      </c>
      <c r="C5171" s="3" t="s">
        <v>6064</v>
      </c>
      <c r="D5171" s="3"/>
    </row>
    <row r="5172" spans="1:4">
      <c r="A5172" s="2">
        <v>284</v>
      </c>
      <c r="B5172" s="2" t="s">
        <v>854</v>
      </c>
      <c r="C5172" s="2" t="s">
        <v>6065</v>
      </c>
      <c r="D5172" s="2"/>
    </row>
    <row r="5173" spans="1:4">
      <c r="A5173" s="3">
        <v>284</v>
      </c>
      <c r="B5173" s="3" t="s">
        <v>854</v>
      </c>
      <c r="C5173" s="3" t="s">
        <v>6066</v>
      </c>
      <c r="D5173" s="3"/>
    </row>
    <row r="5174" spans="1:4">
      <c r="A5174" s="2">
        <v>284</v>
      </c>
      <c r="B5174" s="2" t="s">
        <v>854</v>
      </c>
      <c r="C5174" s="2" t="s">
        <v>6067</v>
      </c>
      <c r="D5174" s="2"/>
    </row>
    <row r="5175" spans="1:4">
      <c r="A5175" s="3">
        <v>284</v>
      </c>
      <c r="B5175" s="3" t="s">
        <v>854</v>
      </c>
      <c r="C5175" s="3" t="s">
        <v>6068</v>
      </c>
      <c r="D5175" s="3"/>
    </row>
    <row r="5176" spans="1:4">
      <c r="A5176" s="2">
        <v>284</v>
      </c>
      <c r="B5176" s="2" t="s">
        <v>854</v>
      </c>
      <c r="C5176" s="2" t="s">
        <v>6069</v>
      </c>
      <c r="D5176" s="2"/>
    </row>
    <row r="5177" spans="1:4">
      <c r="A5177" s="3">
        <v>284</v>
      </c>
      <c r="B5177" s="3" t="s">
        <v>854</v>
      </c>
      <c r="C5177" s="3" t="s">
        <v>6070</v>
      </c>
      <c r="D5177" s="3"/>
    </row>
    <row r="5178" spans="1:4">
      <c r="A5178" s="2">
        <v>284</v>
      </c>
      <c r="B5178" s="2" t="s">
        <v>854</v>
      </c>
      <c r="C5178" s="2" t="s">
        <v>6071</v>
      </c>
      <c r="D5178" s="2"/>
    </row>
    <row r="5179" spans="1:4">
      <c r="A5179" s="3">
        <v>284</v>
      </c>
      <c r="B5179" s="3" t="s">
        <v>854</v>
      </c>
      <c r="C5179" s="3" t="s">
        <v>6072</v>
      </c>
      <c r="D5179" s="3"/>
    </row>
    <row r="5180" spans="1:4">
      <c r="A5180" s="2">
        <v>284</v>
      </c>
      <c r="B5180" s="2" t="s">
        <v>854</v>
      </c>
      <c r="C5180" s="2" t="s">
        <v>6073</v>
      </c>
      <c r="D5180" s="2"/>
    </row>
    <row r="5181" spans="1:4">
      <c r="A5181" s="3">
        <v>284</v>
      </c>
      <c r="B5181" s="3" t="s">
        <v>854</v>
      </c>
      <c r="C5181" s="3" t="s">
        <v>6074</v>
      </c>
      <c r="D5181" s="3"/>
    </row>
    <row r="5182" spans="1:4">
      <c r="A5182" s="2">
        <v>284</v>
      </c>
      <c r="B5182" s="2" t="s">
        <v>854</v>
      </c>
      <c r="C5182" s="2" t="s">
        <v>6075</v>
      </c>
      <c r="D5182" s="2"/>
    </row>
    <row r="5183" spans="1:4">
      <c r="A5183" s="3">
        <v>284</v>
      </c>
      <c r="B5183" s="3" t="s">
        <v>854</v>
      </c>
      <c r="C5183" s="3" t="s">
        <v>6076</v>
      </c>
      <c r="D5183" s="3"/>
    </row>
    <row r="5184" spans="1:4">
      <c r="A5184" s="2">
        <v>284</v>
      </c>
      <c r="B5184" s="2" t="s">
        <v>854</v>
      </c>
      <c r="C5184" s="2" t="s">
        <v>6077</v>
      </c>
      <c r="D5184" s="2"/>
    </row>
    <row r="5185" spans="1:4">
      <c r="A5185" s="3">
        <v>284</v>
      </c>
      <c r="B5185" s="3" t="s">
        <v>854</v>
      </c>
      <c r="C5185" s="3" t="s">
        <v>6078</v>
      </c>
      <c r="D5185" s="3"/>
    </row>
    <row r="5186" spans="1:4">
      <c r="A5186" s="2">
        <v>284</v>
      </c>
      <c r="B5186" s="2" t="s">
        <v>854</v>
      </c>
      <c r="C5186" s="2" t="s">
        <v>6077</v>
      </c>
      <c r="D5186" s="2"/>
    </row>
    <row r="5187" spans="1:4">
      <c r="A5187" s="3">
        <v>284</v>
      </c>
      <c r="B5187" s="3" t="s">
        <v>854</v>
      </c>
      <c r="C5187" s="3" t="s">
        <v>6079</v>
      </c>
      <c r="D5187" s="3"/>
    </row>
    <row r="5188" spans="1:4">
      <c r="A5188" s="2">
        <v>284</v>
      </c>
      <c r="B5188" s="2" t="s">
        <v>854</v>
      </c>
      <c r="C5188" s="2" t="s">
        <v>6080</v>
      </c>
      <c r="D5188" s="2"/>
    </row>
    <row r="5189" spans="1:4">
      <c r="A5189" s="3">
        <v>284</v>
      </c>
      <c r="B5189" s="3" t="s">
        <v>854</v>
      </c>
      <c r="C5189" s="3" t="s">
        <v>6081</v>
      </c>
      <c r="D5189" s="3"/>
    </row>
    <row r="5190" spans="1:4">
      <c r="A5190" s="2">
        <v>284</v>
      </c>
      <c r="B5190" s="2" t="s">
        <v>854</v>
      </c>
      <c r="C5190" s="2" t="s">
        <v>6082</v>
      </c>
      <c r="D5190" s="2"/>
    </row>
    <row r="5191" spans="1:4">
      <c r="A5191" s="3">
        <v>286</v>
      </c>
      <c r="B5191" s="3" t="s">
        <v>807</v>
      </c>
      <c r="C5191" s="3" t="s">
        <v>6083</v>
      </c>
      <c r="D5191" s="3"/>
    </row>
    <row r="5192" spans="1:4">
      <c r="A5192" s="2">
        <v>286</v>
      </c>
      <c r="B5192" s="2" t="s">
        <v>807</v>
      </c>
      <c r="C5192" s="2" t="s">
        <v>6084</v>
      </c>
      <c r="D5192" s="2"/>
    </row>
    <row r="5193" spans="1:4">
      <c r="A5193" s="3">
        <v>286</v>
      </c>
      <c r="B5193" s="3" t="s">
        <v>807</v>
      </c>
      <c r="C5193" s="3" t="s">
        <v>6085</v>
      </c>
      <c r="D5193" s="3"/>
    </row>
    <row r="5194" spans="1:4">
      <c r="A5194" s="2">
        <v>286</v>
      </c>
      <c r="B5194" s="2" t="s">
        <v>807</v>
      </c>
      <c r="C5194" s="2" t="s">
        <v>6086</v>
      </c>
      <c r="D5194" s="2"/>
    </row>
    <row r="5195" spans="1:4">
      <c r="A5195" s="3">
        <v>286</v>
      </c>
      <c r="B5195" s="3" t="s">
        <v>807</v>
      </c>
      <c r="C5195" s="3" t="s">
        <v>6087</v>
      </c>
      <c r="D5195" s="3"/>
    </row>
    <row r="5196" spans="1:4">
      <c r="A5196" s="2">
        <v>286</v>
      </c>
      <c r="B5196" s="2" t="s">
        <v>807</v>
      </c>
      <c r="C5196" s="2" t="s">
        <v>6088</v>
      </c>
      <c r="D5196" s="2"/>
    </row>
    <row r="5197" spans="1:4">
      <c r="A5197" s="3">
        <v>286</v>
      </c>
      <c r="B5197" s="3" t="s">
        <v>807</v>
      </c>
      <c r="C5197" s="3" t="s">
        <v>6089</v>
      </c>
      <c r="D5197" s="3"/>
    </row>
    <row r="5198" spans="1:4">
      <c r="A5198" s="2">
        <v>286</v>
      </c>
      <c r="B5198" s="2" t="s">
        <v>807</v>
      </c>
      <c r="C5198" s="2" t="s">
        <v>6090</v>
      </c>
      <c r="D5198" s="2"/>
    </row>
    <row r="5199" spans="1:4">
      <c r="A5199" s="3">
        <v>286</v>
      </c>
      <c r="B5199" s="3" t="s">
        <v>807</v>
      </c>
      <c r="C5199" s="3" t="s">
        <v>6091</v>
      </c>
      <c r="D5199" s="3"/>
    </row>
    <row r="5200" spans="1:4">
      <c r="A5200" s="2">
        <v>286</v>
      </c>
      <c r="B5200" s="2" t="s">
        <v>807</v>
      </c>
      <c r="C5200" s="2" t="s">
        <v>6092</v>
      </c>
      <c r="D5200" s="2"/>
    </row>
    <row r="5201" spans="1:4">
      <c r="A5201" s="3">
        <v>286</v>
      </c>
      <c r="B5201" s="3" t="s">
        <v>807</v>
      </c>
      <c r="C5201" s="3" t="s">
        <v>6093</v>
      </c>
      <c r="D5201" s="3"/>
    </row>
    <row r="5202" spans="1:4">
      <c r="A5202" s="2">
        <v>286</v>
      </c>
      <c r="B5202" s="2" t="s">
        <v>807</v>
      </c>
      <c r="C5202" s="2" t="s">
        <v>6094</v>
      </c>
      <c r="D5202" s="2"/>
    </row>
    <row r="5203" spans="1:4">
      <c r="A5203" s="3">
        <v>286</v>
      </c>
      <c r="B5203" s="3" t="s">
        <v>807</v>
      </c>
      <c r="C5203" s="3" t="s">
        <v>6095</v>
      </c>
      <c r="D5203" s="3"/>
    </row>
    <row r="5204" spans="1:4">
      <c r="A5204" s="2">
        <v>286</v>
      </c>
      <c r="B5204" s="2" t="s">
        <v>807</v>
      </c>
      <c r="C5204" s="2" t="s">
        <v>6096</v>
      </c>
      <c r="D5204" s="2"/>
    </row>
    <row r="5205" spans="1:4">
      <c r="A5205" s="3">
        <v>286</v>
      </c>
      <c r="B5205" s="3" t="s">
        <v>807</v>
      </c>
      <c r="C5205" s="3" t="s">
        <v>6097</v>
      </c>
      <c r="D5205" s="3"/>
    </row>
    <row r="5206" spans="1:4">
      <c r="A5206" s="2">
        <v>287</v>
      </c>
      <c r="B5206" s="2" t="s">
        <v>929</v>
      </c>
      <c r="C5206" s="2" t="s">
        <v>6098</v>
      </c>
      <c r="D5206" s="2"/>
    </row>
    <row r="5207" spans="1:4">
      <c r="A5207" s="3">
        <v>287</v>
      </c>
      <c r="B5207" s="3" t="s">
        <v>929</v>
      </c>
      <c r="C5207" s="3" t="s">
        <v>6099</v>
      </c>
      <c r="D5207" s="3"/>
    </row>
    <row r="5208" spans="1:4">
      <c r="A5208" s="2">
        <v>287</v>
      </c>
      <c r="B5208" s="2" t="s">
        <v>929</v>
      </c>
      <c r="C5208" s="2" t="s">
        <v>6100</v>
      </c>
      <c r="D5208" s="2"/>
    </row>
    <row r="5209" spans="1:4">
      <c r="A5209" s="3">
        <v>287</v>
      </c>
      <c r="B5209" s="3" t="s">
        <v>929</v>
      </c>
      <c r="C5209" s="3" t="s">
        <v>6101</v>
      </c>
      <c r="D5209" s="3"/>
    </row>
    <row r="5210" spans="1:4">
      <c r="A5210" s="2">
        <v>287</v>
      </c>
      <c r="B5210" s="2" t="s">
        <v>929</v>
      </c>
      <c r="C5210" s="2" t="s">
        <v>6102</v>
      </c>
      <c r="D5210" s="2"/>
    </row>
    <row r="5211" spans="1:4">
      <c r="A5211" s="3">
        <v>287</v>
      </c>
      <c r="B5211" s="3" t="s">
        <v>929</v>
      </c>
      <c r="C5211" s="3" t="s">
        <v>6103</v>
      </c>
      <c r="D5211" s="3"/>
    </row>
    <row r="5212" spans="1:4">
      <c r="A5212" s="2">
        <v>287</v>
      </c>
      <c r="B5212" s="2" t="s">
        <v>929</v>
      </c>
      <c r="C5212" s="2" t="s">
        <v>6104</v>
      </c>
      <c r="D5212" s="2"/>
    </row>
    <row r="5213" spans="1:4">
      <c r="A5213" s="3">
        <v>287</v>
      </c>
      <c r="B5213" s="3" t="s">
        <v>929</v>
      </c>
      <c r="C5213" s="3" t="s">
        <v>6105</v>
      </c>
      <c r="D5213" s="3"/>
    </row>
    <row r="5214" spans="1:4">
      <c r="A5214" s="2">
        <v>288</v>
      </c>
      <c r="B5214" s="2" t="s">
        <v>805</v>
      </c>
      <c r="C5214" s="2" t="s">
        <v>6106</v>
      </c>
      <c r="D5214" s="2"/>
    </row>
    <row r="5215" spans="1:4">
      <c r="A5215" s="3">
        <v>290</v>
      </c>
      <c r="B5215" s="3" t="s">
        <v>854</v>
      </c>
      <c r="C5215" s="3" t="s">
        <v>6107</v>
      </c>
      <c r="D5215" s="3"/>
    </row>
    <row r="5216" spans="1:4">
      <c r="A5216" s="2">
        <v>290</v>
      </c>
      <c r="B5216" s="2" t="s">
        <v>854</v>
      </c>
      <c r="C5216" s="2" t="s">
        <v>6108</v>
      </c>
      <c r="D5216" s="2"/>
    </row>
    <row r="5217" spans="1:4">
      <c r="A5217" s="3">
        <v>290</v>
      </c>
      <c r="B5217" s="3" t="s">
        <v>854</v>
      </c>
      <c r="C5217" s="3" t="s">
        <v>6109</v>
      </c>
      <c r="D5217" s="3"/>
    </row>
    <row r="5218" spans="1:4">
      <c r="A5218" s="2">
        <v>290</v>
      </c>
      <c r="B5218" s="2" t="s">
        <v>854</v>
      </c>
      <c r="C5218" s="2" t="s">
        <v>6107</v>
      </c>
      <c r="D5218" s="2"/>
    </row>
    <row r="5219" spans="1:4">
      <c r="A5219" s="3">
        <v>290</v>
      </c>
      <c r="B5219" s="3" t="s">
        <v>854</v>
      </c>
      <c r="C5219" s="3" t="s">
        <v>6110</v>
      </c>
      <c r="D5219" s="3"/>
    </row>
    <row r="5220" spans="1:4">
      <c r="A5220" s="2">
        <v>290</v>
      </c>
      <c r="B5220" s="2" t="s">
        <v>854</v>
      </c>
      <c r="C5220" s="2" t="s">
        <v>6111</v>
      </c>
      <c r="D5220" s="2"/>
    </row>
    <row r="5221" spans="1:4">
      <c r="A5221" s="3">
        <v>290</v>
      </c>
      <c r="B5221" s="3" t="s">
        <v>854</v>
      </c>
      <c r="C5221" s="3" t="s">
        <v>6112</v>
      </c>
      <c r="D5221" s="3"/>
    </row>
    <row r="5222" spans="1:4">
      <c r="A5222" s="2">
        <v>290</v>
      </c>
      <c r="B5222" s="2" t="s">
        <v>854</v>
      </c>
      <c r="C5222" s="2" t="s">
        <v>6113</v>
      </c>
      <c r="D5222" s="2"/>
    </row>
    <row r="5223" spans="1:4">
      <c r="A5223" s="3">
        <v>290</v>
      </c>
      <c r="B5223" s="3" t="s">
        <v>854</v>
      </c>
      <c r="C5223" s="3" t="s">
        <v>6114</v>
      </c>
      <c r="D5223" s="3"/>
    </row>
    <row r="5224" spans="1:4">
      <c r="A5224" s="2">
        <v>290</v>
      </c>
      <c r="B5224" s="2" t="s">
        <v>854</v>
      </c>
      <c r="C5224" s="2" t="s">
        <v>6115</v>
      </c>
      <c r="D5224" s="2"/>
    </row>
    <row r="5225" spans="1:4">
      <c r="A5225" s="3">
        <v>290</v>
      </c>
      <c r="B5225" s="3" t="s">
        <v>854</v>
      </c>
      <c r="C5225" s="3" t="s">
        <v>6116</v>
      </c>
      <c r="D5225" s="3"/>
    </row>
    <row r="5226" spans="1:4">
      <c r="A5226" s="2">
        <v>290</v>
      </c>
      <c r="B5226" s="2" t="s">
        <v>854</v>
      </c>
      <c r="C5226" s="2" t="s">
        <v>6117</v>
      </c>
      <c r="D5226" s="2"/>
    </row>
    <row r="5227" spans="1:4">
      <c r="A5227" s="3">
        <v>290</v>
      </c>
      <c r="B5227" s="3" t="s">
        <v>854</v>
      </c>
      <c r="C5227" s="3" t="s">
        <v>6118</v>
      </c>
      <c r="D5227" s="3"/>
    </row>
    <row r="5228" spans="1:4">
      <c r="A5228" s="2">
        <v>290</v>
      </c>
      <c r="B5228" s="2" t="s">
        <v>854</v>
      </c>
      <c r="C5228" s="2" t="s">
        <v>6119</v>
      </c>
      <c r="D5228" s="2"/>
    </row>
    <row r="5229" spans="1:4">
      <c r="A5229" s="3">
        <v>290</v>
      </c>
      <c r="B5229" s="3" t="s">
        <v>854</v>
      </c>
      <c r="C5229" s="3" t="s">
        <v>6120</v>
      </c>
      <c r="D5229" s="3"/>
    </row>
    <row r="5230" spans="1:4">
      <c r="A5230" s="2">
        <v>290</v>
      </c>
      <c r="B5230" s="2" t="s">
        <v>854</v>
      </c>
      <c r="C5230" s="2" t="s">
        <v>6121</v>
      </c>
      <c r="D5230" s="2"/>
    </row>
    <row r="5231" spans="1:4">
      <c r="A5231" s="3">
        <v>290</v>
      </c>
      <c r="B5231" s="3" t="s">
        <v>854</v>
      </c>
      <c r="C5231" s="3" t="s">
        <v>6122</v>
      </c>
      <c r="D5231" s="3"/>
    </row>
    <row r="5232" spans="1:4">
      <c r="A5232" s="2">
        <v>290</v>
      </c>
      <c r="B5232" s="2" t="s">
        <v>854</v>
      </c>
      <c r="C5232" s="2" t="s">
        <v>6123</v>
      </c>
      <c r="D5232" s="2"/>
    </row>
    <row r="5233" spans="1:4">
      <c r="A5233" s="3">
        <v>290</v>
      </c>
      <c r="B5233" s="3" t="s">
        <v>854</v>
      </c>
      <c r="C5233" s="3" t="s">
        <v>6124</v>
      </c>
      <c r="D5233" s="3"/>
    </row>
    <row r="5234" spans="1:4">
      <c r="A5234" s="2">
        <v>290</v>
      </c>
      <c r="B5234" s="2" t="s">
        <v>854</v>
      </c>
      <c r="C5234" s="2" t="s">
        <v>6125</v>
      </c>
      <c r="D5234" s="2"/>
    </row>
    <row r="5235" spans="1:4">
      <c r="A5235" s="3">
        <v>290</v>
      </c>
      <c r="B5235" s="3" t="s">
        <v>854</v>
      </c>
      <c r="C5235" s="3" t="s">
        <v>6126</v>
      </c>
      <c r="D5235" s="3"/>
    </row>
    <row r="5236" spans="1:4">
      <c r="A5236" s="2">
        <v>290</v>
      </c>
      <c r="B5236" s="2" t="s">
        <v>854</v>
      </c>
      <c r="C5236" s="2" t="s">
        <v>6127</v>
      </c>
      <c r="D5236" s="2"/>
    </row>
    <row r="5237" spans="1:4">
      <c r="A5237" s="3">
        <v>290</v>
      </c>
      <c r="B5237" s="3" t="s">
        <v>854</v>
      </c>
      <c r="C5237" s="3" t="s">
        <v>6128</v>
      </c>
      <c r="D5237" s="3"/>
    </row>
    <row r="5238" spans="1:4">
      <c r="A5238" s="2">
        <v>290</v>
      </c>
      <c r="B5238" s="2" t="s">
        <v>854</v>
      </c>
      <c r="C5238" s="2" t="s">
        <v>6129</v>
      </c>
      <c r="D5238" s="2"/>
    </row>
    <row r="5239" spans="1:4">
      <c r="A5239" s="3">
        <v>290</v>
      </c>
      <c r="B5239" s="3" t="s">
        <v>854</v>
      </c>
      <c r="C5239" s="3" t="s">
        <v>6130</v>
      </c>
      <c r="D5239" s="3"/>
    </row>
    <row r="5240" spans="1:4">
      <c r="A5240" s="2">
        <v>290</v>
      </c>
      <c r="B5240" s="2" t="s">
        <v>854</v>
      </c>
      <c r="C5240" s="2" t="s">
        <v>6131</v>
      </c>
      <c r="D5240" s="2"/>
    </row>
    <row r="5241" spans="1:4">
      <c r="A5241" s="3">
        <v>290</v>
      </c>
      <c r="B5241" s="3" t="s">
        <v>854</v>
      </c>
      <c r="C5241" s="3" t="s">
        <v>6132</v>
      </c>
      <c r="D5241" s="3"/>
    </row>
    <row r="5242" spans="1:4">
      <c r="A5242" s="2">
        <v>290</v>
      </c>
      <c r="B5242" s="2" t="s">
        <v>854</v>
      </c>
      <c r="C5242" s="2" t="s">
        <v>6133</v>
      </c>
      <c r="D5242" s="2"/>
    </row>
    <row r="5243" spans="1:4">
      <c r="A5243" s="3">
        <v>290</v>
      </c>
      <c r="B5243" s="3" t="s">
        <v>854</v>
      </c>
      <c r="C5243" s="3" t="s">
        <v>6134</v>
      </c>
      <c r="D5243" s="3"/>
    </row>
    <row r="5244" spans="1:4">
      <c r="A5244" s="2">
        <v>290</v>
      </c>
      <c r="B5244" s="2" t="s">
        <v>854</v>
      </c>
      <c r="C5244" s="2" t="s">
        <v>6135</v>
      </c>
      <c r="D5244" s="2"/>
    </row>
    <row r="5245" spans="1:4">
      <c r="A5245" s="3">
        <v>290</v>
      </c>
      <c r="B5245" s="3" t="s">
        <v>854</v>
      </c>
      <c r="C5245" s="3" t="s">
        <v>6136</v>
      </c>
      <c r="D5245" s="3"/>
    </row>
    <row r="5246" spans="1:4">
      <c r="A5246" s="2">
        <v>291</v>
      </c>
      <c r="B5246" s="2" t="s">
        <v>854</v>
      </c>
      <c r="C5246" s="2" t="s">
        <v>6137</v>
      </c>
      <c r="D5246" s="2"/>
    </row>
    <row r="5247" spans="1:4">
      <c r="A5247" s="3">
        <v>291</v>
      </c>
      <c r="B5247" s="3" t="s">
        <v>854</v>
      </c>
      <c r="C5247" s="3" t="s">
        <v>6138</v>
      </c>
      <c r="D5247" s="3"/>
    </row>
    <row r="5248" spans="1:4">
      <c r="A5248" s="2">
        <v>291</v>
      </c>
      <c r="B5248" s="2" t="s">
        <v>854</v>
      </c>
      <c r="C5248" s="2" t="s">
        <v>6139</v>
      </c>
      <c r="D5248" s="2"/>
    </row>
    <row r="5249" spans="1:4">
      <c r="A5249" s="3">
        <v>291</v>
      </c>
      <c r="B5249" s="3" t="s">
        <v>854</v>
      </c>
      <c r="C5249" s="3" t="s">
        <v>6140</v>
      </c>
      <c r="D5249" s="3"/>
    </row>
    <row r="5250" spans="1:4">
      <c r="A5250" s="2">
        <v>291</v>
      </c>
      <c r="B5250" s="2" t="s">
        <v>854</v>
      </c>
      <c r="C5250" s="2" t="s">
        <v>6141</v>
      </c>
      <c r="D5250" s="2"/>
    </row>
    <row r="5251" spans="1:4">
      <c r="A5251" s="3">
        <v>291</v>
      </c>
      <c r="B5251" s="3" t="s">
        <v>854</v>
      </c>
      <c r="C5251" s="3" t="s">
        <v>6142</v>
      </c>
      <c r="D5251" s="3"/>
    </row>
    <row r="5252" spans="1:4">
      <c r="A5252" s="2">
        <v>291</v>
      </c>
      <c r="B5252" s="2" t="s">
        <v>854</v>
      </c>
      <c r="C5252" s="2" t="s">
        <v>6143</v>
      </c>
      <c r="D5252" s="2"/>
    </row>
    <row r="5253" spans="1:4">
      <c r="A5253" s="3">
        <v>291</v>
      </c>
      <c r="B5253" s="3" t="s">
        <v>854</v>
      </c>
      <c r="C5253" s="3" t="s">
        <v>6144</v>
      </c>
      <c r="D5253" s="3"/>
    </row>
    <row r="5254" spans="1:4">
      <c r="A5254" s="2">
        <v>291</v>
      </c>
      <c r="B5254" s="2" t="s">
        <v>854</v>
      </c>
      <c r="C5254" s="2" t="s">
        <v>6145</v>
      </c>
      <c r="D5254" s="2"/>
    </row>
    <row r="5255" spans="1:4">
      <c r="A5255" s="3">
        <v>291</v>
      </c>
      <c r="B5255" s="3" t="s">
        <v>854</v>
      </c>
      <c r="C5255" s="3" t="s">
        <v>6146</v>
      </c>
      <c r="D5255" s="3"/>
    </row>
    <row r="5256" spans="1:4">
      <c r="A5256" s="2">
        <v>291</v>
      </c>
      <c r="B5256" s="2" t="s">
        <v>854</v>
      </c>
      <c r="C5256" s="2" t="s">
        <v>6147</v>
      </c>
      <c r="D5256" s="2"/>
    </row>
    <row r="5257" spans="1:4">
      <c r="A5257" s="3">
        <v>291</v>
      </c>
      <c r="B5257" s="3" t="s">
        <v>854</v>
      </c>
      <c r="C5257" s="3" t="s">
        <v>6148</v>
      </c>
      <c r="D5257" s="3"/>
    </row>
    <row r="5258" spans="1:4">
      <c r="A5258" s="2">
        <v>291</v>
      </c>
      <c r="B5258" s="2" t="s">
        <v>854</v>
      </c>
      <c r="C5258" s="2" t="s">
        <v>6149</v>
      </c>
      <c r="D5258" s="2"/>
    </row>
    <row r="5259" spans="1:4">
      <c r="A5259" s="3">
        <v>291</v>
      </c>
      <c r="B5259" s="3" t="s">
        <v>854</v>
      </c>
      <c r="C5259" s="3" t="s">
        <v>6150</v>
      </c>
      <c r="D5259" s="3"/>
    </row>
    <row r="5260" spans="1:4">
      <c r="A5260" s="2">
        <v>291</v>
      </c>
      <c r="B5260" s="2" t="s">
        <v>854</v>
      </c>
      <c r="C5260" s="2" t="s">
        <v>6151</v>
      </c>
      <c r="D5260" s="2"/>
    </row>
    <row r="5261" spans="1:4">
      <c r="A5261" s="3">
        <v>291</v>
      </c>
      <c r="B5261" s="3" t="s">
        <v>854</v>
      </c>
      <c r="C5261" s="3" t="s">
        <v>6152</v>
      </c>
      <c r="D5261" s="3"/>
    </row>
    <row r="5262" spans="1:4">
      <c r="A5262" s="2">
        <v>291</v>
      </c>
      <c r="B5262" s="2" t="s">
        <v>854</v>
      </c>
      <c r="C5262" s="2" t="s">
        <v>6153</v>
      </c>
      <c r="D5262" s="2"/>
    </row>
    <row r="5263" spans="1:4">
      <c r="A5263" s="3">
        <v>291</v>
      </c>
      <c r="B5263" s="3" t="s">
        <v>854</v>
      </c>
      <c r="C5263" s="3" t="s">
        <v>6154</v>
      </c>
      <c r="D5263" s="3"/>
    </row>
    <row r="5264" spans="1:4">
      <c r="A5264" s="2">
        <v>291</v>
      </c>
      <c r="B5264" s="2" t="s">
        <v>854</v>
      </c>
      <c r="C5264" s="2" t="s">
        <v>6155</v>
      </c>
      <c r="D5264" s="2"/>
    </row>
    <row r="5265" spans="1:4">
      <c r="A5265" s="3">
        <v>291</v>
      </c>
      <c r="B5265" s="3" t="s">
        <v>854</v>
      </c>
      <c r="C5265" s="3" t="s">
        <v>6156</v>
      </c>
      <c r="D5265" s="3"/>
    </row>
    <row r="5266" spans="1:4">
      <c r="A5266" s="2">
        <v>291</v>
      </c>
      <c r="B5266" s="2" t="s">
        <v>854</v>
      </c>
      <c r="C5266" s="2" t="s">
        <v>6157</v>
      </c>
      <c r="D5266" s="2"/>
    </row>
    <row r="5267" spans="1:4">
      <c r="A5267" s="3">
        <v>291</v>
      </c>
      <c r="B5267" s="3" t="s">
        <v>854</v>
      </c>
      <c r="C5267" s="3" t="s">
        <v>6158</v>
      </c>
      <c r="D5267" s="3"/>
    </row>
    <row r="5268" spans="1:4">
      <c r="A5268" s="2">
        <v>291</v>
      </c>
      <c r="B5268" s="2" t="s">
        <v>854</v>
      </c>
      <c r="C5268" s="2" t="s">
        <v>6159</v>
      </c>
      <c r="D5268" s="2"/>
    </row>
    <row r="5269" spans="1:4">
      <c r="A5269" s="3">
        <v>291</v>
      </c>
      <c r="B5269" s="3" t="s">
        <v>854</v>
      </c>
      <c r="C5269" s="3" t="s">
        <v>6160</v>
      </c>
      <c r="D5269" s="3"/>
    </row>
    <row r="5270" spans="1:4">
      <c r="A5270" s="2">
        <v>291</v>
      </c>
      <c r="B5270" s="2" t="s">
        <v>854</v>
      </c>
      <c r="C5270" s="2" t="s">
        <v>6161</v>
      </c>
      <c r="D5270" s="2"/>
    </row>
    <row r="5271" spans="1:4">
      <c r="A5271" s="3">
        <v>291</v>
      </c>
      <c r="B5271" s="3" t="s">
        <v>854</v>
      </c>
      <c r="C5271" s="3" t="s">
        <v>6162</v>
      </c>
      <c r="D5271" s="3"/>
    </row>
    <row r="5272" spans="1:4">
      <c r="A5272" s="2">
        <v>291</v>
      </c>
      <c r="B5272" s="2" t="s">
        <v>854</v>
      </c>
      <c r="C5272" s="2" t="s">
        <v>6163</v>
      </c>
      <c r="D5272" s="2"/>
    </row>
    <row r="5273" spans="1:4">
      <c r="A5273" s="3">
        <v>291</v>
      </c>
      <c r="B5273" s="3" t="s">
        <v>854</v>
      </c>
      <c r="C5273" s="3" t="s">
        <v>6164</v>
      </c>
      <c r="D5273" s="3"/>
    </row>
    <row r="5274" spans="1:4">
      <c r="A5274" s="2">
        <v>291</v>
      </c>
      <c r="B5274" s="2" t="s">
        <v>854</v>
      </c>
      <c r="C5274" s="2" t="s">
        <v>6165</v>
      </c>
      <c r="D5274" s="2"/>
    </row>
    <row r="5275" spans="1:4">
      <c r="A5275" s="3">
        <v>291</v>
      </c>
      <c r="B5275" s="3" t="s">
        <v>854</v>
      </c>
      <c r="C5275" s="3" t="s">
        <v>6166</v>
      </c>
      <c r="D5275" s="3"/>
    </row>
    <row r="5276" spans="1:4">
      <c r="A5276" s="2">
        <v>291</v>
      </c>
      <c r="B5276" s="2" t="s">
        <v>854</v>
      </c>
      <c r="C5276" s="2" t="s">
        <v>6167</v>
      </c>
      <c r="D5276" s="2"/>
    </row>
    <row r="5277" spans="1:4">
      <c r="A5277" s="3">
        <v>291</v>
      </c>
      <c r="B5277" s="3" t="s">
        <v>854</v>
      </c>
      <c r="C5277" s="3" t="s">
        <v>6168</v>
      </c>
      <c r="D5277" s="3"/>
    </row>
    <row r="5278" spans="1:4">
      <c r="A5278" s="2">
        <v>291</v>
      </c>
      <c r="B5278" s="2" t="s">
        <v>854</v>
      </c>
      <c r="C5278" s="2" t="s">
        <v>6169</v>
      </c>
      <c r="D5278" s="2"/>
    </row>
    <row r="5279" spans="1:4">
      <c r="A5279" s="3">
        <v>291</v>
      </c>
      <c r="B5279" s="3" t="s">
        <v>854</v>
      </c>
      <c r="C5279" s="3" t="s">
        <v>6170</v>
      </c>
      <c r="D5279" s="3"/>
    </row>
    <row r="5280" spans="1:4">
      <c r="A5280" s="2">
        <v>291</v>
      </c>
      <c r="B5280" s="2" t="s">
        <v>854</v>
      </c>
      <c r="C5280" s="2" t="s">
        <v>6171</v>
      </c>
      <c r="D5280" s="2"/>
    </row>
    <row r="5281" spans="1:4">
      <c r="A5281" s="3">
        <v>291</v>
      </c>
      <c r="B5281" s="3" t="s">
        <v>854</v>
      </c>
      <c r="C5281" s="3" t="s">
        <v>6172</v>
      </c>
      <c r="D5281" s="3"/>
    </row>
    <row r="5282" spans="1:4">
      <c r="A5282" s="2">
        <v>291</v>
      </c>
      <c r="B5282" s="2" t="s">
        <v>854</v>
      </c>
      <c r="C5282" s="2" t="s">
        <v>6173</v>
      </c>
      <c r="D5282" s="2"/>
    </row>
    <row r="5283" spans="1:4">
      <c r="A5283" s="3">
        <v>291</v>
      </c>
      <c r="B5283" s="3" t="s">
        <v>854</v>
      </c>
      <c r="C5283" s="3" t="s">
        <v>6169</v>
      </c>
      <c r="D5283" s="3"/>
    </row>
    <row r="5284" spans="1:4">
      <c r="A5284" s="2">
        <v>291</v>
      </c>
      <c r="B5284" s="2" t="s">
        <v>854</v>
      </c>
      <c r="C5284" s="2" t="s">
        <v>6169</v>
      </c>
      <c r="D5284" s="2"/>
    </row>
    <row r="5285" spans="1:4">
      <c r="A5285" s="3">
        <v>291</v>
      </c>
      <c r="B5285" s="3" t="s">
        <v>854</v>
      </c>
      <c r="C5285" s="3" t="s">
        <v>6174</v>
      </c>
      <c r="D5285" s="3"/>
    </row>
    <row r="5286" spans="1:4">
      <c r="A5286" s="2">
        <v>291</v>
      </c>
      <c r="B5286" s="2" t="s">
        <v>854</v>
      </c>
      <c r="C5286" s="2" t="s">
        <v>6175</v>
      </c>
      <c r="D5286" s="2"/>
    </row>
    <row r="5287" spans="1:4">
      <c r="A5287" s="3">
        <v>291</v>
      </c>
      <c r="B5287" s="3" t="s">
        <v>854</v>
      </c>
      <c r="C5287" s="3" t="s">
        <v>6176</v>
      </c>
      <c r="D5287" s="3"/>
    </row>
    <row r="5288" spans="1:4">
      <c r="A5288" s="2">
        <v>292</v>
      </c>
      <c r="B5288" s="2" t="s">
        <v>854</v>
      </c>
      <c r="C5288" s="2" t="s">
        <v>6177</v>
      </c>
      <c r="D5288" s="2"/>
    </row>
    <row r="5289" spans="1:4">
      <c r="A5289" s="3">
        <v>292</v>
      </c>
      <c r="B5289" s="3" t="s">
        <v>854</v>
      </c>
      <c r="C5289" s="3" t="s">
        <v>6178</v>
      </c>
      <c r="D5289" s="3"/>
    </row>
    <row r="5290" spans="1:4">
      <c r="A5290" s="2">
        <v>292</v>
      </c>
      <c r="B5290" s="2" t="s">
        <v>854</v>
      </c>
      <c r="C5290" s="2" t="s">
        <v>6179</v>
      </c>
      <c r="D5290" s="2"/>
    </row>
    <row r="5291" spans="1:4">
      <c r="A5291" s="3">
        <v>292</v>
      </c>
      <c r="B5291" s="3" t="s">
        <v>854</v>
      </c>
      <c r="C5291" s="3" t="s">
        <v>6180</v>
      </c>
      <c r="D5291" s="3"/>
    </row>
    <row r="5292" spans="1:4">
      <c r="A5292" s="2">
        <v>292</v>
      </c>
      <c r="B5292" s="2" t="s">
        <v>854</v>
      </c>
      <c r="C5292" s="2" t="s">
        <v>6181</v>
      </c>
      <c r="D5292" s="2"/>
    </row>
    <row r="5293" spans="1:4">
      <c r="A5293" s="3">
        <v>292</v>
      </c>
      <c r="B5293" s="3" t="s">
        <v>854</v>
      </c>
      <c r="C5293" s="3" t="s">
        <v>6182</v>
      </c>
      <c r="D5293" s="3"/>
    </row>
    <row r="5294" spans="1:4">
      <c r="A5294" s="2">
        <v>292</v>
      </c>
      <c r="B5294" s="2" t="s">
        <v>854</v>
      </c>
      <c r="C5294" s="2" t="s">
        <v>6183</v>
      </c>
      <c r="D5294" s="2"/>
    </row>
    <row r="5295" spans="1:4">
      <c r="A5295" s="3">
        <v>292</v>
      </c>
      <c r="B5295" s="3" t="s">
        <v>854</v>
      </c>
      <c r="C5295" s="3" t="s">
        <v>6184</v>
      </c>
      <c r="D5295" s="3"/>
    </row>
    <row r="5296" spans="1:4">
      <c r="A5296" s="2">
        <v>292</v>
      </c>
      <c r="B5296" s="2" t="s">
        <v>854</v>
      </c>
      <c r="C5296" s="2" t="s">
        <v>6185</v>
      </c>
      <c r="D5296" s="2"/>
    </row>
    <row r="5297" spans="1:4">
      <c r="A5297" s="3">
        <v>292</v>
      </c>
      <c r="B5297" s="3" t="s">
        <v>854</v>
      </c>
      <c r="C5297" s="3" t="s">
        <v>6186</v>
      </c>
      <c r="D5297" s="3"/>
    </row>
    <row r="5298" spans="1:4">
      <c r="A5298" s="2">
        <v>292</v>
      </c>
      <c r="B5298" s="2" t="s">
        <v>854</v>
      </c>
      <c r="C5298" s="2" t="s">
        <v>6187</v>
      </c>
      <c r="D5298" s="2"/>
    </row>
    <row r="5299" spans="1:4">
      <c r="A5299" s="3">
        <v>292</v>
      </c>
      <c r="B5299" s="3" t="s">
        <v>854</v>
      </c>
      <c r="C5299" s="3" t="s">
        <v>6188</v>
      </c>
      <c r="D5299" s="3"/>
    </row>
    <row r="5300" spans="1:4">
      <c r="A5300" s="2">
        <v>292</v>
      </c>
      <c r="B5300" s="2" t="s">
        <v>854</v>
      </c>
      <c r="C5300" s="2" t="s">
        <v>6189</v>
      </c>
      <c r="D5300" s="2"/>
    </row>
    <row r="5301" spans="1:4">
      <c r="A5301" s="3">
        <v>292</v>
      </c>
      <c r="B5301" s="3" t="s">
        <v>854</v>
      </c>
      <c r="C5301" s="3" t="s">
        <v>6190</v>
      </c>
      <c r="D5301" s="3"/>
    </row>
    <row r="5302" spans="1:4">
      <c r="A5302" s="2">
        <v>292</v>
      </c>
      <c r="B5302" s="2" t="s">
        <v>854</v>
      </c>
      <c r="C5302" s="2" t="s">
        <v>6191</v>
      </c>
      <c r="D5302" s="2"/>
    </row>
    <row r="5303" spans="1:4">
      <c r="A5303" s="3">
        <v>292</v>
      </c>
      <c r="B5303" s="3" t="s">
        <v>854</v>
      </c>
      <c r="C5303" s="3" t="s">
        <v>6192</v>
      </c>
      <c r="D5303" s="3"/>
    </row>
    <row r="5304" spans="1:4">
      <c r="A5304" s="2">
        <v>292</v>
      </c>
      <c r="B5304" s="2" t="s">
        <v>854</v>
      </c>
      <c r="C5304" s="2" t="s">
        <v>6193</v>
      </c>
      <c r="D5304" s="2"/>
    </row>
    <row r="5305" spans="1:4">
      <c r="A5305" s="3">
        <v>292</v>
      </c>
      <c r="B5305" s="3" t="s">
        <v>854</v>
      </c>
      <c r="C5305" s="3" t="s">
        <v>6194</v>
      </c>
      <c r="D5305" s="3"/>
    </row>
    <row r="5306" spans="1:4">
      <c r="A5306" s="2">
        <v>292</v>
      </c>
      <c r="B5306" s="2" t="s">
        <v>854</v>
      </c>
      <c r="C5306" s="2" t="s">
        <v>6195</v>
      </c>
      <c r="D5306" s="2"/>
    </row>
    <row r="5307" spans="1:4">
      <c r="A5307" s="3">
        <v>292</v>
      </c>
      <c r="B5307" s="3" t="s">
        <v>854</v>
      </c>
      <c r="C5307" s="3" t="s">
        <v>6196</v>
      </c>
      <c r="D5307" s="3"/>
    </row>
    <row r="5308" spans="1:4">
      <c r="A5308" s="2">
        <v>292</v>
      </c>
      <c r="B5308" s="2" t="s">
        <v>854</v>
      </c>
      <c r="C5308" s="2" t="s">
        <v>6197</v>
      </c>
      <c r="D5308" s="2"/>
    </row>
    <row r="5309" spans="1:4">
      <c r="A5309" s="3">
        <v>292</v>
      </c>
      <c r="B5309" s="3" t="s">
        <v>854</v>
      </c>
      <c r="C5309" s="3" t="s">
        <v>6198</v>
      </c>
      <c r="D5309" s="3"/>
    </row>
    <row r="5310" spans="1:4">
      <c r="A5310" s="2">
        <v>292</v>
      </c>
      <c r="B5310" s="2" t="s">
        <v>854</v>
      </c>
      <c r="C5310" s="2" t="s">
        <v>6199</v>
      </c>
      <c r="D5310" s="2"/>
    </row>
    <row r="5311" spans="1:4">
      <c r="A5311" s="3">
        <v>292</v>
      </c>
      <c r="B5311" s="3" t="s">
        <v>854</v>
      </c>
      <c r="C5311" s="3" t="s">
        <v>6200</v>
      </c>
      <c r="D5311" s="3"/>
    </row>
    <row r="5312" spans="1:4">
      <c r="A5312" s="2">
        <v>292</v>
      </c>
      <c r="B5312" s="2" t="s">
        <v>854</v>
      </c>
      <c r="C5312" s="2" t="s">
        <v>6201</v>
      </c>
      <c r="D5312" s="2"/>
    </row>
    <row r="5313" spans="1:4">
      <c r="A5313" s="3">
        <v>292</v>
      </c>
      <c r="B5313" s="3" t="s">
        <v>854</v>
      </c>
      <c r="C5313" s="3" t="s">
        <v>6202</v>
      </c>
      <c r="D5313" s="3"/>
    </row>
    <row r="5314" spans="1:4">
      <c r="A5314" s="2">
        <v>292</v>
      </c>
      <c r="B5314" s="2" t="s">
        <v>854</v>
      </c>
      <c r="C5314" s="2" t="s">
        <v>6203</v>
      </c>
      <c r="D5314" s="2"/>
    </row>
    <row r="5315" spans="1:4">
      <c r="A5315" s="3">
        <v>292</v>
      </c>
      <c r="B5315" s="3" t="s">
        <v>854</v>
      </c>
      <c r="C5315" s="3" t="s">
        <v>6204</v>
      </c>
      <c r="D5315" s="3"/>
    </row>
    <row r="5316" spans="1:4">
      <c r="A5316" s="2">
        <v>292</v>
      </c>
      <c r="B5316" s="2" t="s">
        <v>854</v>
      </c>
      <c r="C5316" s="2" t="s">
        <v>6205</v>
      </c>
      <c r="D5316" s="2"/>
    </row>
    <row r="5317" spans="1:4">
      <c r="A5317" s="3">
        <v>292</v>
      </c>
      <c r="B5317" s="3" t="s">
        <v>854</v>
      </c>
      <c r="C5317" s="3" t="s">
        <v>6206</v>
      </c>
      <c r="D5317" s="3"/>
    </row>
    <row r="5318" spans="1:4">
      <c r="A5318" s="2">
        <v>292</v>
      </c>
      <c r="B5318" s="2" t="s">
        <v>854</v>
      </c>
      <c r="C5318" s="2" t="s">
        <v>6207</v>
      </c>
      <c r="D5318" s="2"/>
    </row>
    <row r="5319" spans="1:4">
      <c r="A5319" s="3">
        <v>292</v>
      </c>
      <c r="B5319" s="3" t="s">
        <v>854</v>
      </c>
      <c r="C5319" s="3" t="s">
        <v>6208</v>
      </c>
      <c r="D5319" s="3"/>
    </row>
    <row r="5320" spans="1:4">
      <c r="A5320" s="2">
        <v>292</v>
      </c>
      <c r="B5320" s="2" t="s">
        <v>854</v>
      </c>
      <c r="C5320" s="2" t="s">
        <v>6209</v>
      </c>
      <c r="D5320" s="2"/>
    </row>
    <row r="5321" spans="1:4">
      <c r="A5321" s="3">
        <v>292</v>
      </c>
      <c r="B5321" s="3" t="s">
        <v>854</v>
      </c>
      <c r="C5321" s="3" t="s">
        <v>6205</v>
      </c>
      <c r="D5321" s="3"/>
    </row>
    <row r="5322" spans="1:4">
      <c r="A5322" s="2">
        <v>292</v>
      </c>
      <c r="B5322" s="2" t="s">
        <v>854</v>
      </c>
      <c r="C5322" s="2" t="s">
        <v>6206</v>
      </c>
      <c r="D5322" s="2"/>
    </row>
    <row r="5323" spans="1:4">
      <c r="A5323" s="3">
        <v>292</v>
      </c>
      <c r="B5323" s="3" t="s">
        <v>854</v>
      </c>
      <c r="C5323" s="3" t="s">
        <v>6210</v>
      </c>
      <c r="D5323" s="3"/>
    </row>
    <row r="5324" spans="1:4">
      <c r="A5324" s="2">
        <v>292</v>
      </c>
      <c r="B5324" s="2" t="s">
        <v>854</v>
      </c>
      <c r="C5324" s="2" t="s">
        <v>6205</v>
      </c>
      <c r="D5324" s="2"/>
    </row>
    <row r="5325" spans="1:4">
      <c r="A5325" s="3">
        <v>292</v>
      </c>
      <c r="B5325" s="3" t="s">
        <v>854</v>
      </c>
      <c r="C5325" s="3" t="s">
        <v>6206</v>
      </c>
      <c r="D5325" s="3"/>
    </row>
    <row r="5326" spans="1:4">
      <c r="A5326" s="2">
        <v>292</v>
      </c>
      <c r="B5326" s="2" t="s">
        <v>854</v>
      </c>
      <c r="C5326" s="2" t="s">
        <v>6211</v>
      </c>
      <c r="D5326" s="2"/>
    </row>
    <row r="5327" spans="1:4">
      <c r="A5327" s="3">
        <v>292</v>
      </c>
      <c r="B5327" s="3" t="s">
        <v>854</v>
      </c>
      <c r="C5327" s="3" t="s">
        <v>6212</v>
      </c>
      <c r="D5327" s="3"/>
    </row>
    <row r="5328" spans="1:4">
      <c r="A5328" s="2">
        <v>292</v>
      </c>
      <c r="B5328" s="2" t="s">
        <v>854</v>
      </c>
      <c r="C5328" s="2" t="s">
        <v>6213</v>
      </c>
      <c r="D5328" s="2"/>
    </row>
    <row r="5329" spans="1:4">
      <c r="A5329" s="3">
        <v>292</v>
      </c>
      <c r="B5329" s="3" t="s">
        <v>854</v>
      </c>
      <c r="C5329" s="3" t="s">
        <v>6213</v>
      </c>
      <c r="D5329" s="3"/>
    </row>
    <row r="5330" spans="1:4">
      <c r="A5330" s="2">
        <v>292</v>
      </c>
      <c r="B5330" s="2" t="s">
        <v>854</v>
      </c>
      <c r="C5330" s="2" t="s">
        <v>6214</v>
      </c>
      <c r="D5330" s="2"/>
    </row>
    <row r="5331" spans="1:4">
      <c r="A5331" s="3">
        <v>292</v>
      </c>
      <c r="B5331" s="3" t="s">
        <v>854</v>
      </c>
      <c r="C5331" s="3" t="s">
        <v>6215</v>
      </c>
      <c r="D5331" s="3"/>
    </row>
    <row r="5332" spans="1:4">
      <c r="A5332" s="2">
        <v>292</v>
      </c>
      <c r="B5332" s="2" t="s">
        <v>854</v>
      </c>
      <c r="C5332" s="2" t="s">
        <v>6216</v>
      </c>
      <c r="D5332" s="2"/>
    </row>
    <row r="5333" spans="1:4">
      <c r="A5333" s="3">
        <v>292</v>
      </c>
      <c r="B5333" s="3" t="s">
        <v>854</v>
      </c>
      <c r="C5333" s="3" t="s">
        <v>6217</v>
      </c>
      <c r="D5333" s="3"/>
    </row>
    <row r="5334" spans="1:4">
      <c r="A5334" s="2">
        <v>292</v>
      </c>
      <c r="B5334" s="2" t="s">
        <v>854</v>
      </c>
      <c r="C5334" s="2" t="s">
        <v>6218</v>
      </c>
      <c r="D5334" s="2"/>
    </row>
    <row r="5335" spans="1:4">
      <c r="A5335" s="3">
        <v>292</v>
      </c>
      <c r="B5335" s="3" t="s">
        <v>854</v>
      </c>
      <c r="C5335" s="3" t="s">
        <v>6219</v>
      </c>
      <c r="D5335" s="3"/>
    </row>
    <row r="5336" spans="1:4">
      <c r="A5336" s="2">
        <v>292</v>
      </c>
      <c r="B5336" s="2" t="s">
        <v>854</v>
      </c>
      <c r="C5336" s="2" t="s">
        <v>6220</v>
      </c>
      <c r="D5336" s="2"/>
    </row>
    <row r="5337" spans="1:4">
      <c r="A5337" s="3">
        <v>292</v>
      </c>
      <c r="B5337" s="3" t="s">
        <v>854</v>
      </c>
      <c r="C5337" s="3" t="s">
        <v>6220</v>
      </c>
      <c r="D5337" s="3"/>
    </row>
    <row r="5338" spans="1:4">
      <c r="A5338" s="2">
        <v>295</v>
      </c>
      <c r="B5338" s="2" t="s">
        <v>854</v>
      </c>
      <c r="C5338" s="2" t="s">
        <v>6221</v>
      </c>
      <c r="D5338" s="2"/>
    </row>
    <row r="5339" spans="1:4">
      <c r="A5339" s="3">
        <v>295</v>
      </c>
      <c r="B5339" s="3" t="s">
        <v>854</v>
      </c>
      <c r="C5339" s="3" t="s">
        <v>6222</v>
      </c>
      <c r="D5339" s="3"/>
    </row>
    <row r="5340" spans="1:4">
      <c r="A5340" s="2">
        <v>295</v>
      </c>
      <c r="B5340" s="2" t="s">
        <v>854</v>
      </c>
      <c r="C5340" s="2" t="s">
        <v>6223</v>
      </c>
      <c r="D5340" s="2"/>
    </row>
    <row r="5341" spans="1:4">
      <c r="A5341" s="3">
        <v>295</v>
      </c>
      <c r="B5341" s="3" t="s">
        <v>854</v>
      </c>
      <c r="C5341" s="3" t="s">
        <v>6224</v>
      </c>
      <c r="D5341" s="3"/>
    </row>
    <row r="5342" spans="1:4">
      <c r="A5342" s="2">
        <v>295</v>
      </c>
      <c r="B5342" s="2" t="s">
        <v>854</v>
      </c>
      <c r="C5342" s="2" t="s">
        <v>6225</v>
      </c>
      <c r="D5342" s="2"/>
    </row>
    <row r="5343" spans="1:4">
      <c r="A5343" s="3">
        <v>295</v>
      </c>
      <c r="B5343" s="3" t="s">
        <v>854</v>
      </c>
      <c r="C5343" s="3" t="s">
        <v>6226</v>
      </c>
      <c r="D5343" s="3"/>
    </row>
    <row r="5344" spans="1:4">
      <c r="A5344" s="2">
        <v>295</v>
      </c>
      <c r="B5344" s="2" t="s">
        <v>854</v>
      </c>
      <c r="C5344" s="2" t="s">
        <v>6227</v>
      </c>
      <c r="D5344" s="2"/>
    </row>
    <row r="5345" spans="1:4">
      <c r="A5345" s="3">
        <v>295</v>
      </c>
      <c r="B5345" s="3" t="s">
        <v>854</v>
      </c>
      <c r="C5345" s="3" t="s">
        <v>6228</v>
      </c>
      <c r="D5345" s="3"/>
    </row>
    <row r="5346" spans="1:4">
      <c r="A5346" s="2">
        <v>295</v>
      </c>
      <c r="B5346" s="2" t="s">
        <v>854</v>
      </c>
      <c r="C5346" s="2" t="s">
        <v>6229</v>
      </c>
      <c r="D5346" s="2"/>
    </row>
    <row r="5347" spans="1:4">
      <c r="A5347" s="3">
        <v>295</v>
      </c>
      <c r="B5347" s="3" t="s">
        <v>854</v>
      </c>
      <c r="C5347" s="3" t="s">
        <v>6230</v>
      </c>
      <c r="D5347" s="3"/>
    </row>
    <row r="5348" spans="1:4">
      <c r="A5348" s="2">
        <v>295</v>
      </c>
      <c r="B5348" s="2" t="s">
        <v>854</v>
      </c>
      <c r="C5348" s="2" t="s">
        <v>6231</v>
      </c>
      <c r="D5348" s="2"/>
    </row>
    <row r="5349" spans="1:4">
      <c r="A5349" s="3">
        <v>295</v>
      </c>
      <c r="B5349" s="3" t="s">
        <v>854</v>
      </c>
      <c r="C5349" s="3" t="s">
        <v>6232</v>
      </c>
      <c r="D5349" s="3"/>
    </row>
    <row r="5350" spans="1:4">
      <c r="A5350" s="2">
        <v>295</v>
      </c>
      <c r="B5350" s="2" t="s">
        <v>854</v>
      </c>
      <c r="C5350" s="2" t="s">
        <v>6233</v>
      </c>
      <c r="D5350" s="2"/>
    </row>
    <row r="5351" spans="1:4">
      <c r="A5351" s="3">
        <v>295</v>
      </c>
      <c r="B5351" s="3" t="s">
        <v>854</v>
      </c>
      <c r="C5351" s="3" t="s">
        <v>6234</v>
      </c>
      <c r="D5351" s="3"/>
    </row>
    <row r="5352" spans="1:4">
      <c r="A5352" s="2">
        <v>295</v>
      </c>
      <c r="B5352" s="2" t="s">
        <v>854</v>
      </c>
      <c r="C5352" s="2" t="s">
        <v>6235</v>
      </c>
      <c r="D5352" s="2"/>
    </row>
    <row r="5353" spans="1:4">
      <c r="A5353" s="3">
        <v>295</v>
      </c>
      <c r="B5353" s="3" t="s">
        <v>854</v>
      </c>
      <c r="C5353" s="3" t="s">
        <v>6236</v>
      </c>
      <c r="D5353" s="3"/>
    </row>
    <row r="5354" spans="1:4">
      <c r="A5354" s="2">
        <v>295</v>
      </c>
      <c r="B5354" s="2" t="s">
        <v>854</v>
      </c>
      <c r="C5354" s="2" t="s">
        <v>6237</v>
      </c>
      <c r="D5354" s="2"/>
    </row>
    <row r="5355" spans="1:4">
      <c r="A5355" s="3">
        <v>295</v>
      </c>
      <c r="B5355" s="3" t="s">
        <v>854</v>
      </c>
      <c r="C5355" s="3" t="s">
        <v>6238</v>
      </c>
      <c r="D5355" s="3"/>
    </row>
    <row r="5356" spans="1:4">
      <c r="A5356" s="2">
        <v>295</v>
      </c>
      <c r="B5356" s="2" t="s">
        <v>854</v>
      </c>
      <c r="C5356" s="2" t="s">
        <v>6239</v>
      </c>
      <c r="D5356" s="2"/>
    </row>
    <row r="5357" spans="1:4">
      <c r="A5357" s="3">
        <v>295</v>
      </c>
      <c r="B5357" s="3" t="s">
        <v>854</v>
      </c>
      <c r="C5357" s="3" t="s">
        <v>6240</v>
      </c>
      <c r="D5357" s="3"/>
    </row>
    <row r="5358" spans="1:4">
      <c r="A5358" s="2">
        <v>295</v>
      </c>
      <c r="B5358" s="2" t="s">
        <v>854</v>
      </c>
      <c r="C5358" s="2" t="s">
        <v>6241</v>
      </c>
      <c r="D5358" s="2"/>
    </row>
    <row r="5359" spans="1:4">
      <c r="A5359" s="3">
        <v>295</v>
      </c>
      <c r="B5359" s="3" t="s">
        <v>854</v>
      </c>
      <c r="C5359" s="3" t="s">
        <v>6242</v>
      </c>
      <c r="D5359" s="3"/>
    </row>
    <row r="5360" spans="1:4">
      <c r="A5360" s="2">
        <v>295</v>
      </c>
      <c r="B5360" s="2" t="s">
        <v>854</v>
      </c>
      <c r="C5360" s="2" t="s">
        <v>6243</v>
      </c>
      <c r="D5360" s="2"/>
    </row>
    <row r="5361" spans="1:4">
      <c r="A5361" s="3">
        <v>295</v>
      </c>
      <c r="B5361" s="3" t="s">
        <v>854</v>
      </c>
      <c r="C5361" s="3" t="s">
        <v>6244</v>
      </c>
      <c r="D5361" s="3"/>
    </row>
    <row r="5362" spans="1:4">
      <c r="A5362" s="2">
        <v>295</v>
      </c>
      <c r="B5362" s="2" t="s">
        <v>854</v>
      </c>
      <c r="C5362" s="2" t="s">
        <v>6245</v>
      </c>
      <c r="D5362" s="2"/>
    </row>
    <row r="5363" spans="1:4">
      <c r="A5363" s="3">
        <v>295</v>
      </c>
      <c r="B5363" s="3" t="s">
        <v>854</v>
      </c>
      <c r="C5363" s="3" t="s">
        <v>6246</v>
      </c>
      <c r="D5363" s="3"/>
    </row>
    <row r="5364" spans="1:4">
      <c r="A5364" s="2">
        <v>295</v>
      </c>
      <c r="B5364" s="2" t="s">
        <v>854</v>
      </c>
      <c r="C5364" s="2" t="s">
        <v>6247</v>
      </c>
      <c r="D5364" s="2"/>
    </row>
    <row r="5365" spans="1:4">
      <c r="A5365" s="3">
        <v>295</v>
      </c>
      <c r="B5365" s="3" t="s">
        <v>854</v>
      </c>
      <c r="C5365" s="3" t="s">
        <v>6248</v>
      </c>
      <c r="D5365" s="3"/>
    </row>
    <row r="5366" spans="1:4">
      <c r="A5366" s="2">
        <v>295</v>
      </c>
      <c r="B5366" s="2" t="s">
        <v>854</v>
      </c>
      <c r="C5366" s="2" t="s">
        <v>6249</v>
      </c>
      <c r="D5366" s="2"/>
    </row>
    <row r="5367" spans="1:4">
      <c r="A5367" s="3">
        <v>295</v>
      </c>
      <c r="B5367" s="3" t="s">
        <v>854</v>
      </c>
      <c r="C5367" s="3" t="s">
        <v>6250</v>
      </c>
      <c r="D5367" s="3"/>
    </row>
    <row r="5368" spans="1:4">
      <c r="A5368" s="2">
        <v>295</v>
      </c>
      <c r="B5368" s="2" t="s">
        <v>854</v>
      </c>
      <c r="C5368" s="2" t="s">
        <v>6251</v>
      </c>
      <c r="D5368" s="2"/>
    </row>
    <row r="5369" spans="1:4">
      <c r="A5369" s="3">
        <v>295</v>
      </c>
      <c r="B5369" s="3" t="s">
        <v>854</v>
      </c>
      <c r="C5369" s="3" t="s">
        <v>6252</v>
      </c>
      <c r="D5369" s="3"/>
    </row>
    <row r="5370" spans="1:4">
      <c r="A5370" s="2">
        <v>295</v>
      </c>
      <c r="B5370" s="2" t="s">
        <v>854</v>
      </c>
      <c r="C5370" s="2" t="s">
        <v>6253</v>
      </c>
      <c r="D5370" s="2"/>
    </row>
    <row r="5371" spans="1:4">
      <c r="A5371" s="3">
        <v>295</v>
      </c>
      <c r="B5371" s="3" t="s">
        <v>854</v>
      </c>
      <c r="C5371" s="3" t="s">
        <v>6254</v>
      </c>
      <c r="D5371" s="3"/>
    </row>
    <row r="5372" spans="1:4">
      <c r="A5372" s="2">
        <v>295</v>
      </c>
      <c r="B5372" s="2" t="s">
        <v>854</v>
      </c>
      <c r="C5372" s="2" t="s">
        <v>6255</v>
      </c>
      <c r="D5372" s="2"/>
    </row>
    <row r="5373" spans="1:4">
      <c r="A5373" s="3">
        <v>295</v>
      </c>
      <c r="B5373" s="3" t="s">
        <v>854</v>
      </c>
      <c r="C5373" s="3" t="s">
        <v>6256</v>
      </c>
      <c r="D5373" s="3"/>
    </row>
    <row r="5374" spans="1:4">
      <c r="A5374" s="2">
        <v>295</v>
      </c>
      <c r="B5374" s="2" t="s">
        <v>854</v>
      </c>
      <c r="C5374" s="2" t="s">
        <v>6257</v>
      </c>
      <c r="D5374" s="2"/>
    </row>
    <row r="5375" spans="1:4">
      <c r="A5375" s="3">
        <v>295</v>
      </c>
      <c r="B5375" s="3" t="s">
        <v>854</v>
      </c>
      <c r="C5375" s="3" t="s">
        <v>6258</v>
      </c>
      <c r="D5375" s="3"/>
    </row>
    <row r="5376" spans="1:4">
      <c r="A5376" s="2">
        <v>295</v>
      </c>
      <c r="B5376" s="2" t="s">
        <v>854</v>
      </c>
      <c r="C5376" s="2" t="s">
        <v>6259</v>
      </c>
      <c r="D5376" s="2"/>
    </row>
    <row r="5377" spans="1:4">
      <c r="A5377" s="3">
        <v>295</v>
      </c>
      <c r="B5377" s="3" t="s">
        <v>854</v>
      </c>
      <c r="C5377" s="3" t="s">
        <v>6260</v>
      </c>
      <c r="D5377" s="3"/>
    </row>
    <row r="5378" spans="1:4">
      <c r="A5378" s="2">
        <v>295</v>
      </c>
      <c r="B5378" s="2" t="s">
        <v>854</v>
      </c>
      <c r="C5378" s="2" t="s">
        <v>6261</v>
      </c>
      <c r="D5378" s="2"/>
    </row>
    <row r="5379" spans="1:4">
      <c r="A5379" s="3">
        <v>295</v>
      </c>
      <c r="B5379" s="3" t="s">
        <v>854</v>
      </c>
      <c r="C5379" s="3" t="s">
        <v>6262</v>
      </c>
      <c r="D5379" s="3"/>
    </row>
    <row r="5380" spans="1:4">
      <c r="A5380" s="2">
        <v>295</v>
      </c>
      <c r="B5380" s="2" t="s">
        <v>854</v>
      </c>
      <c r="C5380" s="2" t="s">
        <v>6263</v>
      </c>
      <c r="D5380" s="2"/>
    </row>
    <row r="5381" spans="1:4">
      <c r="A5381" s="3">
        <v>295</v>
      </c>
      <c r="B5381" s="3" t="s">
        <v>854</v>
      </c>
      <c r="C5381" s="3" t="s">
        <v>6264</v>
      </c>
      <c r="D5381" s="3"/>
    </row>
    <row r="5382" spans="1:4">
      <c r="A5382" s="2">
        <v>295</v>
      </c>
      <c r="B5382" s="2" t="s">
        <v>854</v>
      </c>
      <c r="C5382" s="2" t="s">
        <v>6263</v>
      </c>
      <c r="D5382" s="2"/>
    </row>
    <row r="5383" spans="1:4">
      <c r="A5383" s="3">
        <v>295</v>
      </c>
      <c r="B5383" s="3" t="s">
        <v>854</v>
      </c>
      <c r="C5383" s="3" t="s">
        <v>6265</v>
      </c>
      <c r="D5383" s="3"/>
    </row>
    <row r="5384" spans="1:4">
      <c r="A5384" s="2">
        <v>295</v>
      </c>
      <c r="B5384" s="2" t="s">
        <v>854</v>
      </c>
      <c r="C5384" s="2" t="s">
        <v>6266</v>
      </c>
      <c r="D5384" s="2"/>
    </row>
    <row r="5385" spans="1:4">
      <c r="A5385" s="3">
        <v>295</v>
      </c>
      <c r="B5385" s="3" t="s">
        <v>854</v>
      </c>
      <c r="C5385" s="3" t="s">
        <v>6267</v>
      </c>
      <c r="D5385" s="3"/>
    </row>
    <row r="5386" spans="1:4">
      <c r="A5386" s="2">
        <v>295</v>
      </c>
      <c r="B5386" s="2" t="s">
        <v>854</v>
      </c>
      <c r="C5386" s="2" t="s">
        <v>6268</v>
      </c>
      <c r="D5386" s="2"/>
    </row>
    <row r="5387" spans="1:4">
      <c r="A5387" s="3">
        <v>295</v>
      </c>
      <c r="B5387" s="3" t="s">
        <v>854</v>
      </c>
      <c r="C5387" s="3" t="s">
        <v>6269</v>
      </c>
      <c r="D5387" s="3"/>
    </row>
    <row r="5388" spans="1:4">
      <c r="A5388" s="2">
        <v>296</v>
      </c>
      <c r="B5388" s="2" t="s">
        <v>854</v>
      </c>
      <c r="C5388" s="2" t="s">
        <v>6270</v>
      </c>
      <c r="D5388" s="2"/>
    </row>
    <row r="5389" spans="1:4">
      <c r="A5389" s="3">
        <v>296</v>
      </c>
      <c r="B5389" s="3" t="s">
        <v>854</v>
      </c>
      <c r="C5389" s="3" t="s">
        <v>6271</v>
      </c>
      <c r="D5389" s="3"/>
    </row>
    <row r="5390" spans="1:4">
      <c r="A5390" s="2">
        <v>296</v>
      </c>
      <c r="B5390" s="2" t="s">
        <v>854</v>
      </c>
      <c r="C5390" s="2" t="s">
        <v>6272</v>
      </c>
      <c r="D5390" s="2"/>
    </row>
    <row r="5391" spans="1:4">
      <c r="A5391" s="3">
        <v>296</v>
      </c>
      <c r="B5391" s="3" t="s">
        <v>854</v>
      </c>
      <c r="C5391" s="3" t="s">
        <v>6273</v>
      </c>
      <c r="D5391" s="3"/>
    </row>
    <row r="5392" spans="1:4">
      <c r="A5392" s="2">
        <v>296</v>
      </c>
      <c r="B5392" s="2" t="s">
        <v>854</v>
      </c>
      <c r="C5392" s="2" t="s">
        <v>6274</v>
      </c>
      <c r="D5392" s="2"/>
    </row>
    <row r="5393" spans="1:4">
      <c r="A5393" s="3">
        <v>296</v>
      </c>
      <c r="B5393" s="3" t="s">
        <v>854</v>
      </c>
      <c r="C5393" s="3" t="s">
        <v>6275</v>
      </c>
      <c r="D5393" s="3"/>
    </row>
    <row r="5394" spans="1:4">
      <c r="A5394" s="2">
        <v>296</v>
      </c>
      <c r="B5394" s="2" t="s">
        <v>854</v>
      </c>
      <c r="C5394" s="2" t="s">
        <v>6276</v>
      </c>
      <c r="D5394" s="2"/>
    </row>
    <row r="5395" spans="1:4">
      <c r="A5395" s="3">
        <v>296</v>
      </c>
      <c r="B5395" s="3" t="s">
        <v>854</v>
      </c>
      <c r="C5395" s="3" t="s">
        <v>6277</v>
      </c>
      <c r="D5395" s="3"/>
    </row>
    <row r="5396" spans="1:4">
      <c r="A5396" s="2">
        <v>296</v>
      </c>
      <c r="B5396" s="2" t="s">
        <v>854</v>
      </c>
      <c r="C5396" s="2" t="s">
        <v>6278</v>
      </c>
      <c r="D5396" s="2"/>
    </row>
    <row r="5397" spans="1:4">
      <c r="A5397" s="3">
        <v>296</v>
      </c>
      <c r="B5397" s="3" t="s">
        <v>854</v>
      </c>
      <c r="C5397" s="3" t="s">
        <v>6279</v>
      </c>
      <c r="D5397" s="3"/>
    </row>
    <row r="5398" spans="1:4">
      <c r="A5398" s="2">
        <v>296</v>
      </c>
      <c r="B5398" s="2" t="s">
        <v>854</v>
      </c>
      <c r="C5398" s="2" t="s">
        <v>6280</v>
      </c>
      <c r="D5398" s="2"/>
    </row>
    <row r="5399" spans="1:4">
      <c r="A5399" s="3">
        <v>296</v>
      </c>
      <c r="B5399" s="3" t="s">
        <v>854</v>
      </c>
      <c r="C5399" s="3" t="s">
        <v>6281</v>
      </c>
      <c r="D5399" s="3"/>
    </row>
    <row r="5400" spans="1:4">
      <c r="A5400" s="2">
        <v>296</v>
      </c>
      <c r="B5400" s="2" t="s">
        <v>854</v>
      </c>
      <c r="C5400" s="2" t="s">
        <v>6282</v>
      </c>
      <c r="D5400" s="2"/>
    </row>
    <row r="5401" spans="1:4">
      <c r="A5401" s="3">
        <v>296</v>
      </c>
      <c r="B5401" s="3" t="s">
        <v>854</v>
      </c>
      <c r="C5401" s="3" t="s">
        <v>6283</v>
      </c>
      <c r="D5401" s="3"/>
    </row>
    <row r="5402" spans="1:4">
      <c r="A5402" s="2">
        <v>296</v>
      </c>
      <c r="B5402" s="2" t="s">
        <v>854</v>
      </c>
      <c r="C5402" s="2" t="s">
        <v>6284</v>
      </c>
      <c r="D5402" s="2"/>
    </row>
    <row r="5403" spans="1:4">
      <c r="A5403" s="3">
        <v>296</v>
      </c>
      <c r="B5403" s="3" t="s">
        <v>854</v>
      </c>
      <c r="C5403" s="3" t="s">
        <v>6285</v>
      </c>
      <c r="D5403" s="3"/>
    </row>
    <row r="5404" spans="1:4">
      <c r="A5404" s="2">
        <v>296</v>
      </c>
      <c r="B5404" s="2" t="s">
        <v>854</v>
      </c>
      <c r="C5404" s="2" t="s">
        <v>6286</v>
      </c>
      <c r="D5404" s="2"/>
    </row>
    <row r="5405" spans="1:4">
      <c r="A5405" s="3">
        <v>296</v>
      </c>
      <c r="B5405" s="3" t="s">
        <v>854</v>
      </c>
      <c r="C5405" s="3" t="s">
        <v>6287</v>
      </c>
      <c r="D5405" s="3"/>
    </row>
    <row r="5406" spans="1:4">
      <c r="A5406" s="2">
        <v>296</v>
      </c>
      <c r="B5406" s="2" t="s">
        <v>854</v>
      </c>
      <c r="C5406" s="2" t="s">
        <v>6288</v>
      </c>
      <c r="D5406" s="2"/>
    </row>
    <row r="5407" spans="1:4">
      <c r="A5407" s="3">
        <v>296</v>
      </c>
      <c r="B5407" s="3" t="s">
        <v>854</v>
      </c>
      <c r="C5407" s="3" t="s">
        <v>6289</v>
      </c>
      <c r="D5407" s="3"/>
    </row>
    <row r="5408" spans="1:4">
      <c r="A5408" s="2">
        <v>296</v>
      </c>
      <c r="B5408" s="2" t="s">
        <v>854</v>
      </c>
      <c r="C5408" s="2" t="s">
        <v>6290</v>
      </c>
      <c r="D5408" s="2"/>
    </row>
    <row r="5409" spans="1:4">
      <c r="A5409" s="3">
        <v>296</v>
      </c>
      <c r="B5409" s="3" t="s">
        <v>854</v>
      </c>
      <c r="C5409" s="3" t="s">
        <v>6291</v>
      </c>
      <c r="D5409" s="3"/>
    </row>
    <row r="5410" spans="1:4">
      <c r="A5410" s="2">
        <v>296</v>
      </c>
      <c r="B5410" s="2" t="s">
        <v>854</v>
      </c>
      <c r="C5410" s="2" t="s">
        <v>6292</v>
      </c>
      <c r="D5410" s="2"/>
    </row>
    <row r="5411" spans="1:4">
      <c r="A5411" s="3">
        <v>296</v>
      </c>
      <c r="B5411" s="3" t="s">
        <v>854</v>
      </c>
      <c r="C5411" s="3" t="s">
        <v>6293</v>
      </c>
      <c r="D5411" s="3"/>
    </row>
    <row r="5412" spans="1:4">
      <c r="A5412" s="2">
        <v>296</v>
      </c>
      <c r="B5412" s="2" t="s">
        <v>854</v>
      </c>
      <c r="C5412" s="2" t="s">
        <v>6294</v>
      </c>
      <c r="D5412" s="2"/>
    </row>
    <row r="5413" spans="1:4">
      <c r="A5413" s="3">
        <v>296</v>
      </c>
      <c r="B5413" s="3" t="s">
        <v>854</v>
      </c>
      <c r="C5413" s="3" t="s">
        <v>6295</v>
      </c>
      <c r="D5413" s="3"/>
    </row>
    <row r="5414" spans="1:4">
      <c r="A5414" s="2">
        <v>296</v>
      </c>
      <c r="B5414" s="2" t="s">
        <v>854</v>
      </c>
      <c r="C5414" s="2" t="s">
        <v>6296</v>
      </c>
      <c r="D5414" s="2"/>
    </row>
    <row r="5415" spans="1:4">
      <c r="A5415" s="3">
        <v>296</v>
      </c>
      <c r="B5415" s="3" t="s">
        <v>854</v>
      </c>
      <c r="C5415" s="3" t="s">
        <v>6297</v>
      </c>
      <c r="D5415" s="3"/>
    </row>
    <row r="5416" spans="1:4">
      <c r="A5416" s="2">
        <v>296</v>
      </c>
      <c r="B5416" s="2" t="s">
        <v>854</v>
      </c>
      <c r="C5416" s="2" t="s">
        <v>6298</v>
      </c>
      <c r="D5416" s="2"/>
    </row>
    <row r="5417" spans="1:4">
      <c r="A5417" s="3">
        <v>296</v>
      </c>
      <c r="B5417" s="3" t="s">
        <v>854</v>
      </c>
      <c r="C5417" s="3" t="s">
        <v>6299</v>
      </c>
      <c r="D5417" s="3"/>
    </row>
    <row r="5418" spans="1:4">
      <c r="A5418" s="2">
        <v>296</v>
      </c>
      <c r="B5418" s="2" t="s">
        <v>854</v>
      </c>
      <c r="C5418" s="2" t="s">
        <v>6300</v>
      </c>
      <c r="D5418" s="2"/>
    </row>
    <row r="5419" spans="1:4">
      <c r="A5419" s="3">
        <v>296</v>
      </c>
      <c r="B5419" s="3" t="s">
        <v>854</v>
      </c>
      <c r="C5419" s="3" t="s">
        <v>6301</v>
      </c>
      <c r="D5419" s="3"/>
    </row>
    <row r="5420" spans="1:4">
      <c r="A5420" s="2">
        <v>296</v>
      </c>
      <c r="B5420" s="2" t="s">
        <v>854</v>
      </c>
      <c r="C5420" s="2" t="s">
        <v>6302</v>
      </c>
      <c r="D5420" s="2"/>
    </row>
    <row r="5421" spans="1:4">
      <c r="A5421" s="3">
        <v>296</v>
      </c>
      <c r="B5421" s="3" t="s">
        <v>854</v>
      </c>
      <c r="C5421" s="3" t="s">
        <v>6302</v>
      </c>
      <c r="D5421" s="3"/>
    </row>
    <row r="5422" spans="1:4">
      <c r="A5422" s="2">
        <v>296</v>
      </c>
      <c r="B5422" s="2" t="s">
        <v>854</v>
      </c>
      <c r="C5422" s="2" t="s">
        <v>6303</v>
      </c>
      <c r="D5422" s="2"/>
    </row>
    <row r="5423" spans="1:4">
      <c r="A5423" s="3">
        <v>297</v>
      </c>
      <c r="B5423" s="3" t="s">
        <v>833</v>
      </c>
      <c r="C5423" s="3" t="s">
        <v>6304</v>
      </c>
      <c r="D5423" s="3"/>
    </row>
    <row r="5424" spans="1:4">
      <c r="A5424" s="2">
        <v>297</v>
      </c>
      <c r="B5424" s="2" t="s">
        <v>833</v>
      </c>
      <c r="C5424" s="2" t="s">
        <v>6305</v>
      </c>
      <c r="D5424" s="2"/>
    </row>
    <row r="5425" spans="1:4">
      <c r="A5425" s="3">
        <v>298</v>
      </c>
      <c r="B5425" s="3" t="s">
        <v>854</v>
      </c>
      <c r="C5425" s="3" t="s">
        <v>6306</v>
      </c>
      <c r="D5425" s="3"/>
    </row>
    <row r="5426" spans="1:4">
      <c r="A5426" s="2">
        <v>298</v>
      </c>
      <c r="B5426" s="2" t="s">
        <v>854</v>
      </c>
      <c r="C5426" s="2" t="s">
        <v>6307</v>
      </c>
      <c r="D5426" s="2"/>
    </row>
    <row r="5427" spans="1:4">
      <c r="A5427" s="3">
        <v>298</v>
      </c>
      <c r="B5427" s="3" t="s">
        <v>854</v>
      </c>
      <c r="C5427" s="3" t="s">
        <v>6308</v>
      </c>
      <c r="D5427" s="3"/>
    </row>
    <row r="5428" spans="1:4">
      <c r="A5428" s="2">
        <v>298</v>
      </c>
      <c r="B5428" s="2" t="s">
        <v>854</v>
      </c>
      <c r="C5428" s="2" t="s">
        <v>6309</v>
      </c>
      <c r="D5428" s="2"/>
    </row>
    <row r="5429" spans="1:4">
      <c r="A5429" s="3">
        <v>298</v>
      </c>
      <c r="B5429" s="3" t="s">
        <v>854</v>
      </c>
      <c r="C5429" s="3" t="s">
        <v>6310</v>
      </c>
      <c r="D5429" s="3"/>
    </row>
    <row r="5430" spans="1:4">
      <c r="A5430" s="2">
        <v>298</v>
      </c>
      <c r="B5430" s="2" t="s">
        <v>854</v>
      </c>
      <c r="C5430" s="2" t="s">
        <v>6311</v>
      </c>
      <c r="D5430" s="2"/>
    </row>
    <row r="5431" spans="1:4">
      <c r="A5431" s="3">
        <v>298</v>
      </c>
      <c r="B5431" s="3" t="s">
        <v>854</v>
      </c>
      <c r="C5431" s="3" t="s">
        <v>6312</v>
      </c>
      <c r="D5431" s="3"/>
    </row>
    <row r="5432" spans="1:4">
      <c r="A5432" s="2">
        <v>298</v>
      </c>
      <c r="B5432" s="2" t="s">
        <v>854</v>
      </c>
      <c r="C5432" s="2" t="s">
        <v>6313</v>
      </c>
      <c r="D5432" s="2"/>
    </row>
    <row r="5433" spans="1:4">
      <c r="A5433" s="3">
        <v>298</v>
      </c>
      <c r="B5433" s="3" t="s">
        <v>854</v>
      </c>
      <c r="C5433" s="3" t="s">
        <v>6314</v>
      </c>
      <c r="D5433" s="3"/>
    </row>
    <row r="5434" spans="1:4">
      <c r="A5434" s="2">
        <v>298</v>
      </c>
      <c r="B5434" s="2" t="s">
        <v>854</v>
      </c>
      <c r="C5434" s="2" t="s">
        <v>6315</v>
      </c>
      <c r="D5434" s="2"/>
    </row>
    <row r="5435" spans="1:4">
      <c r="A5435" s="3">
        <v>298</v>
      </c>
      <c r="B5435" s="3" t="s">
        <v>854</v>
      </c>
      <c r="C5435" s="3" t="s">
        <v>6316</v>
      </c>
      <c r="D5435" s="3"/>
    </row>
    <row r="5436" spans="1:4">
      <c r="A5436" s="2">
        <v>298</v>
      </c>
      <c r="B5436" s="2" t="s">
        <v>854</v>
      </c>
      <c r="C5436" s="2" t="s">
        <v>6317</v>
      </c>
      <c r="D5436" s="2"/>
    </row>
    <row r="5437" spans="1:4">
      <c r="A5437" s="3">
        <v>298</v>
      </c>
      <c r="B5437" s="3" t="s">
        <v>854</v>
      </c>
      <c r="C5437" s="3" t="s">
        <v>6318</v>
      </c>
      <c r="D5437" s="3"/>
    </row>
    <row r="5438" spans="1:4">
      <c r="A5438" s="2">
        <v>298</v>
      </c>
      <c r="B5438" s="2" t="s">
        <v>854</v>
      </c>
      <c r="C5438" s="2" t="s">
        <v>6319</v>
      </c>
      <c r="D5438" s="2"/>
    </row>
    <row r="5439" spans="1:4">
      <c r="A5439" s="3">
        <v>298</v>
      </c>
      <c r="B5439" s="3" t="s">
        <v>854</v>
      </c>
      <c r="C5439" s="3" t="s">
        <v>6320</v>
      </c>
      <c r="D5439" s="3"/>
    </row>
    <row r="5440" spans="1:4">
      <c r="A5440" s="2">
        <v>298</v>
      </c>
      <c r="B5440" s="2" t="s">
        <v>854</v>
      </c>
      <c r="C5440" s="2" t="s">
        <v>6222</v>
      </c>
      <c r="D5440" s="2"/>
    </row>
    <row r="5441" spans="1:4">
      <c r="A5441" s="3">
        <v>298</v>
      </c>
      <c r="B5441" s="3" t="s">
        <v>854</v>
      </c>
      <c r="C5441" s="3" t="s">
        <v>6321</v>
      </c>
      <c r="D5441" s="3"/>
    </row>
    <row r="5442" spans="1:4">
      <c r="A5442" s="2">
        <v>298</v>
      </c>
      <c r="B5442" s="2" t="s">
        <v>854</v>
      </c>
      <c r="C5442" s="2" t="s">
        <v>6322</v>
      </c>
      <c r="D5442" s="2"/>
    </row>
    <row r="5443" spans="1:4">
      <c r="A5443" s="3">
        <v>298</v>
      </c>
      <c r="B5443" s="3" t="s">
        <v>854</v>
      </c>
      <c r="C5443" s="3" t="s">
        <v>6323</v>
      </c>
      <c r="D5443" s="3"/>
    </row>
    <row r="5444" spans="1:4">
      <c r="A5444" s="2">
        <v>298</v>
      </c>
      <c r="B5444" s="2" t="s">
        <v>854</v>
      </c>
      <c r="C5444" s="2" t="s">
        <v>6324</v>
      </c>
      <c r="D5444" s="2"/>
    </row>
    <row r="5445" spans="1:4">
      <c r="A5445" s="3">
        <v>298</v>
      </c>
      <c r="B5445" s="3" t="s">
        <v>854</v>
      </c>
      <c r="C5445" s="3" t="s">
        <v>6325</v>
      </c>
      <c r="D5445" s="3"/>
    </row>
    <row r="5446" spans="1:4">
      <c r="A5446" s="2">
        <v>298</v>
      </c>
      <c r="B5446" s="2" t="s">
        <v>854</v>
      </c>
      <c r="C5446" s="2" t="s">
        <v>6326</v>
      </c>
      <c r="D5446" s="2"/>
    </row>
    <row r="5447" spans="1:4">
      <c r="A5447" s="3">
        <v>298</v>
      </c>
      <c r="B5447" s="3" t="s">
        <v>854</v>
      </c>
      <c r="C5447" s="3" t="s">
        <v>6327</v>
      </c>
      <c r="D5447" s="3"/>
    </row>
    <row r="5448" spans="1:4">
      <c r="A5448" s="2">
        <v>298</v>
      </c>
      <c r="B5448" s="2" t="s">
        <v>854</v>
      </c>
      <c r="C5448" s="2" t="s">
        <v>6328</v>
      </c>
      <c r="D5448" s="2"/>
    </row>
    <row r="5449" spans="1:4">
      <c r="A5449" s="3">
        <v>298</v>
      </c>
      <c r="B5449" s="3" t="s">
        <v>854</v>
      </c>
      <c r="C5449" s="3" t="s">
        <v>6329</v>
      </c>
      <c r="D5449" s="3"/>
    </row>
    <row r="5450" spans="1:4">
      <c r="A5450" s="2">
        <v>298</v>
      </c>
      <c r="B5450" s="2" t="s">
        <v>854</v>
      </c>
      <c r="C5450" s="2" t="s">
        <v>6330</v>
      </c>
      <c r="D5450" s="2"/>
    </row>
    <row r="5451" spans="1:4">
      <c r="A5451" s="3">
        <v>298</v>
      </c>
      <c r="B5451" s="3" t="s">
        <v>854</v>
      </c>
      <c r="C5451" s="3" t="s">
        <v>6331</v>
      </c>
      <c r="D5451" s="3"/>
    </row>
    <row r="5452" spans="1:4">
      <c r="A5452" s="2">
        <v>298</v>
      </c>
      <c r="B5452" s="2" t="s">
        <v>854</v>
      </c>
      <c r="C5452" s="2" t="s">
        <v>6332</v>
      </c>
      <c r="D5452" s="2"/>
    </row>
    <row r="5453" spans="1:4">
      <c r="A5453" s="3">
        <v>298</v>
      </c>
      <c r="B5453" s="3" t="s">
        <v>854</v>
      </c>
      <c r="C5453" s="3" t="s">
        <v>6333</v>
      </c>
      <c r="D5453" s="3"/>
    </row>
    <row r="5454" spans="1:4">
      <c r="A5454" s="2">
        <v>298</v>
      </c>
      <c r="B5454" s="2" t="s">
        <v>854</v>
      </c>
      <c r="C5454" s="2" t="s">
        <v>6334</v>
      </c>
      <c r="D5454" s="2"/>
    </row>
    <row r="5455" spans="1:4">
      <c r="A5455" s="3">
        <v>298</v>
      </c>
      <c r="B5455" s="3" t="s">
        <v>854</v>
      </c>
      <c r="C5455" s="3" t="s">
        <v>6335</v>
      </c>
      <c r="D5455" s="3"/>
    </row>
    <row r="5456" spans="1:4">
      <c r="A5456" s="2">
        <v>298</v>
      </c>
      <c r="B5456" s="2" t="s">
        <v>854</v>
      </c>
      <c r="C5456" s="2" t="s">
        <v>6336</v>
      </c>
      <c r="D5456" s="2"/>
    </row>
    <row r="5457" spans="1:4">
      <c r="A5457" s="3">
        <v>298</v>
      </c>
      <c r="B5457" s="3" t="s">
        <v>854</v>
      </c>
      <c r="C5457" s="3" t="s">
        <v>6337</v>
      </c>
      <c r="D5457" s="3"/>
    </row>
    <row r="5458" spans="1:4">
      <c r="A5458" s="2">
        <v>298</v>
      </c>
      <c r="B5458" s="2" t="s">
        <v>854</v>
      </c>
      <c r="C5458" s="2" t="s">
        <v>6338</v>
      </c>
      <c r="D5458" s="2"/>
    </row>
    <row r="5459" spans="1:4">
      <c r="A5459" s="3">
        <v>298</v>
      </c>
      <c r="B5459" s="3" t="s">
        <v>854</v>
      </c>
      <c r="C5459" s="3" t="s">
        <v>6339</v>
      </c>
      <c r="D5459" s="3"/>
    </row>
    <row r="5460" spans="1:4">
      <c r="A5460" s="2">
        <v>298</v>
      </c>
      <c r="B5460" s="2" t="s">
        <v>854</v>
      </c>
      <c r="C5460" s="2" t="s">
        <v>6340</v>
      </c>
      <c r="D5460" s="2"/>
    </row>
    <row r="5461" spans="1:4">
      <c r="A5461" s="3">
        <v>298</v>
      </c>
      <c r="B5461" s="3" t="s">
        <v>854</v>
      </c>
      <c r="C5461" s="3">
        <f>/lparenori/UPnabla·T/rparenori·r+∑</f>
        <v>0</v>
      </c>
      <c r="D5461" s="3"/>
    </row>
    <row r="5462" spans="1:4">
      <c r="A5462" s="2">
        <v>299</v>
      </c>
      <c r="B5462" s="2" t="s">
        <v>854</v>
      </c>
      <c r="C5462" s="2" t="s">
        <v>6341</v>
      </c>
      <c r="D5462" s="2"/>
    </row>
    <row r="5463" spans="1:4">
      <c r="A5463" s="3">
        <v>299</v>
      </c>
      <c r="B5463" s="3" t="s">
        <v>854</v>
      </c>
      <c r="C5463" s="3" t="s">
        <v>6342</v>
      </c>
      <c r="D5463" s="3"/>
    </row>
    <row r="5464" spans="1:4">
      <c r="A5464" s="2">
        <v>299</v>
      </c>
      <c r="B5464" s="2" t="s">
        <v>854</v>
      </c>
      <c r="C5464" s="2" t="s">
        <v>6343</v>
      </c>
      <c r="D5464" s="2"/>
    </row>
    <row r="5465" spans="1:4">
      <c r="A5465" s="3">
        <v>299</v>
      </c>
      <c r="B5465" s="3" t="s">
        <v>854</v>
      </c>
      <c r="C5465" s="3" t="s">
        <v>6344</v>
      </c>
      <c r="D5465" s="3"/>
    </row>
    <row r="5466" spans="1:4">
      <c r="A5466" s="2">
        <v>299</v>
      </c>
      <c r="B5466" s="2" t="s">
        <v>854</v>
      </c>
      <c r="C5466" s="2" t="s">
        <v>6345</v>
      </c>
      <c r="D5466" s="2"/>
    </row>
    <row r="5467" spans="1:4">
      <c r="A5467" s="3">
        <v>299</v>
      </c>
      <c r="B5467" s="3" t="s">
        <v>854</v>
      </c>
      <c r="C5467" s="3" t="s">
        <v>6346</v>
      </c>
      <c r="D5467" s="3"/>
    </row>
    <row r="5468" spans="1:4">
      <c r="A5468" s="2">
        <v>299</v>
      </c>
      <c r="B5468" s="2" t="s">
        <v>854</v>
      </c>
      <c r="C5468" s="2" t="s">
        <v>6347</v>
      </c>
      <c r="D5468" s="2"/>
    </row>
    <row r="5469" spans="1:4">
      <c r="A5469" s="3">
        <v>299</v>
      </c>
      <c r="B5469" s="3" t="s">
        <v>854</v>
      </c>
      <c r="C5469" s="3" t="s">
        <v>6348</v>
      </c>
      <c r="D5469" s="3"/>
    </row>
    <row r="5470" spans="1:4">
      <c r="A5470" s="2">
        <v>299</v>
      </c>
      <c r="B5470" s="2" t="s">
        <v>854</v>
      </c>
      <c r="C5470" s="2" t="s">
        <v>6349</v>
      </c>
      <c r="D5470" s="2"/>
    </row>
    <row r="5471" spans="1:4">
      <c r="A5471" s="3">
        <v>299</v>
      </c>
      <c r="B5471" s="3" t="s">
        <v>854</v>
      </c>
      <c r="C5471" s="3" t="s">
        <v>6350</v>
      </c>
      <c r="D5471" s="3"/>
    </row>
    <row r="5472" spans="1:4">
      <c r="A5472" s="2">
        <v>299</v>
      </c>
      <c r="B5472" s="2" t="s">
        <v>854</v>
      </c>
      <c r="C5472" s="2" t="s">
        <v>6351</v>
      </c>
      <c r="D5472" s="2"/>
    </row>
    <row r="5473" spans="1:4">
      <c r="A5473" s="3">
        <v>299</v>
      </c>
      <c r="B5473" s="3" t="s">
        <v>854</v>
      </c>
      <c r="C5473" s="3" t="s">
        <v>6352</v>
      </c>
      <c r="D5473" s="3"/>
    </row>
    <row r="5474" spans="1:4">
      <c r="A5474" s="2">
        <v>299</v>
      </c>
      <c r="B5474" s="2" t="s">
        <v>854</v>
      </c>
      <c r="C5474" s="2" t="s">
        <v>6353</v>
      </c>
      <c r="D5474" s="2"/>
    </row>
    <row r="5475" spans="1:4">
      <c r="A5475" s="3">
        <v>299</v>
      </c>
      <c r="B5475" s="3" t="s">
        <v>854</v>
      </c>
      <c r="C5475" s="3" t="s">
        <v>6354</v>
      </c>
      <c r="D5475" s="3"/>
    </row>
    <row r="5476" spans="1:4">
      <c r="A5476" s="2">
        <v>299</v>
      </c>
      <c r="B5476" s="2" t="s">
        <v>854</v>
      </c>
      <c r="C5476" s="2" t="s">
        <v>6355</v>
      </c>
      <c r="D5476" s="2"/>
    </row>
    <row r="5477" spans="1:4">
      <c r="A5477" s="3">
        <v>299</v>
      </c>
      <c r="B5477" s="3" t="s">
        <v>854</v>
      </c>
      <c r="C5477" s="3" t="s">
        <v>6356</v>
      </c>
      <c r="D5477" s="3"/>
    </row>
    <row r="5478" spans="1:4">
      <c r="A5478" s="2">
        <v>299</v>
      </c>
      <c r="B5478" s="2" t="s">
        <v>854</v>
      </c>
      <c r="C5478" s="2" t="s">
        <v>6357</v>
      </c>
      <c r="D5478" s="2"/>
    </row>
    <row r="5479" spans="1:4">
      <c r="A5479" s="3">
        <v>299</v>
      </c>
      <c r="B5479" s="3" t="s">
        <v>854</v>
      </c>
      <c r="C5479" s="3" t="s">
        <v>6358</v>
      </c>
      <c r="D5479" s="3"/>
    </row>
    <row r="5480" spans="1:4">
      <c r="A5480" s="2">
        <v>299</v>
      </c>
      <c r="B5480" s="2" t="s">
        <v>854</v>
      </c>
      <c r="C5480" s="2" t="s">
        <v>6359</v>
      </c>
      <c r="D5480" s="2"/>
    </row>
    <row r="5481" spans="1:4">
      <c r="A5481" s="3">
        <v>299</v>
      </c>
      <c r="B5481" s="3" t="s">
        <v>854</v>
      </c>
      <c r="C5481" s="3" t="s">
        <v>6360</v>
      </c>
      <c r="D5481" s="3"/>
    </row>
    <row r="5482" spans="1:4">
      <c r="A5482" s="2">
        <v>299</v>
      </c>
      <c r="B5482" s="2" t="s">
        <v>854</v>
      </c>
      <c r="C5482" s="2" t="s">
        <v>6361</v>
      </c>
      <c r="D5482" s="2"/>
    </row>
    <row r="5483" spans="1:4">
      <c r="A5483" s="3">
        <v>299</v>
      </c>
      <c r="B5483" s="3" t="s">
        <v>854</v>
      </c>
      <c r="C5483" s="3" t="s">
        <v>6362</v>
      </c>
      <c r="D5483" s="3"/>
    </row>
    <row r="5484" spans="1:4">
      <c r="A5484" s="2">
        <v>299</v>
      </c>
      <c r="B5484" s="2" t="s">
        <v>854</v>
      </c>
      <c r="C5484" s="2" t="s">
        <v>6363</v>
      </c>
      <c r="D5484" s="2"/>
    </row>
    <row r="5485" spans="1:4">
      <c r="A5485" s="3">
        <v>299</v>
      </c>
      <c r="B5485" s="3" t="s">
        <v>854</v>
      </c>
      <c r="C5485" s="3">
        <f>∫t0+/SLtau</f>
        <v>0</v>
      </c>
      <c r="D5485" s="3"/>
    </row>
    <row r="5486" spans="1:4">
      <c r="A5486" s="2">
        <v>299</v>
      </c>
      <c r="B5486" s="2" t="s">
        <v>854</v>
      </c>
      <c r="C5486" s="2" t="s">
        <v>6364</v>
      </c>
      <c r="D5486" s="2"/>
    </row>
    <row r="5487" spans="1:4">
      <c r="A5487" s="3">
        <v>299</v>
      </c>
      <c r="B5487" s="3" t="s">
        <v>854</v>
      </c>
      <c r="C5487" s="3" t="s">
        <v>6362</v>
      </c>
      <c r="D5487" s="3"/>
    </row>
    <row r="5488" spans="1:4">
      <c r="A5488" s="2">
        <v>299</v>
      </c>
      <c r="B5488" s="2" t="s">
        <v>854</v>
      </c>
      <c r="C5488" s="2">
        <f>/lbracketorix/lparenorit0/rparenori/rbracketori2/SLomega/lparenorit0/rparenori∫t0+/SLtau</f>
        <v>0</v>
      </c>
      <c r="D5488" s="2"/>
    </row>
    <row r="5489" spans="1:4">
      <c r="A5489" s="3">
        <v>299</v>
      </c>
      <c r="B5489" s="3" t="s">
        <v>854</v>
      </c>
      <c r="C5489" s="3">
        <f>/lbracketorix/lparenorit0/rparenori/rbracketori2/SLomega/lparenorit0/rparenori∫2/SLpi</f>
        <v>0</v>
      </c>
      <c r="D5489" s="3"/>
    </row>
    <row r="5490" spans="1:4">
      <c r="A5490" s="2">
        <v>299</v>
      </c>
      <c r="B5490" s="2" t="s">
        <v>854</v>
      </c>
      <c r="C5490" s="2" t="s">
        <v>6365</v>
      </c>
      <c r="D5490" s="2"/>
    </row>
    <row r="5491" spans="1:4">
      <c r="A5491" s="3">
        <v>299</v>
      </c>
      <c r="B5491" s="3" t="s">
        <v>854</v>
      </c>
      <c r="C5491" s="3" t="s">
        <v>6366</v>
      </c>
      <c r="D5491" s="3"/>
    </row>
    <row r="5492" spans="1:4">
      <c r="A5492" s="2">
        <v>299</v>
      </c>
      <c r="B5492" s="2" t="s">
        <v>854</v>
      </c>
      <c r="C5492" s="2" t="s">
        <v>6367</v>
      </c>
      <c r="D5492" s="2"/>
    </row>
    <row r="5493" spans="1:4">
      <c r="A5493" s="3">
        <v>299</v>
      </c>
      <c r="B5493" s="3" t="s">
        <v>854</v>
      </c>
      <c r="C5493" s="3" t="s">
        <v>6368</v>
      </c>
      <c r="D5493" s="3"/>
    </row>
    <row r="5494" spans="1:4">
      <c r="A5494" s="2">
        <v>299</v>
      </c>
      <c r="B5494" s="2" t="s">
        <v>854</v>
      </c>
      <c r="C5494" s="2" t="s">
        <v>6369</v>
      </c>
      <c r="D5494" s="2"/>
    </row>
    <row r="5495" spans="1:4">
      <c r="A5495" s="3">
        <v>299</v>
      </c>
      <c r="B5495" s="3" t="s">
        <v>854</v>
      </c>
      <c r="C5495" s="3" t="s">
        <v>6370</v>
      </c>
      <c r="D5495" s="3"/>
    </row>
    <row r="5496" spans="1:4">
      <c r="A5496" s="2">
        <v>299</v>
      </c>
      <c r="B5496" s="2" t="s">
        <v>854</v>
      </c>
      <c r="C5496" s="2" t="s">
        <v>6371</v>
      </c>
      <c r="D5496" s="2"/>
    </row>
    <row r="5497" spans="1:4">
      <c r="A5497" s="3">
        <v>299</v>
      </c>
      <c r="B5497" s="3" t="s">
        <v>854</v>
      </c>
      <c r="C5497" s="3" t="s">
        <v>6372</v>
      </c>
      <c r="D5497" s="3"/>
    </row>
    <row r="5498" spans="1:4">
      <c r="A5498" s="2">
        <v>299</v>
      </c>
      <c r="B5498" s="2" t="s">
        <v>854</v>
      </c>
      <c r="C5498" s="2" t="s">
        <v>6373</v>
      </c>
      <c r="D5498" s="2"/>
    </row>
    <row r="5499" spans="1:4">
      <c r="A5499" s="3">
        <v>299</v>
      </c>
      <c r="B5499" s="3" t="s">
        <v>854</v>
      </c>
      <c r="C5499" s="3" t="s">
        <v>6374</v>
      </c>
      <c r="D5499" s="3"/>
    </row>
    <row r="5500" spans="1:4">
      <c r="A5500" s="2">
        <v>299</v>
      </c>
      <c r="B5500" s="2" t="s">
        <v>854</v>
      </c>
      <c r="C5500" s="2" t="s">
        <v>6375</v>
      </c>
      <c r="D5500" s="2"/>
    </row>
    <row r="5501" spans="1:4">
      <c r="A5501" s="3">
        <v>299</v>
      </c>
      <c r="B5501" s="3" t="s">
        <v>854</v>
      </c>
      <c r="C5501" s="3" t="s">
        <v>6376</v>
      </c>
      <c r="D5501" s="3"/>
    </row>
    <row r="5502" spans="1:4">
      <c r="A5502" s="2">
        <v>299</v>
      </c>
      <c r="B5502" s="2" t="s">
        <v>854</v>
      </c>
      <c r="C5502" s="2" t="s">
        <v>6377</v>
      </c>
      <c r="D5502" s="2"/>
    </row>
    <row r="5503" spans="1:4">
      <c r="A5503" s="3">
        <v>299</v>
      </c>
      <c r="B5503" s="3" t="s">
        <v>854</v>
      </c>
      <c r="C5503" s="3" t="s">
        <v>6378</v>
      </c>
      <c r="D5503" s="3"/>
    </row>
    <row r="5504" spans="1:4">
      <c r="A5504" s="2">
        <v>299</v>
      </c>
      <c r="B5504" s="2" t="s">
        <v>854</v>
      </c>
      <c r="C5504" s="2" t="s">
        <v>6379</v>
      </c>
      <c r="D5504" s="2"/>
    </row>
    <row r="5505" spans="1:4">
      <c r="A5505" s="3">
        <v>299</v>
      </c>
      <c r="B5505" s="3" t="s">
        <v>854</v>
      </c>
      <c r="C5505" s="3" t="s">
        <v>6380</v>
      </c>
      <c r="D5505" s="3"/>
    </row>
    <row r="5506" spans="1:4">
      <c r="A5506" s="2">
        <v>299</v>
      </c>
      <c r="B5506" s="2" t="s">
        <v>854</v>
      </c>
      <c r="C5506" s="2" t="s">
        <v>6381</v>
      </c>
      <c r="D5506" s="2"/>
    </row>
    <row r="5507" spans="1:4">
      <c r="A5507" s="3">
        <v>299</v>
      </c>
      <c r="B5507" s="3" t="s">
        <v>854</v>
      </c>
      <c r="C5507" s="3" t="s">
        <v>6382</v>
      </c>
      <c r="D5507" s="3"/>
    </row>
    <row r="5508" spans="1:4">
      <c r="A5508" s="2">
        <v>299</v>
      </c>
      <c r="B5508" s="2" t="s">
        <v>854</v>
      </c>
      <c r="C5508" s="2" t="s">
        <v>6383</v>
      </c>
      <c r="D5508" s="2"/>
    </row>
    <row r="5509" spans="1:4">
      <c r="A5509" s="3">
        <v>299</v>
      </c>
      <c r="B5509" s="3" t="s">
        <v>854</v>
      </c>
      <c r="C5509" s="3" t="s">
        <v>6384</v>
      </c>
      <c r="D5509" s="3"/>
    </row>
    <row r="5510" spans="1:4">
      <c r="A5510" s="2">
        <v>299</v>
      </c>
      <c r="B5510" s="2" t="s">
        <v>854</v>
      </c>
      <c r="C5510" s="2" t="s">
        <v>6385</v>
      </c>
      <c r="D5510" s="2"/>
    </row>
    <row r="5511" spans="1:4">
      <c r="A5511" s="3">
        <v>299</v>
      </c>
      <c r="B5511" s="3" t="s">
        <v>854</v>
      </c>
      <c r="C5511" s="3" t="s">
        <v>6386</v>
      </c>
      <c r="D5511" s="3"/>
    </row>
    <row r="5512" spans="1:4">
      <c r="A5512" s="2">
        <v>300</v>
      </c>
      <c r="B5512" s="2" t="s">
        <v>854</v>
      </c>
      <c r="C5512" s="2" t="s">
        <v>6387</v>
      </c>
      <c r="D5512" s="2"/>
    </row>
    <row r="5513" spans="1:4">
      <c r="A5513" s="3">
        <v>300</v>
      </c>
      <c r="B5513" s="3" t="s">
        <v>854</v>
      </c>
      <c r="C5513" s="3" t="s">
        <v>6388</v>
      </c>
      <c r="D5513" s="3"/>
    </row>
    <row r="5514" spans="1:4">
      <c r="A5514" s="2">
        <v>300</v>
      </c>
      <c r="B5514" s="2" t="s">
        <v>854</v>
      </c>
      <c r="C5514" s="2" t="s">
        <v>6389</v>
      </c>
      <c r="D5514" s="2"/>
    </row>
    <row r="5515" spans="1:4">
      <c r="A5515" s="3">
        <v>300</v>
      </c>
      <c r="B5515" s="3" t="s">
        <v>854</v>
      </c>
      <c r="C5515" s="3" t="s">
        <v>6390</v>
      </c>
      <c r="D5515" s="3"/>
    </row>
    <row r="5516" spans="1:4">
      <c r="A5516" s="2">
        <v>300</v>
      </c>
      <c r="B5516" s="2" t="s">
        <v>854</v>
      </c>
      <c r="C5516" s="2" t="s">
        <v>6391</v>
      </c>
      <c r="D5516" s="2"/>
    </row>
    <row r="5517" spans="1:4">
      <c r="A5517" s="3">
        <v>300</v>
      </c>
      <c r="B5517" s="3" t="s">
        <v>854</v>
      </c>
      <c r="C5517" s="3" t="s">
        <v>6392</v>
      </c>
      <c r="D5517" s="3"/>
    </row>
    <row r="5518" spans="1:4">
      <c r="A5518" s="2">
        <v>300</v>
      </c>
      <c r="B5518" s="2" t="s">
        <v>854</v>
      </c>
      <c r="C5518" s="2" t="s">
        <v>6393</v>
      </c>
      <c r="D5518" s="2"/>
    </row>
    <row r="5519" spans="1:4">
      <c r="A5519" s="3">
        <v>300</v>
      </c>
      <c r="B5519" s="3" t="s">
        <v>854</v>
      </c>
      <c r="C5519" s="3" t="s">
        <v>6394</v>
      </c>
      <c r="D5519" s="3"/>
    </row>
    <row r="5520" spans="1:4">
      <c r="A5520" s="2">
        <v>300</v>
      </c>
      <c r="B5520" s="2" t="s">
        <v>854</v>
      </c>
      <c r="C5520" s="2" t="s">
        <v>6395</v>
      </c>
      <c r="D5520" s="2"/>
    </row>
    <row r="5521" spans="1:4">
      <c r="A5521" s="3">
        <v>300</v>
      </c>
      <c r="B5521" s="3" t="s">
        <v>854</v>
      </c>
      <c r="C5521" s="3" t="s">
        <v>6396</v>
      </c>
      <c r="D5521" s="3"/>
    </row>
    <row r="5522" spans="1:4">
      <c r="A5522" s="2">
        <v>300</v>
      </c>
      <c r="B5522" s="2" t="s">
        <v>854</v>
      </c>
      <c r="C5522" s="2" t="s">
        <v>6397</v>
      </c>
      <c r="D5522" s="2"/>
    </row>
    <row r="5523" spans="1:4">
      <c r="A5523" s="3">
        <v>300</v>
      </c>
      <c r="B5523" s="3" t="s">
        <v>854</v>
      </c>
      <c r="C5523" s="3" t="s">
        <v>6398</v>
      </c>
      <c r="D5523" s="3"/>
    </row>
    <row r="5524" spans="1:4">
      <c r="A5524" s="2">
        <v>300</v>
      </c>
      <c r="B5524" s="2" t="s">
        <v>854</v>
      </c>
      <c r="C5524" s="2" t="s">
        <v>6399</v>
      </c>
      <c r="D5524" s="2"/>
    </row>
    <row r="5525" spans="1:4">
      <c r="A5525" s="3">
        <v>300</v>
      </c>
      <c r="B5525" s="3" t="s">
        <v>854</v>
      </c>
      <c r="C5525" s="3" t="s">
        <v>6400</v>
      </c>
      <c r="D5525" s="3"/>
    </row>
    <row r="5526" spans="1:4">
      <c r="A5526" s="2">
        <v>300</v>
      </c>
      <c r="B5526" s="2" t="s">
        <v>854</v>
      </c>
      <c r="C5526" s="2" t="s">
        <v>6401</v>
      </c>
      <c r="D5526" s="2"/>
    </row>
    <row r="5527" spans="1:4">
      <c r="A5527" s="3">
        <v>300</v>
      </c>
      <c r="B5527" s="3" t="s">
        <v>854</v>
      </c>
      <c r="C5527" s="3" t="s">
        <v>6402</v>
      </c>
      <c r="D5527" s="3"/>
    </row>
    <row r="5528" spans="1:4">
      <c r="A5528" s="2">
        <v>300</v>
      </c>
      <c r="B5528" s="2" t="s">
        <v>854</v>
      </c>
      <c r="C5528" s="2" t="s">
        <v>6403</v>
      </c>
      <c r="D5528" s="2"/>
    </row>
    <row r="5529" spans="1:4">
      <c r="A5529" s="3">
        <v>300</v>
      </c>
      <c r="B5529" s="3" t="s">
        <v>854</v>
      </c>
      <c r="C5529" s="3" t="s">
        <v>6404</v>
      </c>
      <c r="D5529" s="3"/>
    </row>
    <row r="5530" spans="1:4">
      <c r="A5530" s="2">
        <v>300</v>
      </c>
      <c r="B5530" s="2" t="s">
        <v>854</v>
      </c>
      <c r="C5530" s="2" t="s">
        <v>6405</v>
      </c>
      <c r="D5530" s="2"/>
    </row>
    <row r="5531" spans="1:4">
      <c r="A5531" s="3">
        <v>300</v>
      </c>
      <c r="B5531" s="3" t="s">
        <v>854</v>
      </c>
      <c r="C5531" s="3" t="s">
        <v>6406</v>
      </c>
      <c r="D5531" s="3"/>
    </row>
    <row r="5532" spans="1:4">
      <c r="A5532" s="2">
        <v>300</v>
      </c>
      <c r="B5532" s="2" t="s">
        <v>854</v>
      </c>
      <c r="C5532" s="2" t="s">
        <v>6407</v>
      </c>
      <c r="D5532" s="2"/>
    </row>
    <row r="5533" spans="1:4">
      <c r="A5533" s="3">
        <v>300</v>
      </c>
      <c r="B5533" s="3" t="s">
        <v>854</v>
      </c>
      <c r="C5533" s="3" t="s">
        <v>6408</v>
      </c>
      <c r="D5533" s="3"/>
    </row>
    <row r="5534" spans="1:4">
      <c r="A5534" s="2">
        <v>300</v>
      </c>
      <c r="B5534" s="2" t="s">
        <v>854</v>
      </c>
      <c r="C5534" s="2" t="s">
        <v>6409</v>
      </c>
      <c r="D5534" s="2"/>
    </row>
    <row r="5535" spans="1:4">
      <c r="A5535" s="3">
        <v>300</v>
      </c>
      <c r="B5535" s="3" t="s">
        <v>854</v>
      </c>
      <c r="C5535" s="3" t="s">
        <v>6410</v>
      </c>
      <c r="D5535" s="3"/>
    </row>
    <row r="5536" spans="1:4">
      <c r="A5536" s="2">
        <v>300</v>
      </c>
      <c r="B5536" s="2" t="s">
        <v>854</v>
      </c>
      <c r="C5536" s="2" t="s">
        <v>6411</v>
      </c>
      <c r="D5536" s="2"/>
    </row>
    <row r="5537" spans="1:4">
      <c r="A5537" s="3">
        <v>300</v>
      </c>
      <c r="B5537" s="3" t="s">
        <v>854</v>
      </c>
      <c r="C5537" s="3" t="s">
        <v>6412</v>
      </c>
      <c r="D5537" s="3"/>
    </row>
    <row r="5538" spans="1:4">
      <c r="A5538" s="2">
        <v>300</v>
      </c>
      <c r="B5538" s="2" t="s">
        <v>854</v>
      </c>
      <c r="C5538" s="2" t="s">
        <v>6413</v>
      </c>
      <c r="D5538" s="2"/>
    </row>
    <row r="5539" spans="1:4">
      <c r="A5539" s="3">
        <v>300</v>
      </c>
      <c r="B5539" s="3" t="s">
        <v>854</v>
      </c>
      <c r="C5539" s="3" t="s">
        <v>6414</v>
      </c>
      <c r="D5539" s="3"/>
    </row>
    <row r="5540" spans="1:4">
      <c r="A5540" s="2">
        <v>300</v>
      </c>
      <c r="B5540" s="2" t="s">
        <v>854</v>
      </c>
      <c r="C5540" s="2" t="s">
        <v>6415</v>
      </c>
      <c r="D5540" s="2"/>
    </row>
    <row r="5541" spans="1:4">
      <c r="A5541" s="3">
        <v>300</v>
      </c>
      <c r="B5541" s="3" t="s">
        <v>854</v>
      </c>
      <c r="C5541" s="3" t="s">
        <v>6416</v>
      </c>
      <c r="D5541" s="3"/>
    </row>
    <row r="5542" spans="1:4">
      <c r="A5542" s="2">
        <v>300</v>
      </c>
      <c r="B5542" s="2" t="s">
        <v>854</v>
      </c>
      <c r="C5542" s="2" t="s">
        <v>6417</v>
      </c>
      <c r="D5542" s="2"/>
    </row>
    <row r="5543" spans="1:4">
      <c r="A5543" s="3">
        <v>300</v>
      </c>
      <c r="B5543" s="3" t="s">
        <v>854</v>
      </c>
      <c r="C5543" s="3" t="s">
        <v>6418</v>
      </c>
      <c r="D5543" s="3"/>
    </row>
    <row r="5544" spans="1:4">
      <c r="A5544" s="2">
        <v>300</v>
      </c>
      <c r="B5544" s="2" t="s">
        <v>854</v>
      </c>
      <c r="C5544" s="2" t="s">
        <v>6419</v>
      </c>
      <c r="D5544" s="2"/>
    </row>
    <row r="5545" spans="1:4">
      <c r="A5545" s="3">
        <v>300</v>
      </c>
      <c r="B5545" s="3" t="s">
        <v>854</v>
      </c>
      <c r="C5545" s="3" t="s">
        <v>6420</v>
      </c>
      <c r="D5545" s="3"/>
    </row>
    <row r="5546" spans="1:4">
      <c r="A5546" s="2">
        <v>300</v>
      </c>
      <c r="B5546" s="2" t="s">
        <v>854</v>
      </c>
      <c r="C5546" s="2" t="s">
        <v>6421</v>
      </c>
      <c r="D5546" s="2"/>
    </row>
    <row r="5547" spans="1:4">
      <c r="A5547" s="3">
        <v>300</v>
      </c>
      <c r="B5547" s="3" t="s">
        <v>854</v>
      </c>
      <c r="C5547" s="3" t="s">
        <v>6422</v>
      </c>
      <c r="D5547" s="3"/>
    </row>
    <row r="5548" spans="1:4">
      <c r="A5548" s="2">
        <v>300</v>
      </c>
      <c r="B5548" s="2" t="s">
        <v>854</v>
      </c>
      <c r="C5548" s="2" t="s">
        <v>6423</v>
      </c>
      <c r="D5548" s="2"/>
    </row>
    <row r="5549" spans="1:4">
      <c r="A5549" s="3">
        <v>300</v>
      </c>
      <c r="B5549" s="3" t="s">
        <v>854</v>
      </c>
      <c r="C5549" s="3" t="s">
        <v>6424</v>
      </c>
      <c r="D5549" s="3"/>
    </row>
    <row r="5550" spans="1:4">
      <c r="A5550" s="2">
        <v>300</v>
      </c>
      <c r="B5550" s="2" t="s">
        <v>854</v>
      </c>
      <c r="C5550" s="2" t="s">
        <v>6425</v>
      </c>
      <c r="D5550" s="2"/>
    </row>
    <row r="5551" spans="1:4">
      <c r="A5551" s="3">
        <v>300</v>
      </c>
      <c r="B5551" s="3" t="s">
        <v>854</v>
      </c>
      <c r="C5551" s="3" t="s">
        <v>6426</v>
      </c>
      <c r="D5551" s="3"/>
    </row>
    <row r="5552" spans="1:4">
      <c r="A5552" s="2">
        <v>300</v>
      </c>
      <c r="B5552" s="2" t="s">
        <v>854</v>
      </c>
      <c r="C5552" s="2" t="s">
        <v>6427</v>
      </c>
      <c r="D5552" s="2"/>
    </row>
    <row r="5553" spans="1:4">
      <c r="A5553" s="3">
        <v>300</v>
      </c>
      <c r="B5553" s="3" t="s">
        <v>854</v>
      </c>
      <c r="C5553" s="3" t="s">
        <v>6428</v>
      </c>
      <c r="D5553" s="3"/>
    </row>
    <row r="5554" spans="1:4">
      <c r="A5554" s="2">
        <v>300</v>
      </c>
      <c r="B5554" s="2" t="s">
        <v>854</v>
      </c>
      <c r="C5554" s="2" t="s">
        <v>6429</v>
      </c>
      <c r="D5554" s="2"/>
    </row>
    <row r="5555" spans="1:4">
      <c r="A5555" s="3">
        <v>300</v>
      </c>
      <c r="B5555" s="3" t="s">
        <v>854</v>
      </c>
      <c r="C5555" s="3" t="s">
        <v>6430</v>
      </c>
      <c r="D5555" s="3"/>
    </row>
    <row r="5556" spans="1:4">
      <c r="A5556" s="2">
        <v>300</v>
      </c>
      <c r="B5556" s="2" t="s">
        <v>854</v>
      </c>
      <c r="C5556" s="2" t="s">
        <v>6431</v>
      </c>
      <c r="D5556" s="2"/>
    </row>
    <row r="5557" spans="1:4">
      <c r="A5557" s="3">
        <v>300</v>
      </c>
      <c r="B5557" s="3" t="s">
        <v>854</v>
      </c>
      <c r="C5557" s="3" t="s">
        <v>6432</v>
      </c>
      <c r="D5557" s="3"/>
    </row>
    <row r="5558" spans="1:4">
      <c r="A5558" s="2">
        <v>300</v>
      </c>
      <c r="B5558" s="2" t="s">
        <v>854</v>
      </c>
      <c r="C5558" s="2" t="s">
        <v>6433</v>
      </c>
      <c r="D5558" s="2"/>
    </row>
    <row r="5559" spans="1:4">
      <c r="A5559" s="3">
        <v>300</v>
      </c>
      <c r="B5559" s="3" t="s">
        <v>854</v>
      </c>
      <c r="C5559" s="3" t="s">
        <v>6434</v>
      </c>
      <c r="D5559" s="3"/>
    </row>
    <row r="5560" spans="1:4">
      <c r="A5560" s="2">
        <v>300</v>
      </c>
      <c r="B5560" s="2" t="s">
        <v>854</v>
      </c>
      <c r="C5560" s="2" t="s">
        <v>6435</v>
      </c>
      <c r="D5560" s="2"/>
    </row>
    <row r="5561" spans="1:4">
      <c r="A5561" s="3">
        <v>304</v>
      </c>
      <c r="B5561" s="3" t="s">
        <v>854</v>
      </c>
      <c r="C5561" s="3" t="s">
        <v>6436</v>
      </c>
      <c r="D5561" s="3"/>
    </row>
    <row r="5562" spans="1:4">
      <c r="A5562" s="2">
        <v>304</v>
      </c>
      <c r="B5562" s="2" t="s">
        <v>854</v>
      </c>
      <c r="C5562" s="2" t="s">
        <v>6437</v>
      </c>
      <c r="D5562" s="2"/>
    </row>
    <row r="5563" spans="1:4">
      <c r="A5563" s="3">
        <v>304</v>
      </c>
      <c r="B5563" s="3" t="s">
        <v>854</v>
      </c>
      <c r="C5563" s="3" t="s">
        <v>6438</v>
      </c>
      <c r="D5563" s="3"/>
    </row>
    <row r="5564" spans="1:4">
      <c r="A5564" s="2">
        <v>304</v>
      </c>
      <c r="B5564" s="2" t="s">
        <v>854</v>
      </c>
      <c r="C5564" s="2" t="s">
        <v>6439</v>
      </c>
      <c r="D5564" s="2"/>
    </row>
    <row r="5565" spans="1:4">
      <c r="A5565" s="3">
        <v>304</v>
      </c>
      <c r="B5565" s="3" t="s">
        <v>854</v>
      </c>
      <c r="C5565" s="3" t="s">
        <v>6440</v>
      </c>
      <c r="D5565" s="3"/>
    </row>
    <row r="5566" spans="1:4">
      <c r="A5566" s="2">
        <v>304</v>
      </c>
      <c r="B5566" s="2" t="s">
        <v>854</v>
      </c>
      <c r="C5566" s="2" t="s">
        <v>6441</v>
      </c>
      <c r="D5566" s="2"/>
    </row>
    <row r="5567" spans="1:4">
      <c r="A5567" s="3">
        <v>304</v>
      </c>
      <c r="B5567" s="3" t="s">
        <v>854</v>
      </c>
      <c r="C5567" s="3" t="s">
        <v>6442</v>
      </c>
      <c r="D5567" s="3"/>
    </row>
    <row r="5568" spans="1:4">
      <c r="A5568" s="2">
        <v>304</v>
      </c>
      <c r="B5568" s="2" t="s">
        <v>854</v>
      </c>
      <c r="C5568" s="2" t="s">
        <v>6443</v>
      </c>
      <c r="D5568" s="2"/>
    </row>
    <row r="5569" spans="1:4">
      <c r="A5569" s="3">
        <v>304</v>
      </c>
      <c r="B5569" s="3" t="s">
        <v>854</v>
      </c>
      <c r="C5569" s="3" t="s">
        <v>6444</v>
      </c>
      <c r="D5569" s="3"/>
    </row>
    <row r="5570" spans="1:4">
      <c r="A5570" s="2">
        <v>304</v>
      </c>
      <c r="B5570" s="2" t="s">
        <v>854</v>
      </c>
      <c r="C5570" s="2" t="s">
        <v>6445</v>
      </c>
      <c r="D5570" s="2"/>
    </row>
    <row r="5571" spans="1:4">
      <c r="A5571" s="3">
        <v>304</v>
      </c>
      <c r="B5571" s="3" t="s">
        <v>854</v>
      </c>
      <c r="C5571" s="3" t="s">
        <v>6446</v>
      </c>
      <c r="D5571" s="3"/>
    </row>
    <row r="5572" spans="1:4">
      <c r="A5572" s="2">
        <v>304</v>
      </c>
      <c r="B5572" s="2" t="s">
        <v>854</v>
      </c>
      <c r="C5572" s="2" t="s">
        <v>6447</v>
      </c>
      <c r="D5572" s="2"/>
    </row>
    <row r="5573" spans="1:4">
      <c r="A5573" s="3">
        <v>304</v>
      </c>
      <c r="B5573" s="3" t="s">
        <v>854</v>
      </c>
      <c r="C5573" s="3" t="s">
        <v>6448</v>
      </c>
      <c r="D5573" s="3"/>
    </row>
    <row r="5574" spans="1:4">
      <c r="A5574" s="2">
        <v>304</v>
      </c>
      <c r="B5574" s="2" t="s">
        <v>854</v>
      </c>
      <c r="C5574" s="2" t="s">
        <v>6449</v>
      </c>
      <c r="D5574" s="2"/>
    </row>
    <row r="5575" spans="1:4">
      <c r="A5575" s="3">
        <v>304</v>
      </c>
      <c r="B5575" s="3" t="s">
        <v>854</v>
      </c>
      <c r="C5575" s="3" t="s">
        <v>6450</v>
      </c>
      <c r="D5575" s="3"/>
    </row>
    <row r="5576" spans="1:4">
      <c r="A5576" s="2">
        <v>304</v>
      </c>
      <c r="B5576" s="2" t="s">
        <v>854</v>
      </c>
      <c r="C5576" s="2" t="s">
        <v>6451</v>
      </c>
      <c r="D5576" s="2"/>
    </row>
    <row r="5577" spans="1:4">
      <c r="A5577" s="3">
        <v>304</v>
      </c>
      <c r="B5577" s="3" t="s">
        <v>854</v>
      </c>
      <c r="C5577" s="3" t="s">
        <v>6452</v>
      </c>
      <c r="D5577" s="3"/>
    </row>
    <row r="5578" spans="1:4">
      <c r="A5578" s="2">
        <v>304</v>
      </c>
      <c r="B5578" s="2" t="s">
        <v>854</v>
      </c>
      <c r="C5578" s="2" t="s">
        <v>6453</v>
      </c>
      <c r="D5578" s="2"/>
    </row>
    <row r="5579" spans="1:4">
      <c r="A5579" s="3">
        <v>304</v>
      </c>
      <c r="B5579" s="3" t="s">
        <v>854</v>
      </c>
      <c r="C5579" s="3" t="s">
        <v>6454</v>
      </c>
      <c r="D5579" s="3"/>
    </row>
    <row r="5580" spans="1:4">
      <c r="A5580" s="2">
        <v>304</v>
      </c>
      <c r="B5580" s="2" t="s">
        <v>854</v>
      </c>
      <c r="C5580" s="2" t="s">
        <v>6455</v>
      </c>
      <c r="D5580" s="2"/>
    </row>
    <row r="5581" spans="1:4">
      <c r="A5581" s="3">
        <v>304</v>
      </c>
      <c r="B5581" s="3" t="s">
        <v>854</v>
      </c>
      <c r="C5581" s="3" t="s">
        <v>6456</v>
      </c>
      <c r="D5581" s="3"/>
    </row>
    <row r="5582" spans="1:4">
      <c r="A5582" s="2">
        <v>304</v>
      </c>
      <c r="B5582" s="2" t="s">
        <v>854</v>
      </c>
      <c r="C5582" s="2" t="s">
        <v>6457</v>
      </c>
      <c r="D5582" s="2"/>
    </row>
    <row r="5583" spans="1:4">
      <c r="A5583" s="3">
        <v>304</v>
      </c>
      <c r="B5583" s="3" t="s">
        <v>854</v>
      </c>
      <c r="C5583" s="3" t="s">
        <v>6458</v>
      </c>
      <c r="D5583" s="3"/>
    </row>
    <row r="5584" spans="1:4">
      <c r="A5584" s="2">
        <v>304</v>
      </c>
      <c r="B5584" s="2" t="s">
        <v>854</v>
      </c>
      <c r="C5584" s="2" t="s">
        <v>6459</v>
      </c>
      <c r="D5584" s="2"/>
    </row>
    <row r="5585" spans="1:4">
      <c r="A5585" s="3">
        <v>304</v>
      </c>
      <c r="B5585" s="3" t="s">
        <v>854</v>
      </c>
      <c r="C5585" s="3" t="s">
        <v>6460</v>
      </c>
      <c r="D5585" s="3"/>
    </row>
    <row r="5586" spans="1:4">
      <c r="A5586" s="2">
        <v>304</v>
      </c>
      <c r="B5586" s="2" t="s">
        <v>854</v>
      </c>
      <c r="C5586" s="2" t="s">
        <v>6461</v>
      </c>
      <c r="D5586" s="2"/>
    </row>
    <row r="5587" spans="1:4">
      <c r="A5587" s="3">
        <v>304</v>
      </c>
      <c r="B5587" s="3" t="s">
        <v>854</v>
      </c>
      <c r="C5587" s="3" t="s">
        <v>6462</v>
      </c>
      <c r="D5587" s="3"/>
    </row>
    <row r="5588" spans="1:4">
      <c r="A5588" s="2">
        <v>304</v>
      </c>
      <c r="B5588" s="2" t="s">
        <v>854</v>
      </c>
      <c r="C5588" s="2" t="s">
        <v>6463</v>
      </c>
      <c r="D5588" s="2"/>
    </row>
    <row r="5589" spans="1:4">
      <c r="A5589" s="3">
        <v>304</v>
      </c>
      <c r="B5589" s="3" t="s">
        <v>854</v>
      </c>
      <c r="C5589" s="3" t="s">
        <v>6464</v>
      </c>
      <c r="D5589" s="3"/>
    </row>
    <row r="5590" spans="1:4">
      <c r="A5590" s="2">
        <v>304</v>
      </c>
      <c r="B5590" s="2" t="s">
        <v>854</v>
      </c>
      <c r="C5590" s="2" t="s">
        <v>6465</v>
      </c>
      <c r="D5590" s="2"/>
    </row>
    <row r="5591" spans="1:4">
      <c r="A5591" s="3">
        <v>304</v>
      </c>
      <c r="B5591" s="3" t="s">
        <v>854</v>
      </c>
      <c r="C5591" s="3" t="s">
        <v>6466</v>
      </c>
      <c r="D5591" s="3"/>
    </row>
    <row r="5592" spans="1:4">
      <c r="A5592" s="2">
        <v>304</v>
      </c>
      <c r="B5592" s="2" t="s">
        <v>854</v>
      </c>
      <c r="C5592" s="2" t="s">
        <v>6467</v>
      </c>
      <c r="D5592" s="2"/>
    </row>
    <row r="5593" spans="1:4">
      <c r="A5593" s="3">
        <v>304</v>
      </c>
      <c r="B5593" s="3" t="s">
        <v>854</v>
      </c>
      <c r="C5593" s="3" t="s">
        <v>6468</v>
      </c>
      <c r="D5593" s="3"/>
    </row>
    <row r="5594" spans="1:4">
      <c r="A5594" s="2">
        <v>304</v>
      </c>
      <c r="B5594" s="2" t="s">
        <v>854</v>
      </c>
      <c r="C5594" s="2" t="s">
        <v>6469</v>
      </c>
      <c r="D5594" s="2"/>
    </row>
    <row r="5595" spans="1:4">
      <c r="A5595" s="3">
        <v>304</v>
      </c>
      <c r="B5595" s="3" t="s">
        <v>854</v>
      </c>
      <c r="C5595" s="3" t="s">
        <v>6470</v>
      </c>
      <c r="D5595" s="3"/>
    </row>
    <row r="5596" spans="1:4">
      <c r="A5596" s="2">
        <v>304</v>
      </c>
      <c r="B5596" s="2" t="s">
        <v>854</v>
      </c>
      <c r="C5596" s="2" t="s">
        <v>6471</v>
      </c>
      <c r="D5596" s="2"/>
    </row>
    <row r="5597" spans="1:4">
      <c r="A5597" s="3">
        <v>305</v>
      </c>
      <c r="B5597" s="3" t="s">
        <v>854</v>
      </c>
      <c r="C5597" s="3" t="s">
        <v>6472</v>
      </c>
      <c r="D5597" s="3"/>
    </row>
    <row r="5598" spans="1:4">
      <c r="A5598" s="2">
        <v>305</v>
      </c>
      <c r="B5598" s="2" t="s">
        <v>854</v>
      </c>
      <c r="C5598" s="2" t="s">
        <v>6473</v>
      </c>
      <c r="D5598" s="2"/>
    </row>
    <row r="5599" spans="1:4">
      <c r="A5599" s="3">
        <v>305</v>
      </c>
      <c r="B5599" s="3" t="s">
        <v>854</v>
      </c>
      <c r="C5599" s="3" t="s">
        <v>6474</v>
      </c>
      <c r="D5599" s="3"/>
    </row>
    <row r="5600" spans="1:4">
      <c r="A5600" s="2">
        <v>305</v>
      </c>
      <c r="B5600" s="2" t="s">
        <v>854</v>
      </c>
      <c r="C5600" s="2" t="s">
        <v>6475</v>
      </c>
      <c r="D5600" s="2"/>
    </row>
    <row r="5601" spans="1:4">
      <c r="A5601" s="3">
        <v>305</v>
      </c>
      <c r="B5601" s="3" t="s">
        <v>854</v>
      </c>
      <c r="C5601" s="3" t="s">
        <v>6476</v>
      </c>
      <c r="D5601" s="3"/>
    </row>
    <row r="5602" spans="1:4">
      <c r="A5602" s="2">
        <v>305</v>
      </c>
      <c r="B5602" s="2" t="s">
        <v>854</v>
      </c>
      <c r="C5602" s="2" t="s">
        <v>6477</v>
      </c>
      <c r="D5602" s="2"/>
    </row>
    <row r="5603" spans="1:4">
      <c r="A5603" s="3">
        <v>305</v>
      </c>
      <c r="B5603" s="3" t="s">
        <v>854</v>
      </c>
      <c r="C5603" s="3" t="s">
        <v>6478</v>
      </c>
      <c r="D5603" s="3"/>
    </row>
    <row r="5604" spans="1:4">
      <c r="A5604" s="2">
        <v>305</v>
      </c>
      <c r="B5604" s="2" t="s">
        <v>854</v>
      </c>
      <c r="C5604" s="2" t="s">
        <v>6479</v>
      </c>
      <c r="D5604" s="2"/>
    </row>
    <row r="5605" spans="1:4">
      <c r="A5605" s="3">
        <v>305</v>
      </c>
      <c r="B5605" s="3" t="s">
        <v>854</v>
      </c>
      <c r="C5605" s="3" t="s">
        <v>6480</v>
      </c>
      <c r="D5605" s="3"/>
    </row>
    <row r="5606" spans="1:4">
      <c r="A5606" s="2">
        <v>305</v>
      </c>
      <c r="B5606" s="2" t="s">
        <v>854</v>
      </c>
      <c r="C5606" s="2" t="s">
        <v>6481</v>
      </c>
      <c r="D5606" s="2"/>
    </row>
    <row r="5607" spans="1:4">
      <c r="A5607" s="3">
        <v>305</v>
      </c>
      <c r="B5607" s="3" t="s">
        <v>854</v>
      </c>
      <c r="C5607" s="3" t="s">
        <v>6482</v>
      </c>
      <c r="D5607" s="3"/>
    </row>
    <row r="5608" spans="1:4">
      <c r="A5608" s="2">
        <v>305</v>
      </c>
      <c r="B5608" s="2" t="s">
        <v>854</v>
      </c>
      <c r="C5608" s="2" t="s">
        <v>6483</v>
      </c>
      <c r="D5608" s="2"/>
    </row>
    <row r="5609" spans="1:4">
      <c r="A5609" s="3">
        <v>305</v>
      </c>
      <c r="B5609" s="3" t="s">
        <v>854</v>
      </c>
      <c r="C5609" s="3" t="s">
        <v>6484</v>
      </c>
      <c r="D5609" s="3"/>
    </row>
    <row r="5610" spans="1:4">
      <c r="A5610" s="2">
        <v>305</v>
      </c>
      <c r="B5610" s="2" t="s">
        <v>854</v>
      </c>
      <c r="C5610" s="2" t="s">
        <v>6485</v>
      </c>
      <c r="D5610" s="2"/>
    </row>
    <row r="5611" spans="1:4">
      <c r="A5611" s="3">
        <v>305</v>
      </c>
      <c r="B5611" s="3" t="s">
        <v>854</v>
      </c>
      <c r="C5611" s="3" t="s">
        <v>6486</v>
      </c>
      <c r="D5611" s="3"/>
    </row>
    <row r="5612" spans="1:4">
      <c r="A5612" s="2">
        <v>305</v>
      </c>
      <c r="B5612" s="2" t="s">
        <v>854</v>
      </c>
      <c r="C5612" s="2" t="s">
        <v>6487</v>
      </c>
      <c r="D5612" s="2"/>
    </row>
    <row r="5613" spans="1:4">
      <c r="A5613" s="3">
        <v>305</v>
      </c>
      <c r="B5613" s="3" t="s">
        <v>854</v>
      </c>
      <c r="C5613" s="3" t="s">
        <v>6488</v>
      </c>
      <c r="D5613" s="3"/>
    </row>
    <row r="5614" spans="1:4">
      <c r="A5614" s="2">
        <v>305</v>
      </c>
      <c r="B5614" s="2" t="s">
        <v>854</v>
      </c>
      <c r="C5614" s="2" t="s">
        <v>6489</v>
      </c>
      <c r="D5614" s="2"/>
    </row>
    <row r="5615" spans="1:4">
      <c r="A5615" s="3">
        <v>305</v>
      </c>
      <c r="B5615" s="3" t="s">
        <v>854</v>
      </c>
      <c r="C5615" s="3" t="s">
        <v>6490</v>
      </c>
      <c r="D5615" s="3"/>
    </row>
    <row r="5616" spans="1:4">
      <c r="A5616" s="2">
        <v>305</v>
      </c>
      <c r="B5616" s="2" t="s">
        <v>854</v>
      </c>
      <c r="C5616" s="2" t="s">
        <v>6491</v>
      </c>
      <c r="D5616" s="2"/>
    </row>
    <row r="5617" spans="1:4">
      <c r="A5617" s="3">
        <v>305</v>
      </c>
      <c r="B5617" s="3" t="s">
        <v>854</v>
      </c>
      <c r="C5617" s="3" t="s">
        <v>6492</v>
      </c>
      <c r="D5617" s="3"/>
    </row>
    <row r="5618" spans="1:4">
      <c r="A5618" s="2">
        <v>305</v>
      </c>
      <c r="B5618" s="2" t="s">
        <v>854</v>
      </c>
      <c r="C5618" s="2" t="s">
        <v>6493</v>
      </c>
      <c r="D5618" s="2"/>
    </row>
    <row r="5619" spans="1:4">
      <c r="A5619" s="3">
        <v>305</v>
      </c>
      <c r="B5619" s="3" t="s">
        <v>854</v>
      </c>
      <c r="C5619" s="3" t="s">
        <v>6494</v>
      </c>
      <c r="D5619" s="3"/>
    </row>
    <row r="5620" spans="1:4">
      <c r="A5620" s="2">
        <v>305</v>
      </c>
      <c r="B5620" s="2" t="s">
        <v>854</v>
      </c>
      <c r="C5620" s="2" t="s">
        <v>6493</v>
      </c>
      <c r="D5620" s="2"/>
    </row>
    <row r="5621" spans="1:4">
      <c r="A5621" s="3">
        <v>305</v>
      </c>
      <c r="B5621" s="3" t="s">
        <v>854</v>
      </c>
      <c r="C5621" s="3" t="s">
        <v>6495</v>
      </c>
      <c r="D5621" s="3"/>
    </row>
    <row r="5622" spans="1:4">
      <c r="A5622" s="2">
        <v>305</v>
      </c>
      <c r="B5622" s="2" t="s">
        <v>854</v>
      </c>
      <c r="C5622" s="2" t="s">
        <v>6495</v>
      </c>
      <c r="D5622" s="2"/>
    </row>
    <row r="5623" spans="1:4">
      <c r="A5623" s="3">
        <v>305</v>
      </c>
      <c r="B5623" s="3" t="s">
        <v>854</v>
      </c>
      <c r="C5623" s="3" t="s">
        <v>6496</v>
      </c>
      <c r="D5623" s="3"/>
    </row>
    <row r="5624" spans="1:4">
      <c r="A5624" s="2">
        <v>305</v>
      </c>
      <c r="B5624" s="2" t="s">
        <v>854</v>
      </c>
      <c r="C5624" s="2" t="s">
        <v>6497</v>
      </c>
      <c r="D5624" s="2"/>
    </row>
    <row r="5625" spans="1:4">
      <c r="A5625" s="3">
        <v>305</v>
      </c>
      <c r="B5625" s="3" t="s">
        <v>854</v>
      </c>
      <c r="C5625" s="3">
        <f>i∫/infinity2</f>
        <v>0</v>
      </c>
      <c r="D5625" s="3"/>
    </row>
    <row r="5626" spans="1:4">
      <c r="A5626" s="2">
        <v>305</v>
      </c>
      <c r="B5626" s="2" t="s">
        <v>854</v>
      </c>
      <c r="C5626" s="2">
        <f>2/SLpii∫/infinity2</f>
        <v>0</v>
      </c>
      <c r="D5626" s="2"/>
    </row>
    <row r="5627" spans="1:4">
      <c r="A5627" s="3">
        <v>305</v>
      </c>
      <c r="B5627" s="3" t="s">
        <v>854</v>
      </c>
      <c r="C5627" s="3" t="s">
        <v>6498</v>
      </c>
      <c r="D5627" s="3"/>
    </row>
    <row r="5628" spans="1:4">
      <c r="A5628" s="2">
        <v>305</v>
      </c>
      <c r="B5628" s="2" t="s">
        <v>854</v>
      </c>
      <c r="C5628" s="2" t="s">
        <v>6499</v>
      </c>
      <c r="D5628" s="2"/>
    </row>
    <row r="5629" spans="1:4">
      <c r="A5629" s="3">
        <v>305</v>
      </c>
      <c r="B5629" s="3" t="s">
        <v>854</v>
      </c>
      <c r="C5629" s="3" t="s">
        <v>6500</v>
      </c>
      <c r="D5629" s="3"/>
    </row>
    <row r="5630" spans="1:4">
      <c r="A5630" s="2">
        <v>305</v>
      </c>
      <c r="B5630" s="2" t="s">
        <v>854</v>
      </c>
      <c r="C5630" s="2" t="s">
        <v>6501</v>
      </c>
      <c r="D5630" s="2"/>
    </row>
    <row r="5631" spans="1:4">
      <c r="A5631" s="3">
        <v>305</v>
      </c>
      <c r="B5631" s="3" t="s">
        <v>854</v>
      </c>
      <c r="C5631" s="3" t="s">
        <v>6502</v>
      </c>
      <c r="D5631" s="3"/>
    </row>
    <row r="5632" spans="1:4">
      <c r="A5632" s="2">
        <v>305</v>
      </c>
      <c r="B5632" s="2" t="s">
        <v>854</v>
      </c>
      <c r="C5632" s="2" t="s">
        <v>6503</v>
      </c>
      <c r="D5632" s="2"/>
    </row>
    <row r="5633" spans="1:4">
      <c r="A5633" s="3">
        <v>305</v>
      </c>
      <c r="B5633" s="3" t="s">
        <v>854</v>
      </c>
      <c r="C5633" s="3" t="s">
        <v>6504</v>
      </c>
      <c r="D5633" s="3"/>
    </row>
    <row r="5634" spans="1:4">
      <c r="A5634" s="2">
        <v>305</v>
      </c>
      <c r="B5634" s="2" t="s">
        <v>854</v>
      </c>
      <c r="C5634" s="2" t="s">
        <v>6505</v>
      </c>
      <c r="D5634" s="2"/>
    </row>
    <row r="5635" spans="1:4">
      <c r="A5635" s="3">
        <v>305</v>
      </c>
      <c r="B5635" s="3" t="s">
        <v>854</v>
      </c>
      <c r="C5635" s="3" t="s">
        <v>6506</v>
      </c>
      <c r="D5635" s="3"/>
    </row>
    <row r="5636" spans="1:4">
      <c r="A5636" s="2">
        <v>305</v>
      </c>
      <c r="B5636" s="2" t="s">
        <v>854</v>
      </c>
      <c r="C5636" s="2" t="s">
        <v>6507</v>
      </c>
      <c r="D5636" s="2"/>
    </row>
    <row r="5637" spans="1:4">
      <c r="A5637" s="3">
        <v>305</v>
      </c>
      <c r="B5637" s="3" t="s">
        <v>854</v>
      </c>
      <c r="C5637" s="3" t="s">
        <v>6507</v>
      </c>
      <c r="D5637" s="3"/>
    </row>
    <row r="5638" spans="1:4">
      <c r="A5638" s="2">
        <v>305</v>
      </c>
      <c r="B5638" s="2" t="s">
        <v>854</v>
      </c>
      <c r="C5638" s="2" t="s">
        <v>6508</v>
      </c>
      <c r="D5638" s="2"/>
    </row>
    <row r="5639" spans="1:4">
      <c r="A5639" s="3">
        <v>305</v>
      </c>
      <c r="B5639" s="3" t="s">
        <v>854</v>
      </c>
      <c r="C5639" s="3" t="s">
        <v>6509</v>
      </c>
      <c r="D5639" s="3"/>
    </row>
    <row r="5640" spans="1:4">
      <c r="A5640" s="2">
        <v>305</v>
      </c>
      <c r="B5640" s="2" t="s">
        <v>854</v>
      </c>
      <c r="C5640" s="2" t="s">
        <v>6510</v>
      </c>
      <c r="D5640" s="2"/>
    </row>
    <row r="5641" spans="1:4">
      <c r="A5641" s="3">
        <v>305</v>
      </c>
      <c r="B5641" s="3" t="s">
        <v>854</v>
      </c>
      <c r="C5641" s="3" t="s">
        <v>6511</v>
      </c>
      <c r="D5641" s="3"/>
    </row>
    <row r="5642" spans="1:4">
      <c r="A5642" s="2">
        <v>305</v>
      </c>
      <c r="B5642" s="2" t="s">
        <v>854</v>
      </c>
      <c r="C5642" s="2" t="s">
        <v>6512</v>
      </c>
      <c r="D5642" s="2"/>
    </row>
    <row r="5643" spans="1:4">
      <c r="A5643" s="3">
        <v>305</v>
      </c>
      <c r="B5643" s="3" t="s">
        <v>854</v>
      </c>
      <c r="C5643" s="3" t="s">
        <v>6513</v>
      </c>
      <c r="D5643" s="3"/>
    </row>
    <row r="5644" spans="1:4">
      <c r="A5644" s="2">
        <v>305</v>
      </c>
      <c r="B5644" s="2" t="s">
        <v>854</v>
      </c>
      <c r="C5644" s="2" t="s">
        <v>6514</v>
      </c>
      <c r="D5644" s="2"/>
    </row>
    <row r="5645" spans="1:4">
      <c r="A5645" s="3">
        <v>305</v>
      </c>
      <c r="B5645" s="3" t="s">
        <v>854</v>
      </c>
      <c r="C5645" s="3" t="s">
        <v>6515</v>
      </c>
      <c r="D5645" s="3"/>
    </row>
    <row r="5646" spans="1:4">
      <c r="A5646" s="2">
        <v>305</v>
      </c>
      <c r="B5646" s="2" t="s">
        <v>854</v>
      </c>
      <c r="C5646" s="2" t="s">
        <v>6516</v>
      </c>
      <c r="D5646" s="2"/>
    </row>
    <row r="5647" spans="1:4">
      <c r="A5647" s="3">
        <v>306</v>
      </c>
      <c r="B5647" s="3" t="s">
        <v>854</v>
      </c>
      <c r="C5647" s="3" t="s">
        <v>6517</v>
      </c>
      <c r="D5647" s="3"/>
    </row>
    <row r="5648" spans="1:4">
      <c r="A5648" s="2">
        <v>306</v>
      </c>
      <c r="B5648" s="2" t="s">
        <v>854</v>
      </c>
      <c r="C5648" s="2" t="s">
        <v>6518</v>
      </c>
      <c r="D5648" s="2"/>
    </row>
    <row r="5649" spans="1:4">
      <c r="A5649" s="3">
        <v>306</v>
      </c>
      <c r="B5649" s="3" t="s">
        <v>854</v>
      </c>
      <c r="C5649" s="3" t="s">
        <v>6519</v>
      </c>
      <c r="D5649" s="3"/>
    </row>
    <row r="5650" spans="1:4">
      <c r="A5650" s="2">
        <v>306</v>
      </c>
      <c r="B5650" s="2" t="s">
        <v>854</v>
      </c>
      <c r="C5650" s="2" t="s">
        <v>6520</v>
      </c>
      <c r="D5650" s="2"/>
    </row>
    <row r="5651" spans="1:4">
      <c r="A5651" s="3">
        <v>306</v>
      </c>
      <c r="B5651" s="3" t="s">
        <v>854</v>
      </c>
      <c r="C5651" s="3" t="s">
        <v>6521</v>
      </c>
      <c r="D5651" s="3"/>
    </row>
    <row r="5652" spans="1:4">
      <c r="A5652" s="2">
        <v>306</v>
      </c>
      <c r="B5652" s="2" t="s">
        <v>854</v>
      </c>
      <c r="C5652" s="2" t="s">
        <v>6522</v>
      </c>
      <c r="D5652" s="2"/>
    </row>
    <row r="5653" spans="1:4">
      <c r="A5653" s="3">
        <v>306</v>
      </c>
      <c r="B5653" s="3" t="s">
        <v>854</v>
      </c>
      <c r="C5653" s="3" t="s">
        <v>6523</v>
      </c>
      <c r="D5653" s="3"/>
    </row>
    <row r="5654" spans="1:4">
      <c r="A5654" s="2">
        <v>306</v>
      </c>
      <c r="B5654" s="2" t="s">
        <v>854</v>
      </c>
      <c r="C5654" s="2" t="s">
        <v>6524</v>
      </c>
      <c r="D5654" s="2"/>
    </row>
    <row r="5655" spans="1:4">
      <c r="A5655" s="3">
        <v>306</v>
      </c>
      <c r="B5655" s="3" t="s">
        <v>854</v>
      </c>
      <c r="C5655" s="3" t="s">
        <v>6525</v>
      </c>
      <c r="D5655" s="3"/>
    </row>
    <row r="5656" spans="1:4">
      <c r="A5656" s="2">
        <v>306</v>
      </c>
      <c r="B5656" s="2" t="s">
        <v>854</v>
      </c>
      <c r="C5656" s="2" t="s">
        <v>6526</v>
      </c>
      <c r="D5656" s="2"/>
    </row>
    <row r="5657" spans="1:4">
      <c r="A5657" s="3">
        <v>306</v>
      </c>
      <c r="B5657" s="3" t="s">
        <v>854</v>
      </c>
      <c r="C5657" s="3" t="s">
        <v>6527</v>
      </c>
      <c r="D5657" s="3"/>
    </row>
    <row r="5658" spans="1:4">
      <c r="A5658" s="2">
        <v>306</v>
      </c>
      <c r="B5658" s="2" t="s">
        <v>854</v>
      </c>
      <c r="C5658" s="2" t="s">
        <v>6528</v>
      </c>
      <c r="D5658" s="2"/>
    </row>
    <row r="5659" spans="1:4">
      <c r="A5659" s="3">
        <v>306</v>
      </c>
      <c r="B5659" s="3" t="s">
        <v>854</v>
      </c>
      <c r="C5659" s="3" t="s">
        <v>6529</v>
      </c>
      <c r="D5659" s="3"/>
    </row>
    <row r="5660" spans="1:4">
      <c r="A5660" s="2">
        <v>306</v>
      </c>
      <c r="B5660" s="2" t="s">
        <v>854</v>
      </c>
      <c r="C5660" s="2" t="s">
        <v>6530</v>
      </c>
      <c r="D5660" s="2"/>
    </row>
    <row r="5661" spans="1:4">
      <c r="A5661" s="3">
        <v>306</v>
      </c>
      <c r="B5661" s="3" t="s">
        <v>854</v>
      </c>
      <c r="C5661" s="3" t="s">
        <v>6531</v>
      </c>
      <c r="D5661" s="3"/>
    </row>
    <row r="5662" spans="1:4">
      <c r="A5662" s="2">
        <v>306</v>
      </c>
      <c r="B5662" s="2" t="s">
        <v>854</v>
      </c>
      <c r="C5662" s="2" t="s">
        <v>6532</v>
      </c>
      <c r="D5662" s="2"/>
    </row>
    <row r="5663" spans="1:4">
      <c r="A5663" s="3">
        <v>306</v>
      </c>
      <c r="B5663" s="3" t="s">
        <v>854</v>
      </c>
      <c r="C5663" s="3" t="s">
        <v>6533</v>
      </c>
      <c r="D5663" s="3"/>
    </row>
    <row r="5664" spans="1:4">
      <c r="A5664" s="2">
        <v>306</v>
      </c>
      <c r="B5664" s="2" t="s">
        <v>854</v>
      </c>
      <c r="C5664" s="2" t="s">
        <v>6534</v>
      </c>
      <c r="D5664" s="2"/>
    </row>
    <row r="5665" spans="1:4">
      <c r="A5665" s="3">
        <v>306</v>
      </c>
      <c r="B5665" s="3" t="s">
        <v>854</v>
      </c>
      <c r="C5665" s="3" t="s">
        <v>6535</v>
      </c>
      <c r="D5665" s="3"/>
    </row>
    <row r="5666" spans="1:4">
      <c r="A5666" s="2">
        <v>306</v>
      </c>
      <c r="B5666" s="2" t="s">
        <v>854</v>
      </c>
      <c r="C5666" s="2">
        <f>eik·x−i/SLomegat∫0</f>
        <v>0</v>
      </c>
      <c r="D5666" s="2"/>
    </row>
    <row r="5667" spans="1:4">
      <c r="A5667" s="3">
        <v>306</v>
      </c>
      <c r="B5667" s="3" t="s">
        <v>854</v>
      </c>
      <c r="C5667" s="3" t="s">
        <v>6536</v>
      </c>
      <c r="D5667" s="3"/>
    </row>
    <row r="5668" spans="1:4">
      <c r="A5668" s="2">
        <v>306</v>
      </c>
      <c r="B5668" s="2" t="s">
        <v>854</v>
      </c>
      <c r="C5668" s="2" t="s">
        <v>6537</v>
      </c>
      <c r="D5668" s="2"/>
    </row>
    <row r="5669" spans="1:4">
      <c r="A5669" s="3">
        <v>306</v>
      </c>
      <c r="B5669" s="3" t="s">
        <v>854</v>
      </c>
      <c r="C5669" s="3" t="s">
        <v>6538</v>
      </c>
      <c r="D5669" s="3"/>
    </row>
    <row r="5670" spans="1:4">
      <c r="A5670" s="2">
        <v>306</v>
      </c>
      <c r="B5670" s="2" t="s">
        <v>854</v>
      </c>
      <c r="C5670" s="2" t="s">
        <v>6539</v>
      </c>
      <c r="D5670" s="2"/>
    </row>
    <row r="5671" spans="1:4">
      <c r="A5671" s="3">
        <v>306</v>
      </c>
      <c r="B5671" s="3" t="s">
        <v>854</v>
      </c>
      <c r="C5671" s="3" t="s">
        <v>6540</v>
      </c>
      <c r="D5671" s="3"/>
    </row>
    <row r="5672" spans="1:4">
      <c r="A5672" s="2">
        <v>306</v>
      </c>
      <c r="B5672" s="2" t="s">
        <v>854</v>
      </c>
      <c r="C5672" s="2" t="s">
        <v>6541</v>
      </c>
      <c r="D5672" s="2"/>
    </row>
    <row r="5673" spans="1:4">
      <c r="A5673" s="3">
        <v>306</v>
      </c>
      <c r="B5673" s="3" t="s">
        <v>854</v>
      </c>
      <c r="C5673" s="3" t="s">
        <v>6542</v>
      </c>
      <c r="D5673" s="3"/>
    </row>
    <row r="5674" spans="1:4">
      <c r="A5674" s="2">
        <v>306</v>
      </c>
      <c r="B5674" s="2" t="s">
        <v>854</v>
      </c>
      <c r="C5674" s="2" t="s">
        <v>6543</v>
      </c>
      <c r="D5674" s="2"/>
    </row>
    <row r="5675" spans="1:4">
      <c r="A5675" s="3">
        <v>306</v>
      </c>
      <c r="B5675" s="3" t="s">
        <v>854</v>
      </c>
      <c r="C5675" s="3" t="s">
        <v>6541</v>
      </c>
      <c r="D5675" s="3"/>
    </row>
    <row r="5676" spans="1:4">
      <c r="A5676" s="2">
        <v>306</v>
      </c>
      <c r="B5676" s="2" t="s">
        <v>854</v>
      </c>
      <c r="C5676" s="2" t="s">
        <v>6544</v>
      </c>
      <c r="D5676" s="2"/>
    </row>
    <row r="5677" spans="1:4">
      <c r="A5677" s="3">
        <v>306</v>
      </c>
      <c r="B5677" s="3" t="s">
        <v>854</v>
      </c>
      <c r="C5677" s="3" t="s">
        <v>6545</v>
      </c>
      <c r="D5677" s="3"/>
    </row>
    <row r="5678" spans="1:4">
      <c r="A5678" s="2">
        <v>306</v>
      </c>
      <c r="B5678" s="2" t="s">
        <v>854</v>
      </c>
      <c r="C5678" s="2" t="s">
        <v>6541</v>
      </c>
      <c r="D5678" s="2"/>
    </row>
    <row r="5679" spans="1:4">
      <c r="A5679" s="3">
        <v>306</v>
      </c>
      <c r="B5679" s="3" t="s">
        <v>854</v>
      </c>
      <c r="C5679" s="3" t="s">
        <v>6546</v>
      </c>
      <c r="D5679" s="3"/>
    </row>
    <row r="5680" spans="1:4">
      <c r="A5680" s="2">
        <v>306</v>
      </c>
      <c r="B5680" s="2" t="s">
        <v>854</v>
      </c>
      <c r="C5680" s="2" t="s">
        <v>6547</v>
      </c>
      <c r="D5680" s="2"/>
    </row>
    <row r="5681" spans="1:4">
      <c r="A5681" s="3">
        <v>306</v>
      </c>
      <c r="B5681" s="3" t="s">
        <v>854</v>
      </c>
      <c r="C5681" s="3" t="s">
        <v>6548</v>
      </c>
      <c r="D5681" s="3"/>
    </row>
    <row r="5682" spans="1:4">
      <c r="A5682" s="2">
        <v>306</v>
      </c>
      <c r="B5682" s="2" t="s">
        <v>854</v>
      </c>
      <c r="C5682" s="2" t="s">
        <v>6541</v>
      </c>
      <c r="D5682" s="2"/>
    </row>
    <row r="5683" spans="1:4">
      <c r="A5683" s="3">
        <v>306</v>
      </c>
      <c r="B5683" s="3" t="s">
        <v>854</v>
      </c>
      <c r="C5683" s="3" t="s">
        <v>6546</v>
      </c>
      <c r="D5683" s="3"/>
    </row>
    <row r="5684" spans="1:4">
      <c r="A5684" s="2">
        <v>306</v>
      </c>
      <c r="B5684" s="2" t="s">
        <v>854</v>
      </c>
      <c r="C5684" s="2" t="s">
        <v>6549</v>
      </c>
      <c r="D5684" s="2"/>
    </row>
    <row r="5685" spans="1:4">
      <c r="A5685" s="3">
        <v>306</v>
      </c>
      <c r="B5685" s="3" t="s">
        <v>854</v>
      </c>
      <c r="C5685" s="3" t="s">
        <v>6550</v>
      </c>
      <c r="D5685" s="3"/>
    </row>
    <row r="5686" spans="1:4">
      <c r="A5686" s="2">
        <v>306</v>
      </c>
      <c r="B5686" s="2" t="s">
        <v>854</v>
      </c>
      <c r="C5686" s="2" t="s">
        <v>6551</v>
      </c>
      <c r="D5686" s="2"/>
    </row>
    <row r="5687" spans="1:4">
      <c r="A5687" s="3">
        <v>306</v>
      </c>
      <c r="B5687" s="3" t="s">
        <v>854</v>
      </c>
      <c r="C5687" s="3" t="s">
        <v>6552</v>
      </c>
      <c r="D5687" s="3"/>
    </row>
    <row r="5688" spans="1:4">
      <c r="A5688" s="2">
        <v>306</v>
      </c>
      <c r="B5688" s="2" t="s">
        <v>854</v>
      </c>
      <c r="C5688" s="2" t="s">
        <v>6553</v>
      </c>
      <c r="D5688" s="2"/>
    </row>
    <row r="5689" spans="1:4">
      <c r="A5689" s="3">
        <v>306</v>
      </c>
      <c r="B5689" s="3" t="s">
        <v>854</v>
      </c>
      <c r="C5689" s="3" t="s">
        <v>6554</v>
      </c>
      <c r="D5689" s="3"/>
    </row>
    <row r="5690" spans="1:4">
      <c r="A5690" s="2">
        <v>306</v>
      </c>
      <c r="B5690" s="2" t="s">
        <v>854</v>
      </c>
      <c r="C5690" s="2" t="s">
        <v>6555</v>
      </c>
      <c r="D5690" s="2"/>
    </row>
    <row r="5691" spans="1:4">
      <c r="A5691" s="3">
        <v>306</v>
      </c>
      <c r="B5691" s="3" t="s">
        <v>854</v>
      </c>
      <c r="C5691" s="3" t="s">
        <v>6556</v>
      </c>
      <c r="D5691" s="3"/>
    </row>
    <row r="5692" spans="1:4">
      <c r="A5692" s="2">
        <v>306</v>
      </c>
      <c r="B5692" s="2" t="s">
        <v>854</v>
      </c>
      <c r="C5692" s="2" t="s">
        <v>6557</v>
      </c>
      <c r="D5692" s="2"/>
    </row>
    <row r="5693" spans="1:4">
      <c r="A5693" s="3">
        <v>306</v>
      </c>
      <c r="B5693" s="3" t="s">
        <v>854</v>
      </c>
      <c r="C5693" s="3" t="s">
        <v>6558</v>
      </c>
      <c r="D5693" s="3"/>
    </row>
    <row r="5694" spans="1:4">
      <c r="A5694" s="2">
        <v>306</v>
      </c>
      <c r="B5694" s="2" t="s">
        <v>854</v>
      </c>
      <c r="C5694" s="2" t="s">
        <v>6559</v>
      </c>
      <c r="D5694" s="2"/>
    </row>
    <row r="5695" spans="1:4">
      <c r="A5695" s="3">
        <v>306</v>
      </c>
      <c r="B5695" s="3" t="s">
        <v>854</v>
      </c>
      <c r="C5695" s="3" t="s">
        <v>6560</v>
      </c>
      <c r="D5695" s="3"/>
    </row>
    <row r="5696" spans="1:4">
      <c r="A5696" s="2">
        <v>306</v>
      </c>
      <c r="B5696" s="2" t="s">
        <v>854</v>
      </c>
      <c r="C5696" s="2" t="s">
        <v>6561</v>
      </c>
      <c r="D5696" s="2"/>
    </row>
    <row r="5697" spans="1:4">
      <c r="A5697" s="3">
        <v>307</v>
      </c>
      <c r="B5697" s="3" t="s">
        <v>854</v>
      </c>
      <c r="C5697" s="3" t="s">
        <v>6562</v>
      </c>
      <c r="D5697" s="3"/>
    </row>
    <row r="5698" spans="1:4">
      <c r="A5698" s="2">
        <v>307</v>
      </c>
      <c r="B5698" s="2" t="s">
        <v>854</v>
      </c>
      <c r="C5698" s="2" t="s">
        <v>6563</v>
      </c>
      <c r="D5698" s="2"/>
    </row>
    <row r="5699" spans="1:4">
      <c r="A5699" s="3">
        <v>307</v>
      </c>
      <c r="B5699" s="3" t="s">
        <v>854</v>
      </c>
      <c r="C5699" s="3" t="s">
        <v>6564</v>
      </c>
      <c r="D5699" s="3"/>
    </row>
    <row r="5700" spans="1:4">
      <c r="A5700" s="2">
        <v>307</v>
      </c>
      <c r="B5700" s="2" t="s">
        <v>854</v>
      </c>
      <c r="C5700" s="2" t="s">
        <v>6565</v>
      </c>
      <c r="D5700" s="2"/>
    </row>
    <row r="5701" spans="1:4">
      <c r="A5701" s="3">
        <v>307</v>
      </c>
      <c r="B5701" s="3" t="s">
        <v>854</v>
      </c>
      <c r="C5701" s="3" t="s">
        <v>6566</v>
      </c>
      <c r="D5701" s="3"/>
    </row>
    <row r="5702" spans="1:4">
      <c r="A5702" s="2">
        <v>307</v>
      </c>
      <c r="B5702" s="2" t="s">
        <v>854</v>
      </c>
      <c r="C5702" s="2" t="s">
        <v>6567</v>
      </c>
      <c r="D5702" s="2"/>
    </row>
    <row r="5703" spans="1:4">
      <c r="A5703" s="3">
        <v>307</v>
      </c>
      <c r="B5703" s="3" t="s">
        <v>854</v>
      </c>
      <c r="C5703" s="3" t="s">
        <v>6568</v>
      </c>
      <c r="D5703" s="3"/>
    </row>
    <row r="5704" spans="1:4">
      <c r="A5704" s="2">
        <v>307</v>
      </c>
      <c r="B5704" s="2" t="s">
        <v>854</v>
      </c>
      <c r="C5704" s="2" t="s">
        <v>6569</v>
      </c>
      <c r="D5704" s="2"/>
    </row>
    <row r="5705" spans="1:4">
      <c r="A5705" s="3">
        <v>307</v>
      </c>
      <c r="B5705" s="3" t="s">
        <v>854</v>
      </c>
      <c r="C5705" s="3" t="s">
        <v>6570</v>
      </c>
      <c r="D5705" s="3"/>
    </row>
    <row r="5706" spans="1:4">
      <c r="A5706" s="2">
        <v>307</v>
      </c>
      <c r="B5706" s="2" t="s">
        <v>854</v>
      </c>
      <c r="C5706" s="2" t="s">
        <v>6571</v>
      </c>
      <c r="D5706" s="2"/>
    </row>
    <row r="5707" spans="1:4">
      <c r="A5707" s="3">
        <v>307</v>
      </c>
      <c r="B5707" s="3" t="s">
        <v>854</v>
      </c>
      <c r="C5707" s="3" t="s">
        <v>6572</v>
      </c>
      <c r="D5707" s="3"/>
    </row>
    <row r="5708" spans="1:4">
      <c r="A5708" s="2">
        <v>307</v>
      </c>
      <c r="B5708" s="2" t="s">
        <v>854</v>
      </c>
      <c r="C5708" s="2" t="s">
        <v>6573</v>
      </c>
      <c r="D5708" s="2"/>
    </row>
    <row r="5709" spans="1:4">
      <c r="A5709" s="3">
        <v>307</v>
      </c>
      <c r="B5709" s="3" t="s">
        <v>854</v>
      </c>
      <c r="C5709" s="3" t="s">
        <v>6574</v>
      </c>
      <c r="D5709" s="3"/>
    </row>
    <row r="5710" spans="1:4">
      <c r="A5710" s="2">
        <v>307</v>
      </c>
      <c r="B5710" s="2" t="s">
        <v>854</v>
      </c>
      <c r="C5710" s="2" t="s">
        <v>6575</v>
      </c>
      <c r="D5710" s="2"/>
    </row>
    <row r="5711" spans="1:4">
      <c r="A5711" s="3">
        <v>307</v>
      </c>
      <c r="B5711" s="3" t="s">
        <v>854</v>
      </c>
      <c r="C5711" s="3" t="s">
        <v>6576</v>
      </c>
      <c r="D5711" s="3"/>
    </row>
    <row r="5712" spans="1:4">
      <c r="A5712" s="2">
        <v>307</v>
      </c>
      <c r="B5712" s="2" t="s">
        <v>854</v>
      </c>
      <c r="C5712" s="2" t="s">
        <v>6577</v>
      </c>
      <c r="D5712" s="2"/>
    </row>
    <row r="5713" spans="1:4">
      <c r="A5713" s="3">
        <v>307</v>
      </c>
      <c r="B5713" s="3" t="s">
        <v>854</v>
      </c>
      <c r="C5713" s="3" t="s">
        <v>6578</v>
      </c>
      <c r="D5713" s="3"/>
    </row>
    <row r="5714" spans="1:4">
      <c r="A5714" s="2">
        <v>307</v>
      </c>
      <c r="B5714" s="2" t="s">
        <v>854</v>
      </c>
      <c r="C5714" s="2" t="s">
        <v>6579</v>
      </c>
      <c r="D5714" s="2"/>
    </row>
    <row r="5715" spans="1:4">
      <c r="A5715" s="3">
        <v>307</v>
      </c>
      <c r="B5715" s="3" t="s">
        <v>854</v>
      </c>
      <c r="C5715" s="3" t="s">
        <v>6580</v>
      </c>
      <c r="D5715" s="3"/>
    </row>
    <row r="5716" spans="1:4">
      <c r="A5716" s="2">
        <v>307</v>
      </c>
      <c r="B5716" s="2" t="s">
        <v>854</v>
      </c>
      <c r="C5716" s="2" t="s">
        <v>6581</v>
      </c>
      <c r="D5716" s="2"/>
    </row>
    <row r="5717" spans="1:4">
      <c r="A5717" s="3">
        <v>307</v>
      </c>
      <c r="B5717" s="3" t="s">
        <v>854</v>
      </c>
      <c r="C5717" s="3" t="s">
        <v>6582</v>
      </c>
      <c r="D5717" s="3"/>
    </row>
    <row r="5718" spans="1:4">
      <c r="A5718" s="2">
        <v>307</v>
      </c>
      <c r="B5718" s="2" t="s">
        <v>854</v>
      </c>
      <c r="C5718" s="2" t="s">
        <v>6583</v>
      </c>
      <c r="D5718" s="2"/>
    </row>
    <row r="5719" spans="1:4">
      <c r="A5719" s="3">
        <v>307</v>
      </c>
      <c r="B5719" s="3" t="s">
        <v>854</v>
      </c>
      <c r="C5719" s="3" t="s">
        <v>6584</v>
      </c>
      <c r="D5719" s="3"/>
    </row>
    <row r="5720" spans="1:4">
      <c r="A5720" s="2">
        <v>307</v>
      </c>
      <c r="B5720" s="2" t="s">
        <v>854</v>
      </c>
      <c r="C5720" s="2" t="s">
        <v>6585</v>
      </c>
      <c r="D5720" s="2"/>
    </row>
    <row r="5721" spans="1:4">
      <c r="A5721" s="3">
        <v>307</v>
      </c>
      <c r="B5721" s="3" t="s">
        <v>854</v>
      </c>
      <c r="C5721" s="3" t="s">
        <v>6586</v>
      </c>
      <c r="D5721" s="3"/>
    </row>
    <row r="5722" spans="1:4">
      <c r="A5722" s="2">
        <v>307</v>
      </c>
      <c r="B5722" s="2" t="s">
        <v>854</v>
      </c>
      <c r="C5722" s="2" t="s">
        <v>6587</v>
      </c>
      <c r="D5722" s="2"/>
    </row>
    <row r="5723" spans="1:4">
      <c r="A5723" s="3">
        <v>307</v>
      </c>
      <c r="B5723" s="3" t="s">
        <v>854</v>
      </c>
      <c r="C5723" s="3" t="s">
        <v>6588</v>
      </c>
      <c r="D5723" s="3"/>
    </row>
    <row r="5724" spans="1:4">
      <c r="A5724" s="2">
        <v>307</v>
      </c>
      <c r="B5724" s="2" t="s">
        <v>854</v>
      </c>
      <c r="C5724" s="2" t="s">
        <v>6589</v>
      </c>
      <c r="D5724" s="2"/>
    </row>
    <row r="5725" spans="1:4">
      <c r="A5725" s="3">
        <v>307</v>
      </c>
      <c r="B5725" s="3" t="s">
        <v>854</v>
      </c>
      <c r="C5725" s="3" t="s">
        <v>6590</v>
      </c>
      <c r="D5725" s="3"/>
    </row>
    <row r="5726" spans="1:4">
      <c r="A5726" s="2">
        <v>307</v>
      </c>
      <c r="B5726" s="2" t="s">
        <v>854</v>
      </c>
      <c r="C5726" s="2" t="s">
        <v>6591</v>
      </c>
      <c r="D5726" s="2"/>
    </row>
    <row r="5727" spans="1:4">
      <c r="A5727" s="3">
        <v>307</v>
      </c>
      <c r="B5727" s="3" t="s">
        <v>854</v>
      </c>
      <c r="C5727" s="3" t="s">
        <v>6592</v>
      </c>
      <c r="D5727" s="3"/>
    </row>
    <row r="5728" spans="1:4">
      <c r="A5728" s="2">
        <v>307</v>
      </c>
      <c r="B5728" s="2" t="s">
        <v>854</v>
      </c>
      <c r="C5728" s="2" t="s">
        <v>6593</v>
      </c>
      <c r="D5728" s="2"/>
    </row>
    <row r="5729" spans="1:4">
      <c r="A5729" s="3">
        <v>307</v>
      </c>
      <c r="B5729" s="3" t="s">
        <v>854</v>
      </c>
      <c r="C5729" s="3" t="s">
        <v>6594</v>
      </c>
      <c r="D5729" s="3"/>
    </row>
    <row r="5730" spans="1:4">
      <c r="A5730" s="2">
        <v>307</v>
      </c>
      <c r="B5730" s="2" t="s">
        <v>854</v>
      </c>
      <c r="C5730" s="2" t="s">
        <v>6595</v>
      </c>
      <c r="D5730" s="2"/>
    </row>
    <row r="5731" spans="1:4">
      <c r="A5731" s="3">
        <v>307</v>
      </c>
      <c r="B5731" s="3" t="s">
        <v>854</v>
      </c>
      <c r="C5731" s="3" t="s">
        <v>6596</v>
      </c>
      <c r="D5731" s="3"/>
    </row>
    <row r="5732" spans="1:4">
      <c r="A5732" s="2">
        <v>307</v>
      </c>
      <c r="B5732" s="2" t="s">
        <v>854</v>
      </c>
      <c r="C5732" s="2" t="s">
        <v>6597</v>
      </c>
      <c r="D5732" s="2"/>
    </row>
    <row r="5733" spans="1:4">
      <c r="A5733" s="3">
        <v>307</v>
      </c>
      <c r="B5733" s="3" t="s">
        <v>854</v>
      </c>
      <c r="C5733" s="3" t="s">
        <v>6598</v>
      </c>
      <c r="D5733" s="3"/>
    </row>
    <row r="5734" spans="1:4">
      <c r="A5734" s="2">
        <v>307</v>
      </c>
      <c r="B5734" s="2" t="s">
        <v>854</v>
      </c>
      <c r="C5734" s="2" t="s">
        <v>6599</v>
      </c>
      <c r="D5734" s="2"/>
    </row>
    <row r="5735" spans="1:4">
      <c r="A5735" s="3">
        <v>307</v>
      </c>
      <c r="B5735" s="3" t="s">
        <v>854</v>
      </c>
      <c r="C5735" s="3" t="s">
        <v>6600</v>
      </c>
      <c r="D5735" s="3"/>
    </row>
    <row r="5736" spans="1:4">
      <c r="A5736" s="2">
        <v>307</v>
      </c>
      <c r="B5736" s="2" t="s">
        <v>854</v>
      </c>
      <c r="C5736" s="2" t="s">
        <v>6601</v>
      </c>
      <c r="D5736" s="2"/>
    </row>
    <row r="5737" spans="1:4">
      <c r="A5737" s="3">
        <v>307</v>
      </c>
      <c r="B5737" s="3" t="s">
        <v>854</v>
      </c>
      <c r="C5737" s="3" t="s">
        <v>6602</v>
      </c>
      <c r="D5737" s="3"/>
    </row>
    <row r="5738" spans="1:4">
      <c r="A5738" s="2">
        <v>307</v>
      </c>
      <c r="B5738" s="2" t="s">
        <v>854</v>
      </c>
      <c r="C5738" s="2" t="s">
        <v>6603</v>
      </c>
      <c r="D5738" s="2"/>
    </row>
    <row r="5739" spans="1:4">
      <c r="A5739" s="3">
        <v>307</v>
      </c>
      <c r="B5739" s="3" t="s">
        <v>854</v>
      </c>
      <c r="C5739" s="3" t="s">
        <v>6604</v>
      </c>
      <c r="D5739" s="3"/>
    </row>
    <row r="5740" spans="1:4">
      <c r="A5740" s="2">
        <v>307</v>
      </c>
      <c r="B5740" s="2" t="s">
        <v>854</v>
      </c>
      <c r="C5740" s="2" t="s">
        <v>6605</v>
      </c>
      <c r="D5740" s="2"/>
    </row>
    <row r="5741" spans="1:4">
      <c r="A5741" s="3">
        <v>307</v>
      </c>
      <c r="B5741" s="3" t="s">
        <v>854</v>
      </c>
      <c r="C5741" s="3" t="s">
        <v>6606</v>
      </c>
      <c r="D5741" s="3"/>
    </row>
    <row r="5742" spans="1:4">
      <c r="A5742" s="2">
        <v>307</v>
      </c>
      <c r="B5742" s="2" t="s">
        <v>854</v>
      </c>
      <c r="C5742" s="2" t="s">
        <v>6607</v>
      </c>
      <c r="D5742" s="2"/>
    </row>
    <row r="5743" spans="1:4">
      <c r="A5743" s="3">
        <v>307</v>
      </c>
      <c r="B5743" s="3" t="s">
        <v>854</v>
      </c>
      <c r="C5743" s="3" t="s">
        <v>6608</v>
      </c>
      <c r="D5743" s="3"/>
    </row>
    <row r="5744" spans="1:4">
      <c r="A5744" s="2">
        <v>307</v>
      </c>
      <c r="B5744" s="2" t="s">
        <v>854</v>
      </c>
      <c r="C5744" s="2" t="s">
        <v>6609</v>
      </c>
      <c r="D5744" s="2"/>
    </row>
    <row r="5745" spans="1:4">
      <c r="A5745" s="3">
        <v>307</v>
      </c>
      <c r="B5745" s="3" t="s">
        <v>854</v>
      </c>
      <c r="C5745" s="3" t="s">
        <v>6610</v>
      </c>
      <c r="D5745" s="3"/>
    </row>
    <row r="5746" spans="1:4">
      <c r="A5746" s="2">
        <v>307</v>
      </c>
      <c r="B5746" s="2" t="s">
        <v>854</v>
      </c>
      <c r="C5746" s="2" t="s">
        <v>6611</v>
      </c>
      <c r="D5746" s="2"/>
    </row>
    <row r="5747" spans="1:4">
      <c r="A5747" s="3">
        <v>308</v>
      </c>
      <c r="B5747" s="3" t="s">
        <v>854</v>
      </c>
      <c r="C5747" s="3" t="s">
        <v>6612</v>
      </c>
      <c r="D5747" s="3"/>
    </row>
    <row r="5748" spans="1:4">
      <c r="A5748" s="2">
        <v>308</v>
      </c>
      <c r="B5748" s="2" t="s">
        <v>854</v>
      </c>
      <c r="C5748" s="2" t="s">
        <v>6613</v>
      </c>
      <c r="D5748" s="2"/>
    </row>
    <row r="5749" spans="1:4">
      <c r="A5749" s="3">
        <v>308</v>
      </c>
      <c r="B5749" s="3" t="s">
        <v>854</v>
      </c>
      <c r="C5749" s="3" t="s">
        <v>6614</v>
      </c>
      <c r="D5749" s="3"/>
    </row>
    <row r="5750" spans="1:4">
      <c r="A5750" s="2">
        <v>308</v>
      </c>
      <c r="B5750" s="2" t="s">
        <v>854</v>
      </c>
      <c r="C5750" s="2" t="s">
        <v>6615</v>
      </c>
      <c r="D5750" s="2"/>
    </row>
    <row r="5751" spans="1:4">
      <c r="A5751" s="3">
        <v>308</v>
      </c>
      <c r="B5751" s="3" t="s">
        <v>854</v>
      </c>
      <c r="C5751" s="3" t="s">
        <v>6616</v>
      </c>
      <c r="D5751" s="3"/>
    </row>
    <row r="5752" spans="1:4">
      <c r="A5752" s="2">
        <v>308</v>
      </c>
      <c r="B5752" s="2" t="s">
        <v>854</v>
      </c>
      <c r="C5752" s="2" t="s">
        <v>6617</v>
      </c>
      <c r="D5752" s="2"/>
    </row>
    <row r="5753" spans="1:4">
      <c r="A5753" s="3">
        <v>308</v>
      </c>
      <c r="B5753" s="3" t="s">
        <v>854</v>
      </c>
      <c r="C5753" s="3" t="s">
        <v>6618</v>
      </c>
      <c r="D5753" s="3"/>
    </row>
    <row r="5754" spans="1:4">
      <c r="A5754" s="2">
        <v>308</v>
      </c>
      <c r="B5754" s="2" t="s">
        <v>854</v>
      </c>
      <c r="C5754" s="2" t="s">
        <v>6619</v>
      </c>
      <c r="D5754" s="2"/>
    </row>
    <row r="5755" spans="1:4">
      <c r="A5755" s="3">
        <v>308</v>
      </c>
      <c r="B5755" s="3" t="s">
        <v>854</v>
      </c>
      <c r="C5755" s="3" t="s">
        <v>6620</v>
      </c>
      <c r="D5755" s="3"/>
    </row>
    <row r="5756" spans="1:4">
      <c r="A5756" s="2">
        <v>308</v>
      </c>
      <c r="B5756" s="2" t="s">
        <v>854</v>
      </c>
      <c r="C5756" s="2" t="s">
        <v>6621</v>
      </c>
      <c r="D5756" s="2"/>
    </row>
    <row r="5757" spans="1:4">
      <c r="A5757" s="3">
        <v>308</v>
      </c>
      <c r="B5757" s="3" t="s">
        <v>854</v>
      </c>
      <c r="C5757" s="3" t="s">
        <v>6622</v>
      </c>
      <c r="D5757" s="3"/>
    </row>
    <row r="5758" spans="1:4">
      <c r="A5758" s="2">
        <v>308</v>
      </c>
      <c r="B5758" s="2" t="s">
        <v>854</v>
      </c>
      <c r="C5758" s="2" t="s">
        <v>6623</v>
      </c>
      <c r="D5758" s="2"/>
    </row>
    <row r="5759" spans="1:4">
      <c r="A5759" s="3">
        <v>308</v>
      </c>
      <c r="B5759" s="3" t="s">
        <v>854</v>
      </c>
      <c r="C5759" s="3" t="s">
        <v>6624</v>
      </c>
      <c r="D5759" s="3"/>
    </row>
    <row r="5760" spans="1:4">
      <c r="A5760" s="2">
        <v>308</v>
      </c>
      <c r="B5760" s="2" t="s">
        <v>854</v>
      </c>
      <c r="C5760" s="2" t="s">
        <v>6625</v>
      </c>
      <c r="D5760" s="2"/>
    </row>
    <row r="5761" spans="1:4">
      <c r="A5761" s="3">
        <v>308</v>
      </c>
      <c r="B5761" s="3" t="s">
        <v>854</v>
      </c>
      <c r="C5761" s="3" t="s">
        <v>6626</v>
      </c>
      <c r="D5761" s="3"/>
    </row>
    <row r="5762" spans="1:4">
      <c r="A5762" s="2">
        <v>308</v>
      </c>
      <c r="B5762" s="2" t="s">
        <v>854</v>
      </c>
      <c r="C5762" s="2" t="s">
        <v>6627</v>
      </c>
      <c r="D5762" s="2"/>
    </row>
    <row r="5763" spans="1:4">
      <c r="A5763" s="3">
        <v>308</v>
      </c>
      <c r="B5763" s="3" t="s">
        <v>854</v>
      </c>
      <c r="C5763" s="3" t="s">
        <v>6628</v>
      </c>
      <c r="D5763" s="3"/>
    </row>
    <row r="5764" spans="1:4">
      <c r="A5764" s="2">
        <v>308</v>
      </c>
      <c r="B5764" s="2" t="s">
        <v>854</v>
      </c>
      <c r="C5764" s="2" t="s">
        <v>6629</v>
      </c>
      <c r="D5764" s="2"/>
    </row>
    <row r="5765" spans="1:4">
      <c r="A5765" s="3">
        <v>308</v>
      </c>
      <c r="B5765" s="3" t="s">
        <v>854</v>
      </c>
      <c r="C5765" s="3" t="s">
        <v>6630</v>
      </c>
      <c r="D5765" s="3"/>
    </row>
    <row r="5766" spans="1:4">
      <c r="A5766" s="2">
        <v>308</v>
      </c>
      <c r="B5766" s="2" t="s">
        <v>854</v>
      </c>
      <c r="C5766" s="2" t="s">
        <v>6631</v>
      </c>
      <c r="D5766" s="2"/>
    </row>
    <row r="5767" spans="1:4">
      <c r="A5767" s="3">
        <v>308</v>
      </c>
      <c r="B5767" s="3" t="s">
        <v>854</v>
      </c>
      <c r="C5767" s="3" t="s">
        <v>6632</v>
      </c>
      <c r="D5767" s="3"/>
    </row>
    <row r="5768" spans="1:4">
      <c r="A5768" s="2">
        <v>308</v>
      </c>
      <c r="B5768" s="2" t="s">
        <v>854</v>
      </c>
      <c r="C5768" s="2" t="s">
        <v>6633</v>
      </c>
      <c r="D5768" s="2"/>
    </row>
    <row r="5769" spans="1:4">
      <c r="A5769" s="3">
        <v>308</v>
      </c>
      <c r="B5769" s="3" t="s">
        <v>854</v>
      </c>
      <c r="C5769" s="3" t="s">
        <v>6632</v>
      </c>
      <c r="D5769" s="3"/>
    </row>
    <row r="5770" spans="1:4">
      <c r="A5770" s="2">
        <v>308</v>
      </c>
      <c r="B5770" s="2" t="s">
        <v>854</v>
      </c>
      <c r="C5770" s="2" t="s">
        <v>6634</v>
      </c>
      <c r="D5770" s="2"/>
    </row>
    <row r="5771" spans="1:4">
      <c r="A5771" s="3">
        <v>308</v>
      </c>
      <c r="B5771" s="3" t="s">
        <v>854</v>
      </c>
      <c r="C5771" s="3" t="s">
        <v>6635</v>
      </c>
      <c r="D5771" s="3"/>
    </row>
    <row r="5772" spans="1:4">
      <c r="A5772" s="2">
        <v>308</v>
      </c>
      <c r="B5772" s="2" t="s">
        <v>854</v>
      </c>
      <c r="C5772" s="2" t="s">
        <v>6636</v>
      </c>
      <c r="D5772" s="2"/>
    </row>
    <row r="5773" spans="1:4">
      <c r="A5773" s="3">
        <v>308</v>
      </c>
      <c r="B5773" s="3" t="s">
        <v>854</v>
      </c>
      <c r="C5773" s="3" t="s">
        <v>6637</v>
      </c>
      <c r="D5773" s="3"/>
    </row>
    <row r="5774" spans="1:4">
      <c r="A5774" s="2">
        <v>308</v>
      </c>
      <c r="B5774" s="2" t="s">
        <v>854</v>
      </c>
      <c r="C5774" s="2" t="s">
        <v>6638</v>
      </c>
      <c r="D5774" s="2"/>
    </row>
    <row r="5775" spans="1:4">
      <c r="A5775" s="3">
        <v>308</v>
      </c>
      <c r="B5775" s="3" t="s">
        <v>854</v>
      </c>
      <c r="C5775" s="3" t="s">
        <v>6638</v>
      </c>
      <c r="D5775" s="3"/>
    </row>
    <row r="5776" spans="1:4">
      <c r="A5776" s="2">
        <v>308</v>
      </c>
      <c r="B5776" s="2" t="s">
        <v>854</v>
      </c>
      <c r="C5776" s="2" t="s">
        <v>6639</v>
      </c>
      <c r="D5776" s="2"/>
    </row>
    <row r="5777" spans="1:4">
      <c r="A5777" s="3">
        <v>308</v>
      </c>
      <c r="B5777" s="3" t="s">
        <v>854</v>
      </c>
      <c r="C5777" s="3" t="s">
        <v>6638</v>
      </c>
      <c r="D5777" s="3"/>
    </row>
    <row r="5778" spans="1:4">
      <c r="A5778" s="2">
        <v>308</v>
      </c>
      <c r="B5778" s="2" t="s">
        <v>854</v>
      </c>
      <c r="C5778" s="2" t="s">
        <v>6640</v>
      </c>
      <c r="D5778" s="2"/>
    </row>
    <row r="5779" spans="1:4">
      <c r="A5779" s="3">
        <v>308</v>
      </c>
      <c r="B5779" s="3" t="s">
        <v>854</v>
      </c>
      <c r="C5779" s="3" t="s">
        <v>6637</v>
      </c>
      <c r="D5779" s="3"/>
    </row>
    <row r="5780" spans="1:4">
      <c r="A5780" s="2">
        <v>308</v>
      </c>
      <c r="B5780" s="2" t="s">
        <v>854</v>
      </c>
      <c r="C5780" s="2" t="s">
        <v>6641</v>
      </c>
      <c r="D5780" s="2"/>
    </row>
    <row r="5781" spans="1:4">
      <c r="A5781" s="3">
        <v>308</v>
      </c>
      <c r="B5781" s="3" t="s">
        <v>854</v>
      </c>
      <c r="C5781" s="3" t="s">
        <v>6642</v>
      </c>
      <c r="D5781" s="3"/>
    </row>
    <row r="5782" spans="1:4">
      <c r="A5782" s="2">
        <v>308</v>
      </c>
      <c r="B5782" s="2" t="s">
        <v>854</v>
      </c>
      <c r="C5782" s="2" t="s">
        <v>6643</v>
      </c>
      <c r="D5782" s="2"/>
    </row>
    <row r="5783" spans="1:4">
      <c r="A5783" s="3">
        <v>308</v>
      </c>
      <c r="B5783" s="3" t="s">
        <v>854</v>
      </c>
      <c r="C5783" s="3" t="s">
        <v>6644</v>
      </c>
      <c r="D5783" s="3"/>
    </row>
    <row r="5784" spans="1:4">
      <c r="A5784" s="2">
        <v>308</v>
      </c>
      <c r="B5784" s="2" t="s">
        <v>854</v>
      </c>
      <c r="C5784" s="2" t="s">
        <v>6645</v>
      </c>
      <c r="D5784" s="2"/>
    </row>
    <row r="5785" spans="1:4">
      <c r="A5785" s="3">
        <v>308</v>
      </c>
      <c r="B5785" s="3" t="s">
        <v>854</v>
      </c>
      <c r="C5785" s="3" t="s">
        <v>6646</v>
      </c>
      <c r="D5785" s="3"/>
    </row>
    <row r="5786" spans="1:4">
      <c r="A5786" s="2">
        <v>308</v>
      </c>
      <c r="B5786" s="2" t="s">
        <v>854</v>
      </c>
      <c r="C5786" s="2" t="s">
        <v>6647</v>
      </c>
      <c r="D5786" s="2"/>
    </row>
    <row r="5787" spans="1:4">
      <c r="A5787" s="3">
        <v>308</v>
      </c>
      <c r="B5787" s="3" t="s">
        <v>854</v>
      </c>
      <c r="C5787" s="3" t="s">
        <v>6648</v>
      </c>
      <c r="D5787" s="3"/>
    </row>
    <row r="5788" spans="1:4">
      <c r="A5788" s="2">
        <v>308</v>
      </c>
      <c r="B5788" s="2" t="s">
        <v>854</v>
      </c>
      <c r="C5788" s="2" t="s">
        <v>6649</v>
      </c>
      <c r="D5788" s="2"/>
    </row>
    <row r="5789" spans="1:4">
      <c r="A5789" s="3">
        <v>308</v>
      </c>
      <c r="B5789" s="3" t="s">
        <v>854</v>
      </c>
      <c r="C5789" s="3" t="s">
        <v>6650</v>
      </c>
      <c r="D5789" s="3"/>
    </row>
    <row r="5790" spans="1:4">
      <c r="A5790" s="2">
        <v>308</v>
      </c>
      <c r="B5790" s="2" t="s">
        <v>854</v>
      </c>
      <c r="C5790" s="2" t="s">
        <v>6651</v>
      </c>
      <c r="D5790" s="2"/>
    </row>
    <row r="5791" spans="1:4">
      <c r="A5791" s="3">
        <v>308</v>
      </c>
      <c r="B5791" s="3" t="s">
        <v>854</v>
      </c>
      <c r="C5791" s="3" t="s">
        <v>6652</v>
      </c>
      <c r="D5791" s="3"/>
    </row>
    <row r="5792" spans="1:4">
      <c r="A5792" s="2">
        <v>308</v>
      </c>
      <c r="B5792" s="2" t="s">
        <v>854</v>
      </c>
      <c r="C5792" s="2" t="s">
        <v>6653</v>
      </c>
      <c r="D5792" s="2"/>
    </row>
    <row r="5793" spans="1:4">
      <c r="A5793" s="3">
        <v>308</v>
      </c>
      <c r="B5793" s="3" t="s">
        <v>854</v>
      </c>
      <c r="C5793" s="3" t="s">
        <v>6654</v>
      </c>
      <c r="D5793" s="3"/>
    </row>
    <row r="5794" spans="1:4">
      <c r="A5794" s="2">
        <v>308</v>
      </c>
      <c r="B5794" s="2" t="s">
        <v>854</v>
      </c>
      <c r="C5794" s="2" t="s">
        <v>6655</v>
      </c>
      <c r="D5794" s="2"/>
    </row>
    <row r="5795" spans="1:4">
      <c r="A5795" s="3">
        <v>308</v>
      </c>
      <c r="B5795" s="3" t="s">
        <v>854</v>
      </c>
      <c r="C5795" s="3" t="s">
        <v>6656</v>
      </c>
      <c r="D5795" s="3"/>
    </row>
    <row r="5796" spans="1:4">
      <c r="A5796" s="2">
        <v>308</v>
      </c>
      <c r="B5796" s="2" t="s">
        <v>854</v>
      </c>
      <c r="C5796" s="2" t="s">
        <v>6655</v>
      </c>
      <c r="D5796" s="2"/>
    </row>
    <row r="5797" spans="1:4">
      <c r="A5797" s="3">
        <v>309</v>
      </c>
      <c r="B5797" s="3" t="s">
        <v>854</v>
      </c>
      <c r="C5797" s="3" t="s">
        <v>6657</v>
      </c>
      <c r="D5797" s="3"/>
    </row>
    <row r="5798" spans="1:4">
      <c r="A5798" s="2">
        <v>309</v>
      </c>
      <c r="B5798" s="2" t="s">
        <v>854</v>
      </c>
      <c r="C5798" s="2" t="s">
        <v>6658</v>
      </c>
      <c r="D5798" s="2"/>
    </row>
    <row r="5799" spans="1:4">
      <c r="A5799" s="3">
        <v>309</v>
      </c>
      <c r="B5799" s="3" t="s">
        <v>854</v>
      </c>
      <c r="C5799" s="3" t="s">
        <v>6659</v>
      </c>
      <c r="D5799" s="3"/>
    </row>
    <row r="5800" spans="1:4">
      <c r="A5800" s="2">
        <v>309</v>
      </c>
      <c r="B5800" s="2" t="s">
        <v>854</v>
      </c>
      <c r="C5800" s="2" t="s">
        <v>6660</v>
      </c>
      <c r="D5800" s="2"/>
    </row>
    <row r="5801" spans="1:4">
      <c r="A5801" s="3">
        <v>309</v>
      </c>
      <c r="B5801" s="3" t="s">
        <v>854</v>
      </c>
      <c r="C5801" s="3" t="s">
        <v>6661</v>
      </c>
      <c r="D5801" s="3"/>
    </row>
    <row r="5802" spans="1:4">
      <c r="A5802" s="2">
        <v>309</v>
      </c>
      <c r="B5802" s="2" t="s">
        <v>854</v>
      </c>
      <c r="C5802" s="2" t="s">
        <v>6662</v>
      </c>
      <c r="D5802" s="2"/>
    </row>
    <row r="5803" spans="1:4">
      <c r="A5803" s="3">
        <v>309</v>
      </c>
      <c r="B5803" s="3" t="s">
        <v>854</v>
      </c>
      <c r="C5803" s="3" t="s">
        <v>6663</v>
      </c>
      <c r="D5803" s="3"/>
    </row>
    <row r="5804" spans="1:4">
      <c r="A5804" s="2">
        <v>309</v>
      </c>
      <c r="B5804" s="2" t="s">
        <v>854</v>
      </c>
      <c r="C5804" s="2" t="s">
        <v>6664</v>
      </c>
      <c r="D5804" s="2"/>
    </row>
    <row r="5805" spans="1:4">
      <c r="A5805" s="3">
        <v>309</v>
      </c>
      <c r="B5805" s="3" t="s">
        <v>854</v>
      </c>
      <c r="C5805" s="3" t="s">
        <v>6665</v>
      </c>
      <c r="D5805" s="3"/>
    </row>
    <row r="5806" spans="1:4">
      <c r="A5806" s="2">
        <v>309</v>
      </c>
      <c r="B5806" s="2" t="s">
        <v>854</v>
      </c>
      <c r="C5806" s="2" t="s">
        <v>6666</v>
      </c>
      <c r="D5806" s="2"/>
    </row>
    <row r="5807" spans="1:4">
      <c r="A5807" s="3">
        <v>309</v>
      </c>
      <c r="B5807" s="3" t="s">
        <v>854</v>
      </c>
      <c r="C5807" s="3" t="s">
        <v>6667</v>
      </c>
      <c r="D5807" s="3"/>
    </row>
    <row r="5808" spans="1:4">
      <c r="A5808" s="2">
        <v>309</v>
      </c>
      <c r="B5808" s="2" t="s">
        <v>854</v>
      </c>
      <c r="C5808" s="2" t="s">
        <v>6668</v>
      </c>
      <c r="D5808" s="2"/>
    </row>
    <row r="5809" spans="1:4">
      <c r="A5809" s="3">
        <v>309</v>
      </c>
      <c r="B5809" s="3" t="s">
        <v>854</v>
      </c>
      <c r="C5809" s="3" t="s">
        <v>6669</v>
      </c>
      <c r="D5809" s="3"/>
    </row>
    <row r="5810" spans="1:4">
      <c r="A5810" s="2">
        <v>309</v>
      </c>
      <c r="B5810" s="2" t="s">
        <v>854</v>
      </c>
      <c r="C5810" s="2" t="s">
        <v>6670</v>
      </c>
      <c r="D5810" s="2"/>
    </row>
    <row r="5811" spans="1:4">
      <c r="A5811" s="3">
        <v>309</v>
      </c>
      <c r="B5811" s="3" t="s">
        <v>854</v>
      </c>
      <c r="C5811" s="3" t="s">
        <v>6671</v>
      </c>
      <c r="D5811" s="3"/>
    </row>
    <row r="5812" spans="1:4">
      <c r="A5812" s="2">
        <v>309</v>
      </c>
      <c r="B5812" s="2" t="s">
        <v>854</v>
      </c>
      <c r="C5812" s="2" t="s">
        <v>6672</v>
      </c>
      <c r="D5812" s="2"/>
    </row>
    <row r="5813" spans="1:4">
      <c r="A5813" s="3">
        <v>309</v>
      </c>
      <c r="B5813" s="3" t="s">
        <v>854</v>
      </c>
      <c r="C5813" s="3" t="s">
        <v>6673</v>
      </c>
      <c r="D5813" s="3"/>
    </row>
    <row r="5814" spans="1:4">
      <c r="A5814" s="2">
        <v>309</v>
      </c>
      <c r="B5814" s="2" t="s">
        <v>854</v>
      </c>
      <c r="C5814" s="2" t="s">
        <v>6674</v>
      </c>
      <c r="D5814" s="2"/>
    </row>
    <row r="5815" spans="1:4">
      <c r="A5815" s="3">
        <v>309</v>
      </c>
      <c r="B5815" s="3" t="s">
        <v>854</v>
      </c>
      <c r="C5815" s="3" t="s">
        <v>6675</v>
      </c>
      <c r="D5815" s="3"/>
    </row>
    <row r="5816" spans="1:4">
      <c r="A5816" s="2">
        <v>309</v>
      </c>
      <c r="B5816" s="2" t="s">
        <v>854</v>
      </c>
      <c r="C5816" s="2" t="s">
        <v>6676</v>
      </c>
      <c r="D5816" s="2"/>
    </row>
    <row r="5817" spans="1:4">
      <c r="A5817" s="3">
        <v>309</v>
      </c>
      <c r="B5817" s="3" t="s">
        <v>854</v>
      </c>
      <c r="C5817" s="3" t="s">
        <v>6677</v>
      </c>
      <c r="D5817" s="3"/>
    </row>
    <row r="5818" spans="1:4">
      <c r="A5818" s="2">
        <v>309</v>
      </c>
      <c r="B5818" s="2" t="s">
        <v>854</v>
      </c>
      <c r="C5818" s="2" t="s">
        <v>6678</v>
      </c>
      <c r="D5818" s="2"/>
    </row>
    <row r="5819" spans="1:4">
      <c r="A5819" s="3">
        <v>309</v>
      </c>
      <c r="B5819" s="3" t="s">
        <v>854</v>
      </c>
      <c r="C5819" s="3" t="s">
        <v>6679</v>
      </c>
      <c r="D5819" s="3"/>
    </row>
    <row r="5820" spans="1:4">
      <c r="A5820" s="2">
        <v>309</v>
      </c>
      <c r="B5820" s="2" t="s">
        <v>854</v>
      </c>
      <c r="C5820" s="2" t="s">
        <v>6680</v>
      </c>
      <c r="D5820" s="2"/>
    </row>
    <row r="5821" spans="1:4">
      <c r="A5821" s="3">
        <v>309</v>
      </c>
      <c r="B5821" s="3" t="s">
        <v>854</v>
      </c>
      <c r="C5821" s="3" t="s">
        <v>6681</v>
      </c>
      <c r="D5821" s="3"/>
    </row>
    <row r="5822" spans="1:4">
      <c r="A5822" s="2">
        <v>309</v>
      </c>
      <c r="B5822" s="2" t="s">
        <v>854</v>
      </c>
      <c r="C5822" s="2" t="s">
        <v>6682</v>
      </c>
      <c r="D5822" s="2"/>
    </row>
    <row r="5823" spans="1:4">
      <c r="A5823" s="3">
        <v>309</v>
      </c>
      <c r="B5823" s="3" t="s">
        <v>854</v>
      </c>
      <c r="C5823" s="3" t="s">
        <v>6676</v>
      </c>
      <c r="D5823" s="3"/>
    </row>
    <row r="5824" spans="1:4">
      <c r="A5824" s="2">
        <v>309</v>
      </c>
      <c r="B5824" s="2" t="s">
        <v>854</v>
      </c>
      <c r="C5824" s="2" t="s">
        <v>6677</v>
      </c>
      <c r="D5824" s="2"/>
    </row>
    <row r="5825" spans="1:4">
      <c r="A5825" s="3">
        <v>309</v>
      </c>
      <c r="B5825" s="3" t="s">
        <v>854</v>
      </c>
      <c r="C5825" s="3" t="s">
        <v>6683</v>
      </c>
      <c r="D5825" s="3"/>
    </row>
    <row r="5826" spans="1:4">
      <c r="A5826" s="2">
        <v>309</v>
      </c>
      <c r="B5826" s="2" t="s">
        <v>854</v>
      </c>
      <c r="C5826" s="2" t="s">
        <v>6684</v>
      </c>
      <c r="D5826" s="2"/>
    </row>
    <row r="5827" spans="1:4">
      <c r="A5827" s="3">
        <v>309</v>
      </c>
      <c r="B5827" s="3" t="s">
        <v>854</v>
      </c>
      <c r="C5827" s="3" t="s">
        <v>6685</v>
      </c>
      <c r="D5827" s="3"/>
    </row>
    <row r="5828" spans="1:4">
      <c r="A5828" s="2">
        <v>309</v>
      </c>
      <c r="B5828" s="2" t="s">
        <v>854</v>
      </c>
      <c r="C5828" s="2" t="s">
        <v>6686</v>
      </c>
      <c r="D5828" s="2"/>
    </row>
    <row r="5829" spans="1:4">
      <c r="A5829" s="3">
        <v>309</v>
      </c>
      <c r="B5829" s="3" t="s">
        <v>854</v>
      </c>
      <c r="C5829" s="3" t="s">
        <v>6687</v>
      </c>
      <c r="D5829" s="3"/>
    </row>
    <row r="5830" spans="1:4">
      <c r="A5830" s="2">
        <v>309</v>
      </c>
      <c r="B5830" s="2" t="s">
        <v>854</v>
      </c>
      <c r="C5830" s="2" t="s">
        <v>6688</v>
      </c>
      <c r="D5830" s="2"/>
    </row>
    <row r="5831" spans="1:4">
      <c r="A5831" s="3">
        <v>309</v>
      </c>
      <c r="B5831" s="3" t="s">
        <v>854</v>
      </c>
      <c r="C5831" s="3" t="s">
        <v>6689</v>
      </c>
      <c r="D5831" s="3"/>
    </row>
    <row r="5832" spans="1:4">
      <c r="A5832" s="2">
        <v>309</v>
      </c>
      <c r="B5832" s="2" t="s">
        <v>854</v>
      </c>
      <c r="C5832" s="2" t="s">
        <v>6690</v>
      </c>
      <c r="D5832" s="2"/>
    </row>
    <row r="5833" spans="1:4">
      <c r="A5833" s="3">
        <v>309</v>
      </c>
      <c r="B5833" s="3" t="s">
        <v>854</v>
      </c>
      <c r="C5833" s="3" t="s">
        <v>6691</v>
      </c>
      <c r="D5833" s="3"/>
    </row>
    <row r="5834" spans="1:4">
      <c r="A5834" s="2">
        <v>309</v>
      </c>
      <c r="B5834" s="2" t="s">
        <v>854</v>
      </c>
      <c r="C5834" s="2" t="s">
        <v>6692</v>
      </c>
      <c r="D5834" s="2"/>
    </row>
    <row r="5835" spans="1:4">
      <c r="A5835" s="3">
        <v>309</v>
      </c>
      <c r="B5835" s="3" t="s">
        <v>854</v>
      </c>
      <c r="C5835" s="3" t="s">
        <v>6693</v>
      </c>
      <c r="D5835" s="3"/>
    </row>
    <row r="5836" spans="1:4">
      <c r="A5836" s="2">
        <v>309</v>
      </c>
      <c r="B5836" s="2" t="s">
        <v>854</v>
      </c>
      <c r="C5836" s="2" t="s">
        <v>6694</v>
      </c>
      <c r="D5836" s="2"/>
    </row>
    <row r="5837" spans="1:4">
      <c r="A5837" s="3">
        <v>309</v>
      </c>
      <c r="B5837" s="3" t="s">
        <v>854</v>
      </c>
      <c r="C5837" s="3" t="s">
        <v>6695</v>
      </c>
      <c r="D5837" s="3"/>
    </row>
    <row r="5838" spans="1:4">
      <c r="A5838" s="2">
        <v>309</v>
      </c>
      <c r="B5838" s="2" t="s">
        <v>854</v>
      </c>
      <c r="C5838" s="2" t="s">
        <v>6696</v>
      </c>
      <c r="D5838" s="2"/>
    </row>
    <row r="5839" spans="1:4">
      <c r="A5839" s="3">
        <v>309</v>
      </c>
      <c r="B5839" s="3" t="s">
        <v>854</v>
      </c>
      <c r="C5839" s="3" t="s">
        <v>6697</v>
      </c>
      <c r="D5839" s="3"/>
    </row>
    <row r="5840" spans="1:4">
      <c r="A5840" s="2">
        <v>309</v>
      </c>
      <c r="B5840" s="2" t="s">
        <v>854</v>
      </c>
      <c r="C5840" s="2" t="s">
        <v>6698</v>
      </c>
      <c r="D5840" s="2"/>
    </row>
    <row r="5841" spans="1:4">
      <c r="A5841" s="3">
        <v>309</v>
      </c>
      <c r="B5841" s="3" t="s">
        <v>854</v>
      </c>
      <c r="C5841" s="3" t="s">
        <v>6699</v>
      </c>
      <c r="D5841" s="3"/>
    </row>
    <row r="5842" spans="1:4">
      <c r="A5842" s="2">
        <v>309</v>
      </c>
      <c r="B5842" s="2" t="s">
        <v>854</v>
      </c>
      <c r="C5842" s="2" t="s">
        <v>6700</v>
      </c>
      <c r="D5842" s="2"/>
    </row>
    <row r="5843" spans="1:4">
      <c r="A5843" s="3">
        <v>309</v>
      </c>
      <c r="B5843" s="3" t="s">
        <v>854</v>
      </c>
      <c r="C5843" s="3" t="s">
        <v>6701</v>
      </c>
      <c r="D5843" s="3"/>
    </row>
    <row r="5844" spans="1:4">
      <c r="A5844" s="2">
        <v>309</v>
      </c>
      <c r="B5844" s="2" t="s">
        <v>854</v>
      </c>
      <c r="C5844" s="2" t="s">
        <v>6702</v>
      </c>
      <c r="D5844" s="2"/>
    </row>
    <row r="5845" spans="1:4">
      <c r="A5845" s="3">
        <v>309</v>
      </c>
      <c r="B5845" s="3" t="s">
        <v>854</v>
      </c>
      <c r="C5845" s="3" t="s">
        <v>6703</v>
      </c>
      <c r="D5845" s="3"/>
    </row>
    <row r="5846" spans="1:4">
      <c r="A5846" s="2">
        <v>309</v>
      </c>
      <c r="B5846" s="2" t="s">
        <v>854</v>
      </c>
      <c r="C5846" s="2" t="s">
        <v>6704</v>
      </c>
      <c r="D5846" s="2"/>
    </row>
    <row r="5847" spans="1:4">
      <c r="A5847" s="3">
        <v>310</v>
      </c>
      <c r="B5847" s="3" t="s">
        <v>854</v>
      </c>
      <c r="C5847" s="3" t="s">
        <v>6705</v>
      </c>
      <c r="D5847" s="3"/>
    </row>
    <row r="5848" spans="1:4">
      <c r="A5848" s="2">
        <v>310</v>
      </c>
      <c r="B5848" s="2" t="s">
        <v>854</v>
      </c>
      <c r="C5848" s="2" t="s">
        <v>6706</v>
      </c>
      <c r="D5848" s="2"/>
    </row>
    <row r="5849" spans="1:4">
      <c r="A5849" s="3">
        <v>310</v>
      </c>
      <c r="B5849" s="3" t="s">
        <v>854</v>
      </c>
      <c r="C5849" s="3" t="s">
        <v>6707</v>
      </c>
      <c r="D5849" s="3"/>
    </row>
    <row r="5850" spans="1:4">
      <c r="A5850" s="2">
        <v>310</v>
      </c>
      <c r="B5850" s="2" t="s">
        <v>854</v>
      </c>
      <c r="C5850" s="2" t="s">
        <v>6708</v>
      </c>
      <c r="D5850" s="2"/>
    </row>
    <row r="5851" spans="1:4">
      <c r="A5851" s="3">
        <v>310</v>
      </c>
      <c r="B5851" s="3" t="s">
        <v>854</v>
      </c>
      <c r="C5851" s="3" t="s">
        <v>6709</v>
      </c>
      <c r="D5851" s="3"/>
    </row>
    <row r="5852" spans="1:4">
      <c r="A5852" s="2">
        <v>310</v>
      </c>
      <c r="B5852" s="2" t="s">
        <v>854</v>
      </c>
      <c r="C5852" s="2" t="s">
        <v>6710</v>
      </c>
      <c r="D5852" s="2"/>
    </row>
    <row r="5853" spans="1:4">
      <c r="A5853" s="3">
        <v>310</v>
      </c>
      <c r="B5853" s="3" t="s">
        <v>854</v>
      </c>
      <c r="C5853" s="3" t="s">
        <v>6711</v>
      </c>
      <c r="D5853" s="3"/>
    </row>
    <row r="5854" spans="1:4">
      <c r="A5854" s="2">
        <v>310</v>
      </c>
      <c r="B5854" s="2" t="s">
        <v>854</v>
      </c>
      <c r="C5854" s="2" t="s">
        <v>6712</v>
      </c>
      <c r="D5854" s="2"/>
    </row>
    <row r="5855" spans="1:4">
      <c r="A5855" s="3">
        <v>310</v>
      </c>
      <c r="B5855" s="3" t="s">
        <v>854</v>
      </c>
      <c r="C5855" s="3" t="s">
        <v>6713</v>
      </c>
      <c r="D5855" s="3"/>
    </row>
    <row r="5856" spans="1:4">
      <c r="A5856" s="2">
        <v>310</v>
      </c>
      <c r="B5856" s="2" t="s">
        <v>854</v>
      </c>
      <c r="C5856" s="2" t="s">
        <v>6714</v>
      </c>
      <c r="D5856" s="2"/>
    </row>
    <row r="5857" spans="1:4">
      <c r="A5857" s="3">
        <v>310</v>
      </c>
      <c r="B5857" s="3" t="s">
        <v>854</v>
      </c>
      <c r="C5857" s="3" t="s">
        <v>6715</v>
      </c>
      <c r="D5857" s="3"/>
    </row>
    <row r="5858" spans="1:4">
      <c r="A5858" s="2">
        <v>310</v>
      </c>
      <c r="B5858" s="2" t="s">
        <v>854</v>
      </c>
      <c r="C5858" s="2" t="s">
        <v>6716</v>
      </c>
      <c r="D5858" s="2"/>
    </row>
    <row r="5859" spans="1:4">
      <c r="A5859" s="3">
        <v>310</v>
      </c>
      <c r="B5859" s="3" t="s">
        <v>854</v>
      </c>
      <c r="C5859" s="3" t="s">
        <v>6374</v>
      </c>
      <c r="D5859" s="3"/>
    </row>
    <row r="5860" spans="1:4">
      <c r="A5860" s="2">
        <v>310</v>
      </c>
      <c r="B5860" s="2" t="s">
        <v>854</v>
      </c>
      <c r="C5860" s="2" t="s">
        <v>6375</v>
      </c>
      <c r="D5860" s="2"/>
    </row>
    <row r="5861" spans="1:4">
      <c r="A5861" s="3">
        <v>310</v>
      </c>
      <c r="B5861" s="3" t="s">
        <v>854</v>
      </c>
      <c r="C5861" s="3" t="s">
        <v>6717</v>
      </c>
      <c r="D5861" s="3"/>
    </row>
    <row r="5862" spans="1:4">
      <c r="A5862" s="2">
        <v>310</v>
      </c>
      <c r="B5862" s="2" t="s">
        <v>854</v>
      </c>
      <c r="C5862" s="2" t="s">
        <v>6718</v>
      </c>
      <c r="D5862" s="2"/>
    </row>
    <row r="5863" spans="1:4">
      <c r="A5863" s="3">
        <v>310</v>
      </c>
      <c r="B5863" s="3" t="s">
        <v>854</v>
      </c>
      <c r="C5863" s="3" t="s">
        <v>6719</v>
      </c>
      <c r="D5863" s="3"/>
    </row>
    <row r="5864" spans="1:4">
      <c r="A5864" s="2">
        <v>310</v>
      </c>
      <c r="B5864" s="2" t="s">
        <v>854</v>
      </c>
      <c r="C5864" s="2" t="s">
        <v>6720</v>
      </c>
      <c r="D5864" s="2"/>
    </row>
    <row r="5865" spans="1:4">
      <c r="A5865" s="3">
        <v>310</v>
      </c>
      <c r="B5865" s="3" t="s">
        <v>854</v>
      </c>
      <c r="C5865" s="3" t="s">
        <v>6721</v>
      </c>
      <c r="D5865" s="3"/>
    </row>
    <row r="5866" spans="1:4">
      <c r="A5866" s="2">
        <v>310</v>
      </c>
      <c r="B5866" s="2" t="s">
        <v>854</v>
      </c>
      <c r="C5866" s="2" t="s">
        <v>6722</v>
      </c>
      <c r="D5866" s="2"/>
    </row>
    <row r="5867" spans="1:4">
      <c r="A5867" s="3">
        <v>310</v>
      </c>
      <c r="B5867" s="3" t="s">
        <v>854</v>
      </c>
      <c r="C5867" s="3" t="s">
        <v>6723</v>
      </c>
      <c r="D5867" s="3"/>
    </row>
    <row r="5868" spans="1:4">
      <c r="A5868" s="2">
        <v>310</v>
      </c>
      <c r="B5868" s="2" t="s">
        <v>854</v>
      </c>
      <c r="C5868" s="2" t="s">
        <v>6722</v>
      </c>
      <c r="D5868" s="2"/>
    </row>
    <row r="5869" spans="1:4">
      <c r="A5869" s="3">
        <v>310</v>
      </c>
      <c r="B5869" s="3" t="s">
        <v>854</v>
      </c>
      <c r="C5869" s="3" t="s">
        <v>6724</v>
      </c>
      <c r="D5869" s="3"/>
    </row>
    <row r="5870" spans="1:4">
      <c r="A5870" s="2">
        <v>310</v>
      </c>
      <c r="B5870" s="2" t="s">
        <v>854</v>
      </c>
      <c r="C5870" s="2" t="s">
        <v>6725</v>
      </c>
      <c r="D5870" s="2"/>
    </row>
    <row r="5871" spans="1:4">
      <c r="A5871" s="3">
        <v>310</v>
      </c>
      <c r="B5871" s="3" t="s">
        <v>854</v>
      </c>
      <c r="C5871" s="3" t="s">
        <v>6726</v>
      </c>
      <c r="D5871" s="3"/>
    </row>
    <row r="5872" spans="1:4">
      <c r="A5872" s="2">
        <v>310</v>
      </c>
      <c r="B5872" s="2" t="s">
        <v>854</v>
      </c>
      <c r="C5872" s="2" t="s">
        <v>6727</v>
      </c>
      <c r="D5872" s="2"/>
    </row>
    <row r="5873" spans="1:4">
      <c r="A5873" s="3">
        <v>310</v>
      </c>
      <c r="B5873" s="3" t="s">
        <v>854</v>
      </c>
      <c r="C5873" s="3" t="s">
        <v>6722</v>
      </c>
      <c r="D5873" s="3"/>
    </row>
    <row r="5874" spans="1:4">
      <c r="A5874" s="2">
        <v>310</v>
      </c>
      <c r="B5874" s="2" t="s">
        <v>854</v>
      </c>
      <c r="C5874" s="2" t="s">
        <v>6728</v>
      </c>
      <c r="D5874" s="2"/>
    </row>
    <row r="5875" spans="1:4">
      <c r="A5875" s="3">
        <v>310</v>
      </c>
      <c r="B5875" s="3" t="s">
        <v>854</v>
      </c>
      <c r="C5875" s="3" t="s">
        <v>6729</v>
      </c>
      <c r="D5875" s="3"/>
    </row>
    <row r="5876" spans="1:4">
      <c r="A5876" s="2">
        <v>310</v>
      </c>
      <c r="B5876" s="2" t="s">
        <v>854</v>
      </c>
      <c r="C5876" s="2" t="s">
        <v>6730</v>
      </c>
      <c r="D5876" s="2"/>
    </row>
    <row r="5877" spans="1:4">
      <c r="A5877" s="3">
        <v>311</v>
      </c>
      <c r="B5877" s="3" t="s">
        <v>954</v>
      </c>
      <c r="C5877" s="3" t="s">
        <v>6731</v>
      </c>
      <c r="D5877" s="3"/>
    </row>
    <row r="5878" spans="1:4">
      <c r="A5878" s="2">
        <v>312</v>
      </c>
      <c r="B5878" s="2" t="s">
        <v>949</v>
      </c>
      <c r="C5878" s="2" t="s">
        <v>6732</v>
      </c>
      <c r="D5878" s="2"/>
    </row>
    <row r="5879" spans="1:4">
      <c r="A5879" s="3">
        <v>312</v>
      </c>
      <c r="B5879" s="3" t="s">
        <v>949</v>
      </c>
      <c r="C5879" s="3" t="s">
        <v>6733</v>
      </c>
      <c r="D5879" s="3"/>
    </row>
    <row r="5880" spans="1:4">
      <c r="A5880" s="2">
        <v>312</v>
      </c>
      <c r="B5880" s="2" t="s">
        <v>949</v>
      </c>
      <c r="C5880" s="2" t="s">
        <v>6734</v>
      </c>
      <c r="D5880" s="2"/>
    </row>
    <row r="5881" spans="1:4">
      <c r="A5881" s="3">
        <v>312</v>
      </c>
      <c r="B5881" s="3" t="s">
        <v>949</v>
      </c>
      <c r="C5881" s="3" t="s">
        <v>6735</v>
      </c>
      <c r="D5881" s="3"/>
    </row>
    <row r="5882" spans="1:4">
      <c r="A5882" s="2">
        <v>312</v>
      </c>
      <c r="B5882" s="2" t="s">
        <v>949</v>
      </c>
      <c r="C5882" s="2" t="s">
        <v>6736</v>
      </c>
      <c r="D5882" s="2"/>
    </row>
    <row r="5883" spans="1:4">
      <c r="A5883" s="3">
        <v>312</v>
      </c>
      <c r="B5883" s="3" t="s">
        <v>949</v>
      </c>
      <c r="C5883" s="3" t="s">
        <v>6737</v>
      </c>
      <c r="D5883" s="3"/>
    </row>
    <row r="5884" spans="1:4">
      <c r="A5884" s="2">
        <v>313</v>
      </c>
      <c r="B5884" s="2" t="s">
        <v>960</v>
      </c>
      <c r="C5884" s="2" t="s">
        <v>6738</v>
      </c>
      <c r="D5884" s="2"/>
    </row>
    <row r="5885" spans="1:4">
      <c r="A5885" s="3">
        <v>313</v>
      </c>
      <c r="B5885" s="3" t="s">
        <v>960</v>
      </c>
      <c r="C5885" s="3" t="s">
        <v>6739</v>
      </c>
      <c r="D5885" s="3"/>
    </row>
    <row r="5886" spans="1:4">
      <c r="A5886" s="2">
        <v>313</v>
      </c>
      <c r="B5886" s="2" t="s">
        <v>960</v>
      </c>
      <c r="C5886" s="2" t="s">
        <v>6740</v>
      </c>
      <c r="D5886" s="2"/>
    </row>
    <row r="5887" spans="1:4">
      <c r="A5887" s="3">
        <v>313</v>
      </c>
      <c r="B5887" s="3" t="s">
        <v>960</v>
      </c>
      <c r="C5887" s="3" t="s">
        <v>6741</v>
      </c>
      <c r="D5887" s="3"/>
    </row>
    <row r="5888" spans="1:4">
      <c r="A5888" s="2">
        <v>313</v>
      </c>
      <c r="B5888" s="2" t="s">
        <v>960</v>
      </c>
      <c r="C5888" s="2" t="s">
        <v>6742</v>
      </c>
      <c r="D5888" s="2"/>
    </row>
    <row r="5889" spans="1:4">
      <c r="A5889" s="3">
        <v>313</v>
      </c>
      <c r="B5889" s="3" t="s">
        <v>960</v>
      </c>
      <c r="C5889" s="3" t="s">
        <v>6743</v>
      </c>
      <c r="D5889" s="3"/>
    </row>
    <row r="5890" spans="1:4">
      <c r="A5890" s="2">
        <v>313</v>
      </c>
      <c r="B5890" s="2" t="s">
        <v>960</v>
      </c>
      <c r="C5890" s="2" t="s">
        <v>6744</v>
      </c>
      <c r="D5890" s="2"/>
    </row>
    <row r="5891" spans="1:4">
      <c r="A5891" s="3">
        <v>313</v>
      </c>
      <c r="B5891" s="3" t="s">
        <v>960</v>
      </c>
      <c r="C5891" s="3" t="s">
        <v>6745</v>
      </c>
      <c r="D5891" s="3"/>
    </row>
    <row r="5892" spans="1:4">
      <c r="A5892" s="2">
        <v>313</v>
      </c>
      <c r="B5892" s="2" t="s">
        <v>960</v>
      </c>
      <c r="C5892" s="2" t="s">
        <v>6746</v>
      </c>
      <c r="D5892" s="2"/>
    </row>
    <row r="5893" spans="1:4">
      <c r="A5893" s="3">
        <v>313</v>
      </c>
      <c r="B5893" s="3" t="s">
        <v>960</v>
      </c>
      <c r="C5893" s="3" t="s">
        <v>6747</v>
      </c>
      <c r="D5893" s="3"/>
    </row>
    <row r="5894" spans="1:4">
      <c r="A5894" s="2">
        <v>313</v>
      </c>
      <c r="B5894" s="2" t="s">
        <v>960</v>
      </c>
      <c r="C5894" s="2" t="s">
        <v>6748</v>
      </c>
      <c r="D5894" s="2"/>
    </row>
    <row r="5895" spans="1:4">
      <c r="A5895" s="3">
        <v>313</v>
      </c>
      <c r="B5895" s="3" t="s">
        <v>960</v>
      </c>
      <c r="C5895" s="3" t="s">
        <v>6749</v>
      </c>
      <c r="D5895" s="3"/>
    </row>
    <row r="5896" spans="1:4">
      <c r="A5896" s="2">
        <v>313</v>
      </c>
      <c r="B5896" s="2" t="s">
        <v>960</v>
      </c>
      <c r="C5896" s="2">
        <f>= +∑ T</f>
        <v>0</v>
      </c>
      <c r="D5896" s="2"/>
    </row>
    <row r="5897" spans="1:4">
      <c r="A5897" s="3">
        <v>313</v>
      </c>
      <c r="B5897" s="3" t="s">
        <v>960</v>
      </c>
      <c r="C5897" s="3" t="s">
        <v>6750</v>
      </c>
      <c r="D5897" s="3"/>
    </row>
    <row r="5898" spans="1:4">
      <c r="A5898" s="2">
        <v>313</v>
      </c>
      <c r="B5898" s="2" t="s">
        <v>960</v>
      </c>
      <c r="C5898" s="2" t="s">
        <v>6751</v>
      </c>
      <c r="D5898" s="2"/>
    </row>
    <row r="5899" spans="1:4">
      <c r="A5899" s="3">
        <v>313</v>
      </c>
      <c r="B5899" s="3" t="s">
        <v>960</v>
      </c>
      <c r="C5899" s="3" t="s">
        <v>6752</v>
      </c>
      <c r="D5899" s="3"/>
    </row>
    <row r="5900" spans="1:4">
      <c r="A5900" s="2">
        <v>313</v>
      </c>
      <c r="B5900" s="2" t="s">
        <v>960</v>
      </c>
      <c r="C5900" s="2" t="s">
        <v>6753</v>
      </c>
      <c r="D5900" s="2"/>
    </row>
    <row r="5901" spans="1:4">
      <c r="A5901" s="3">
        <v>313</v>
      </c>
      <c r="B5901" s="3" t="s">
        <v>960</v>
      </c>
      <c r="C5901" s="3">
        <f> == +∑∑∫ </f>
        <v>0</v>
      </c>
      <c r="D5901" s="3"/>
    </row>
    <row r="5902" spans="1:4">
      <c r="A5902" s="2">
        <v>314</v>
      </c>
      <c r="B5902" s="2" t="s">
        <v>1050</v>
      </c>
      <c r="C5902" s="2" t="s">
        <v>6754</v>
      </c>
      <c r="D5902" s="2"/>
    </row>
    <row r="5903" spans="1:4">
      <c r="A5903" s="3">
        <v>314</v>
      </c>
      <c r="B5903" s="3" t="s">
        <v>1050</v>
      </c>
      <c r="C5903" s="3" t="s">
        <v>6755</v>
      </c>
      <c r="D5903" s="3"/>
    </row>
    <row r="5904" spans="1:4">
      <c r="A5904" s="2">
        <v>314</v>
      </c>
      <c r="B5904" s="2" t="s">
        <v>1050</v>
      </c>
      <c r="C5904" s="2" t="s">
        <v>6756</v>
      </c>
      <c r="D5904" s="2"/>
    </row>
    <row r="5905" spans="1:4">
      <c r="A5905" s="3">
        <v>314</v>
      </c>
      <c r="B5905" s="3" t="s">
        <v>1050</v>
      </c>
      <c r="C5905" s="3" t="s">
        <v>6757</v>
      </c>
      <c r="D5905" s="3"/>
    </row>
    <row r="5906" spans="1:4">
      <c r="A5906" s="2">
        <v>314</v>
      </c>
      <c r="B5906" s="2" t="s">
        <v>1050</v>
      </c>
      <c r="C5906" s="2" t="s">
        <v>6758</v>
      </c>
      <c r="D5906" s="2"/>
    </row>
    <row r="5907" spans="1:4">
      <c r="A5907" s="3">
        <v>314</v>
      </c>
      <c r="B5907" s="3" t="s">
        <v>1050</v>
      </c>
      <c r="C5907" s="3" t="s">
        <v>6759</v>
      </c>
      <c r="D5907" s="3"/>
    </row>
    <row r="5908" spans="1:4">
      <c r="A5908" s="2">
        <v>314</v>
      </c>
      <c r="B5908" s="2" t="s">
        <v>1050</v>
      </c>
      <c r="C5908" s="2" t="s">
        <v>6760</v>
      </c>
      <c r="D5908" s="2"/>
    </row>
    <row r="5909" spans="1:4">
      <c r="A5909" s="3">
        <v>314</v>
      </c>
      <c r="B5909" s="3" t="s">
        <v>1050</v>
      </c>
      <c r="C5909" s="3" t="s">
        <v>6761</v>
      </c>
      <c r="D5909" s="3"/>
    </row>
    <row r="5910" spans="1:4">
      <c r="A5910" s="2">
        <v>314</v>
      </c>
      <c r="B5910" s="2" t="s">
        <v>1050</v>
      </c>
      <c r="C5910" s="2" t="s">
        <v>6762</v>
      </c>
      <c r="D5910" s="2"/>
    </row>
    <row r="5911" spans="1:4">
      <c r="A5911" s="3">
        <v>314</v>
      </c>
      <c r="B5911" s="3" t="s">
        <v>1050</v>
      </c>
      <c r="C5911" s="3" t="s">
        <v>6763</v>
      </c>
      <c r="D5911" s="3"/>
    </row>
    <row r="5912" spans="1:4">
      <c r="A5912" s="2">
        <v>314</v>
      </c>
      <c r="B5912" s="2" t="s">
        <v>1050</v>
      </c>
      <c r="C5912" s="2" t="s">
        <v>6764</v>
      </c>
      <c r="D5912" s="2"/>
    </row>
    <row r="5913" spans="1:4">
      <c r="A5913" s="3">
        <v>314</v>
      </c>
      <c r="B5913" s="3" t="s">
        <v>1050</v>
      </c>
      <c r="C5913" s="3" t="s">
        <v>6765</v>
      </c>
      <c r="D5913" s="3"/>
    </row>
    <row r="5914" spans="1:4">
      <c r="A5914" s="2">
        <v>314</v>
      </c>
      <c r="B5914" s="2" t="s">
        <v>1050</v>
      </c>
      <c r="C5914" s="2" t="s">
        <v>6766</v>
      </c>
      <c r="D5914" s="2"/>
    </row>
    <row r="5915" spans="1:4">
      <c r="A5915" s="3">
        <v>314</v>
      </c>
      <c r="B5915" s="3" t="s">
        <v>1050</v>
      </c>
      <c r="C5915" s="3" t="s">
        <v>6767</v>
      </c>
      <c r="D5915" s="3"/>
    </row>
    <row r="5916" spans="1:4">
      <c r="A5916" s="2">
        <v>314</v>
      </c>
      <c r="B5916" s="2" t="s">
        <v>1050</v>
      </c>
      <c r="C5916" s="2" t="s">
        <v>6768</v>
      </c>
      <c r="D5916" s="2"/>
    </row>
    <row r="5917" spans="1:4">
      <c r="A5917" s="3">
        <v>314</v>
      </c>
      <c r="B5917" s="3" t="s">
        <v>1050</v>
      </c>
      <c r="C5917" s="3" t="s">
        <v>6769</v>
      </c>
      <c r="D5917" s="3"/>
    </row>
    <row r="5918" spans="1:4">
      <c r="A5918" s="2">
        <v>314</v>
      </c>
      <c r="B5918" s="2" t="s">
        <v>1050</v>
      </c>
      <c r="C5918" s="2" t="s">
        <v>6770</v>
      </c>
      <c r="D5918" s="2"/>
    </row>
    <row r="5919" spans="1:4">
      <c r="A5919" s="3">
        <v>314</v>
      </c>
      <c r="B5919" s="3" t="s">
        <v>1050</v>
      </c>
      <c r="C5919" s="3" t="s">
        <v>6771</v>
      </c>
      <c r="D5919" s="3"/>
    </row>
    <row r="5920" spans="1:4">
      <c r="A5920" s="2">
        <v>314</v>
      </c>
      <c r="B5920" s="2" t="s">
        <v>1050</v>
      </c>
      <c r="C5920" s="2" t="s">
        <v>6772</v>
      </c>
      <c r="D5920" s="2"/>
    </row>
    <row r="5921" spans="1:4">
      <c r="A5921" s="3">
        <v>314</v>
      </c>
      <c r="B5921" s="3" t="s">
        <v>1050</v>
      </c>
      <c r="C5921" s="3" t="s">
        <v>6773</v>
      </c>
      <c r="D5921" s="3"/>
    </row>
    <row r="5922" spans="1:4">
      <c r="A5922" s="2">
        <v>314</v>
      </c>
      <c r="B5922" s="2" t="s">
        <v>1050</v>
      </c>
      <c r="C5922" s="2" t="s">
        <v>6774</v>
      </c>
      <c r="D5922" s="2"/>
    </row>
    <row r="5923" spans="1:4">
      <c r="A5923" s="3">
        <v>314</v>
      </c>
      <c r="B5923" s="3" t="s">
        <v>1050</v>
      </c>
      <c r="C5923" s="3" t="s">
        <v>6775</v>
      </c>
      <c r="D5923" s="3"/>
    </row>
    <row r="5924" spans="1:4">
      <c r="A5924" s="2">
        <v>314</v>
      </c>
      <c r="B5924" s="2" t="s">
        <v>1050</v>
      </c>
      <c r="C5924" s="2" t="s">
        <v>6776</v>
      </c>
      <c r="D5924" s="2"/>
    </row>
    <row r="5925" spans="1:4">
      <c r="A5925" s="3">
        <v>314</v>
      </c>
      <c r="B5925" s="3" t="s">
        <v>1050</v>
      </c>
      <c r="C5925" s="3" t="s">
        <v>6777</v>
      </c>
      <c r="D5925" s="3"/>
    </row>
    <row r="5926" spans="1:4">
      <c r="A5926" s="2">
        <v>314</v>
      </c>
      <c r="B5926" s="2" t="s">
        <v>1050</v>
      </c>
      <c r="C5926" s="2" t="s">
        <v>6778</v>
      </c>
      <c r="D5926" s="2"/>
    </row>
    <row r="5927" spans="1:4">
      <c r="A5927" s="3">
        <v>314</v>
      </c>
      <c r="B5927" s="3" t="s">
        <v>1050</v>
      </c>
      <c r="C5927" s="3" t="s">
        <v>6779</v>
      </c>
      <c r="D5927" s="3"/>
    </row>
    <row r="5928" spans="1:4">
      <c r="A5928" s="2">
        <v>314</v>
      </c>
      <c r="B5928" s="2" t="s">
        <v>1050</v>
      </c>
      <c r="C5928" s="2" t="s">
        <v>6780</v>
      </c>
      <c r="D5928" s="2"/>
    </row>
    <row r="5929" spans="1:4">
      <c r="A5929" s="3">
        <v>314</v>
      </c>
      <c r="B5929" s="3" t="s">
        <v>1050</v>
      </c>
      <c r="C5929" s="3" t="s">
        <v>6781</v>
      </c>
      <c r="D5929" s="3"/>
    </row>
    <row r="5930" spans="1:4">
      <c r="A5930" s="2">
        <v>314</v>
      </c>
      <c r="B5930" s="2" t="s">
        <v>1050</v>
      </c>
      <c r="C5930" s="2" t="s">
        <v>6782</v>
      </c>
      <c r="D5930" s="2"/>
    </row>
    <row r="5931" spans="1:4">
      <c r="A5931" s="3">
        <v>314</v>
      </c>
      <c r="B5931" s="3" t="s">
        <v>1050</v>
      </c>
      <c r="C5931" s="3" t="s">
        <v>6783</v>
      </c>
      <c r="D5931" s="3"/>
    </row>
    <row r="5932" spans="1:4">
      <c r="A5932" s="2">
        <v>315</v>
      </c>
      <c r="B5932" s="2" t="s">
        <v>1046</v>
      </c>
      <c r="C5932" s="2" t="s">
        <v>6784</v>
      </c>
      <c r="D5932" s="2"/>
    </row>
    <row r="5933" spans="1:4">
      <c r="A5933" s="3">
        <v>315</v>
      </c>
      <c r="B5933" s="3" t="s">
        <v>1046</v>
      </c>
      <c r="C5933" s="3" t="s">
        <v>6785</v>
      </c>
      <c r="D5933" s="3"/>
    </row>
    <row r="5934" spans="1:4">
      <c r="A5934" s="2">
        <v>315</v>
      </c>
      <c r="B5934" s="2" t="s">
        <v>1046</v>
      </c>
      <c r="C5934" s="2" t="s">
        <v>6786</v>
      </c>
      <c r="D5934" s="2"/>
    </row>
    <row r="5935" spans="1:4">
      <c r="A5935" s="3">
        <v>315</v>
      </c>
      <c r="B5935" s="3" t="s">
        <v>1046</v>
      </c>
      <c r="C5935" s="3" t="s">
        <v>6787</v>
      </c>
      <c r="D5935" s="3"/>
    </row>
    <row r="5936" spans="1:4">
      <c r="A5936" s="2">
        <v>315</v>
      </c>
      <c r="B5936" s="2" t="s">
        <v>1046</v>
      </c>
      <c r="C5936" s="2" t="s">
        <v>6788</v>
      </c>
      <c r="D5936" s="2"/>
    </row>
    <row r="5937" spans="1:4">
      <c r="A5937" s="3">
        <v>315</v>
      </c>
      <c r="B5937" s="3" t="s">
        <v>1046</v>
      </c>
      <c r="C5937" s="3" t="s">
        <v>6789</v>
      </c>
      <c r="D5937" s="3"/>
    </row>
    <row r="5938" spans="1:4">
      <c r="A5938" s="2">
        <v>315</v>
      </c>
      <c r="B5938" s="2" t="s">
        <v>1046</v>
      </c>
      <c r="C5938" s="2" t="s">
        <v>6790</v>
      </c>
      <c r="D5938" s="2"/>
    </row>
    <row r="5939" spans="1:4">
      <c r="A5939" s="3">
        <v>315</v>
      </c>
      <c r="B5939" s="3" t="s">
        <v>1046</v>
      </c>
      <c r="C5939" s="3" t="s">
        <v>6791</v>
      </c>
      <c r="D5939" s="3"/>
    </row>
    <row r="5940" spans="1:4">
      <c r="A5940" s="2">
        <v>315</v>
      </c>
      <c r="B5940" s="2" t="s">
        <v>1046</v>
      </c>
      <c r="C5940" s="2" t="s">
        <v>6792</v>
      </c>
      <c r="D5940" s="2"/>
    </row>
    <row r="5941" spans="1:4">
      <c r="A5941" s="3">
        <v>315</v>
      </c>
      <c r="B5941" s="3" t="s">
        <v>1046</v>
      </c>
      <c r="C5941" s="3" t="s">
        <v>6793</v>
      </c>
      <c r="D5941" s="3"/>
    </row>
    <row r="5942" spans="1:4">
      <c r="A5942" s="2">
        <v>315</v>
      </c>
      <c r="B5942" s="2" t="s">
        <v>1046</v>
      </c>
      <c r="C5942" s="2" t="s">
        <v>6794</v>
      </c>
      <c r="D5942" s="2"/>
    </row>
    <row r="5943" spans="1:4">
      <c r="A5943" s="3">
        <v>315</v>
      </c>
      <c r="B5943" s="3" t="s">
        <v>1046</v>
      </c>
      <c r="C5943" s="3" t="s">
        <v>6795</v>
      </c>
      <c r="D5943" s="3"/>
    </row>
    <row r="5944" spans="1:4">
      <c r="A5944" s="2">
        <v>315</v>
      </c>
      <c r="B5944" s="2" t="s">
        <v>1046</v>
      </c>
      <c r="C5944" s="2" t="s">
        <v>6796</v>
      </c>
      <c r="D5944" s="2"/>
    </row>
    <row r="5945" spans="1:4">
      <c r="A5945" s="3">
        <v>315</v>
      </c>
      <c r="B5945" s="3" t="s">
        <v>1046</v>
      </c>
      <c r="C5945" s="3" t="s">
        <v>6797</v>
      </c>
      <c r="D5945" s="3"/>
    </row>
    <row r="5946" spans="1:4">
      <c r="A5946" s="2">
        <v>315</v>
      </c>
      <c r="B5946" s="2" t="s">
        <v>1046</v>
      </c>
      <c r="C5946" s="2" t="s">
        <v>6798</v>
      </c>
      <c r="D5946" s="2"/>
    </row>
    <row r="5947" spans="1:4">
      <c r="A5947" s="3">
        <v>315</v>
      </c>
      <c r="B5947" s="3" t="s">
        <v>1046</v>
      </c>
      <c r="C5947" s="3" t="s">
        <v>6799</v>
      </c>
      <c r="D5947" s="3"/>
    </row>
    <row r="5948" spans="1:4">
      <c r="A5948" s="2">
        <v>315</v>
      </c>
      <c r="B5948" s="2" t="s">
        <v>1046</v>
      </c>
      <c r="C5948" s="2" t="s">
        <v>6800</v>
      </c>
      <c r="D5948" s="2"/>
    </row>
    <row r="5949" spans="1:4">
      <c r="A5949" s="3">
        <v>315</v>
      </c>
      <c r="B5949" s="3" t="s">
        <v>1046</v>
      </c>
      <c r="C5949" s="3" t="s">
        <v>6801</v>
      </c>
      <c r="D5949" s="3"/>
    </row>
    <row r="5950" spans="1:4">
      <c r="A5950" s="2">
        <v>315</v>
      </c>
      <c r="B5950" s="2" t="s">
        <v>1046</v>
      </c>
      <c r="C5950" s="2" t="s">
        <v>6802</v>
      </c>
      <c r="D5950" s="2"/>
    </row>
    <row r="5951" spans="1:4">
      <c r="A5951" s="3">
        <v>315</v>
      </c>
      <c r="B5951" s="3" t="s">
        <v>1046</v>
      </c>
      <c r="C5951" s="3" t="s">
        <v>6803</v>
      </c>
      <c r="D5951" s="3"/>
    </row>
    <row r="5952" spans="1:4">
      <c r="A5952" s="2">
        <v>315</v>
      </c>
      <c r="B5952" s="2" t="s">
        <v>1046</v>
      </c>
      <c r="C5952" s="2" t="s">
        <v>6804</v>
      </c>
      <c r="D5952" s="2"/>
    </row>
    <row r="5953" spans="1:4">
      <c r="A5953" s="3">
        <v>315</v>
      </c>
      <c r="B5953" s="3" t="s">
        <v>1046</v>
      </c>
      <c r="C5953" s="3" t="s">
        <v>6805</v>
      </c>
      <c r="D5953" s="3"/>
    </row>
    <row r="5954" spans="1:4">
      <c r="A5954" s="2">
        <v>315</v>
      </c>
      <c r="B5954" s="2" t="s">
        <v>1046</v>
      </c>
      <c r="C5954" s="2" t="s">
        <v>6806</v>
      </c>
      <c r="D5954" s="2"/>
    </row>
    <row r="5955" spans="1:4">
      <c r="A5955" s="3">
        <v>315</v>
      </c>
      <c r="B5955" s="3" t="s">
        <v>1046</v>
      </c>
      <c r="C5955" s="3" t="s">
        <v>6807</v>
      </c>
      <c r="D5955" s="3"/>
    </row>
    <row r="5956" spans="1:4">
      <c r="A5956" s="2">
        <v>315</v>
      </c>
      <c r="B5956" s="2" t="s">
        <v>1046</v>
      </c>
      <c r="C5956" s="2" t="s">
        <v>6808</v>
      </c>
      <c r="D5956" s="2"/>
    </row>
    <row r="5957" spans="1:4">
      <c r="A5957" s="3">
        <v>315</v>
      </c>
      <c r="B5957" s="3" t="s">
        <v>1046</v>
      </c>
      <c r="C5957" s="3" t="s">
        <v>6809</v>
      </c>
      <c r="D5957" s="3"/>
    </row>
    <row r="5958" spans="1:4">
      <c r="A5958" s="2">
        <v>315</v>
      </c>
      <c r="B5958" s="2" t="s">
        <v>1046</v>
      </c>
      <c r="C5958" s="2" t="s">
        <v>6810</v>
      </c>
      <c r="D5958" s="2"/>
    </row>
    <row r="5959" spans="1:4">
      <c r="A5959" s="3">
        <v>315</v>
      </c>
      <c r="B5959" s="3" t="s">
        <v>1046</v>
      </c>
      <c r="C5959" s="3" t="s">
        <v>6811</v>
      </c>
      <c r="D5959" s="3"/>
    </row>
    <row r="5960" spans="1:4">
      <c r="A5960" s="2">
        <v>315</v>
      </c>
      <c r="B5960" s="2" t="s">
        <v>1046</v>
      </c>
      <c r="C5960" s="2" t="s">
        <v>6812</v>
      </c>
      <c r="D5960" s="2"/>
    </row>
    <row r="5961" spans="1:4">
      <c r="A5961" s="3">
        <v>315</v>
      </c>
      <c r="B5961" s="3" t="s">
        <v>1046</v>
      </c>
      <c r="C5961" s="3" t="s">
        <v>6813</v>
      </c>
      <c r="D5961" s="3"/>
    </row>
    <row r="5962" spans="1:4">
      <c r="A5962" s="2">
        <v>315</v>
      </c>
      <c r="B5962" s="2" t="s">
        <v>1046</v>
      </c>
      <c r="C5962" s="2" t="s">
        <v>6814</v>
      </c>
      <c r="D5962" s="2"/>
    </row>
    <row r="5963" spans="1:4">
      <c r="A5963" s="3">
        <v>315</v>
      </c>
      <c r="B5963" s="3" t="s">
        <v>1046</v>
      </c>
      <c r="C5963" s="3" t="s">
        <v>6815</v>
      </c>
      <c r="D5963" s="3"/>
    </row>
    <row r="5964" spans="1:4">
      <c r="A5964" s="2">
        <v>315</v>
      </c>
      <c r="B5964" s="2" t="s">
        <v>1046</v>
      </c>
      <c r="C5964" s="2" t="s">
        <v>6816</v>
      </c>
      <c r="D5964" s="2"/>
    </row>
    <row r="5965" spans="1:4">
      <c r="A5965" s="3">
        <v>315</v>
      </c>
      <c r="B5965" s="3" t="s">
        <v>1046</v>
      </c>
      <c r="C5965" s="3" t="s">
        <v>6816</v>
      </c>
      <c r="D5965" s="3"/>
    </row>
    <row r="5966" spans="1:4">
      <c r="A5966" s="2">
        <v>315</v>
      </c>
      <c r="B5966" s="2" t="s">
        <v>1046</v>
      </c>
      <c r="C5966" s="2" t="s">
        <v>6816</v>
      </c>
      <c r="D5966" s="2"/>
    </row>
    <row r="5967" spans="1:4">
      <c r="A5967" s="3">
        <v>315</v>
      </c>
      <c r="B5967" s="3" t="s">
        <v>1046</v>
      </c>
      <c r="C5967" s="3" t="s">
        <v>6816</v>
      </c>
      <c r="D5967" s="3"/>
    </row>
    <row r="5968" spans="1:4">
      <c r="A5968" s="2">
        <v>315</v>
      </c>
      <c r="B5968" s="2" t="s">
        <v>1046</v>
      </c>
      <c r="C5968" s="2" t="s">
        <v>6817</v>
      </c>
      <c r="D5968" s="2"/>
    </row>
    <row r="5969" spans="1:4">
      <c r="A5969" s="3">
        <v>315</v>
      </c>
      <c r="B5969" s="3" t="s">
        <v>1046</v>
      </c>
      <c r="C5969" s="3" t="s">
        <v>6818</v>
      </c>
      <c r="D5969" s="3"/>
    </row>
    <row r="5970" spans="1:4">
      <c r="A5970" s="2">
        <v>315</v>
      </c>
      <c r="B5970" s="2" t="s">
        <v>1046</v>
      </c>
      <c r="C5970" s="2" t="s">
        <v>6819</v>
      </c>
      <c r="D5970" s="2"/>
    </row>
    <row r="5971" spans="1:4">
      <c r="A5971" s="3">
        <v>315</v>
      </c>
      <c r="B5971" s="3" t="s">
        <v>1046</v>
      </c>
      <c r="C5971" s="3" t="s">
        <v>6820</v>
      </c>
      <c r="D5971" s="3"/>
    </row>
    <row r="5972" spans="1:4">
      <c r="A5972" s="2">
        <v>315</v>
      </c>
      <c r="B5972" s="2" t="s">
        <v>1046</v>
      </c>
      <c r="C5972" s="2" t="s">
        <v>6821</v>
      </c>
      <c r="D5972" s="2"/>
    </row>
    <row r="5973" spans="1:4">
      <c r="A5973" s="3">
        <v>315</v>
      </c>
      <c r="B5973" s="3" t="s">
        <v>1046</v>
      </c>
      <c r="C5973" s="3" t="s">
        <v>6822</v>
      </c>
      <c r="D5973" s="3"/>
    </row>
    <row r="5974" spans="1:4">
      <c r="A5974" s="2">
        <v>315</v>
      </c>
      <c r="B5974" s="2" t="s">
        <v>1046</v>
      </c>
      <c r="C5974" s="2" t="s">
        <v>6823</v>
      </c>
      <c r="D5974" s="2"/>
    </row>
    <row r="5975" spans="1:4">
      <c r="A5975" s="3">
        <v>315</v>
      </c>
      <c r="B5975" s="3" t="s">
        <v>1046</v>
      </c>
      <c r="C5975" s="3" t="s">
        <v>6824</v>
      </c>
      <c r="D5975" s="3"/>
    </row>
    <row r="5976" spans="1:4">
      <c r="A5976" s="2">
        <v>315</v>
      </c>
      <c r="B5976" s="2" t="s">
        <v>1046</v>
      </c>
      <c r="C5976" s="2" t="s">
        <v>6825</v>
      </c>
      <c r="D5976" s="2"/>
    </row>
    <row r="5977" spans="1:4">
      <c r="A5977" s="3">
        <v>315</v>
      </c>
      <c r="B5977" s="3" t="s">
        <v>1046</v>
      </c>
      <c r="C5977" s="3" t="s">
        <v>6826</v>
      </c>
      <c r="D5977" s="3"/>
    </row>
    <row r="5978" spans="1:4">
      <c r="A5978" s="2">
        <v>315</v>
      </c>
      <c r="B5978" s="2" t="s">
        <v>1046</v>
      </c>
      <c r="C5978" s="2" t="s">
        <v>6827</v>
      </c>
      <c r="D5978" s="2"/>
    </row>
    <row r="5979" spans="1:4">
      <c r="A5979" s="3">
        <v>315</v>
      </c>
      <c r="B5979" s="3" t="s">
        <v>1046</v>
      </c>
      <c r="C5979" s="3" t="s">
        <v>6828</v>
      </c>
      <c r="D5979" s="3"/>
    </row>
    <row r="5980" spans="1:4">
      <c r="A5980" s="2">
        <v>315</v>
      </c>
      <c r="B5980" s="2" t="s">
        <v>1046</v>
      </c>
      <c r="C5980" s="2" t="s">
        <v>6829</v>
      </c>
      <c r="D5980" s="2"/>
    </row>
    <row r="5981" spans="1:4">
      <c r="A5981" s="3">
        <v>315</v>
      </c>
      <c r="B5981" s="3" t="s">
        <v>1046</v>
      </c>
      <c r="C5981" s="3" t="s">
        <v>6830</v>
      </c>
      <c r="D5981" s="3"/>
    </row>
    <row r="5982" spans="1:4">
      <c r="A5982" s="2">
        <v>316</v>
      </c>
      <c r="B5982" s="2" t="s">
        <v>1028</v>
      </c>
      <c r="C5982" s="2" t="s">
        <v>6831</v>
      </c>
      <c r="D5982" s="2"/>
    </row>
    <row r="5983" spans="1:4">
      <c r="A5983" s="3">
        <v>316</v>
      </c>
      <c r="B5983" s="3" t="s">
        <v>1028</v>
      </c>
      <c r="C5983" s="3" t="s">
        <v>6832</v>
      </c>
      <c r="D5983" s="3"/>
    </row>
    <row r="5984" spans="1:4">
      <c r="A5984" s="2">
        <v>316</v>
      </c>
      <c r="B5984" s="2" t="s">
        <v>1028</v>
      </c>
      <c r="C5984" s="2" t="s">
        <v>6833</v>
      </c>
      <c r="D5984" s="2"/>
    </row>
    <row r="5985" spans="1:4">
      <c r="A5985" s="3">
        <v>316</v>
      </c>
      <c r="B5985" s="3" t="s">
        <v>1028</v>
      </c>
      <c r="C5985" s="3" t="s">
        <v>6834</v>
      </c>
      <c r="D5985" s="3"/>
    </row>
    <row r="5986" spans="1:4">
      <c r="A5986" s="2">
        <v>316</v>
      </c>
      <c r="B5986" s="2" t="s">
        <v>1028</v>
      </c>
      <c r="C5986" s="2" t="s">
        <v>6835</v>
      </c>
      <c r="D5986" s="2"/>
    </row>
    <row r="5987" spans="1:4">
      <c r="A5987" s="3">
        <v>316</v>
      </c>
      <c r="B5987" s="3" t="s">
        <v>1028</v>
      </c>
      <c r="C5987" s="3" t="s">
        <v>6836</v>
      </c>
      <c r="D5987" s="3"/>
    </row>
    <row r="5988" spans="1:4">
      <c r="A5988" s="2">
        <v>316</v>
      </c>
      <c r="B5988" s="2" t="s">
        <v>1028</v>
      </c>
      <c r="C5988" s="2" t="s">
        <v>6837</v>
      </c>
      <c r="D5988" s="2"/>
    </row>
    <row r="5989" spans="1:4">
      <c r="A5989" s="3">
        <v>316</v>
      </c>
      <c r="B5989" s="3" t="s">
        <v>1028</v>
      </c>
      <c r="C5989" s="3" t="s">
        <v>6838</v>
      </c>
      <c r="D5989" s="3"/>
    </row>
    <row r="5990" spans="1:4">
      <c r="A5990" s="2">
        <v>316</v>
      </c>
      <c r="B5990" s="2" t="s">
        <v>1028</v>
      </c>
      <c r="C5990" s="2" t="s">
        <v>6839</v>
      </c>
      <c r="D5990" s="2"/>
    </row>
    <row r="5991" spans="1:4">
      <c r="A5991" s="3">
        <v>316</v>
      </c>
      <c r="B5991" s="3" t="s">
        <v>1028</v>
      </c>
      <c r="C5991" s="3" t="s">
        <v>6840</v>
      </c>
      <c r="D5991" s="3"/>
    </row>
    <row r="5992" spans="1:4">
      <c r="A5992" s="2">
        <v>316</v>
      </c>
      <c r="B5992" s="2" t="s">
        <v>1028</v>
      </c>
      <c r="C5992" s="2" t="s">
        <v>6841</v>
      </c>
      <c r="D5992" s="2"/>
    </row>
    <row r="5993" spans="1:4">
      <c r="A5993" s="3">
        <v>316</v>
      </c>
      <c r="B5993" s="3" t="s">
        <v>1028</v>
      </c>
      <c r="C5993" s="3" t="s">
        <v>6842</v>
      </c>
      <c r="D5993" s="3"/>
    </row>
    <row r="5994" spans="1:4">
      <c r="A5994" s="2">
        <v>316</v>
      </c>
      <c r="B5994" s="2" t="s">
        <v>1028</v>
      </c>
      <c r="C5994" s="2" t="s">
        <v>6843</v>
      </c>
      <c r="D5994" s="2"/>
    </row>
    <row r="5995" spans="1:4">
      <c r="A5995" s="3">
        <v>316</v>
      </c>
      <c r="B5995" s="3" t="s">
        <v>1028</v>
      </c>
      <c r="C5995" s="3" t="s">
        <v>6844</v>
      </c>
      <c r="D5995" s="3"/>
    </row>
    <row r="5996" spans="1:4">
      <c r="A5996" s="2">
        <v>316</v>
      </c>
      <c r="B5996" s="2" t="s">
        <v>1028</v>
      </c>
      <c r="C5996" s="2" t="s">
        <v>6845</v>
      </c>
      <c r="D5996" s="2"/>
    </row>
    <row r="5997" spans="1:4">
      <c r="A5997" s="3">
        <v>316</v>
      </c>
      <c r="B5997" s="3" t="s">
        <v>1028</v>
      </c>
      <c r="C5997" s="3" t="s">
        <v>6846</v>
      </c>
      <c r="D5997" s="3"/>
    </row>
    <row r="5998" spans="1:4">
      <c r="A5998" s="2">
        <v>316</v>
      </c>
      <c r="B5998" s="2" t="s">
        <v>1028</v>
      </c>
      <c r="C5998" s="2" t="s">
        <v>6847</v>
      </c>
      <c r="D5998" s="2"/>
    </row>
    <row r="5999" spans="1:4">
      <c r="A5999" s="3">
        <v>316</v>
      </c>
      <c r="B5999" s="3" t="s">
        <v>1028</v>
      </c>
      <c r="C5999" s="3" t="s">
        <v>6848</v>
      </c>
      <c r="D5999" s="3"/>
    </row>
    <row r="6000" spans="1:4">
      <c r="A6000" s="2">
        <v>316</v>
      </c>
      <c r="B6000" s="2" t="s">
        <v>1028</v>
      </c>
      <c r="C6000" s="2" t="s">
        <v>6849</v>
      </c>
      <c r="D6000" s="2"/>
    </row>
    <row r="6001" spans="1:4">
      <c r="A6001" s="3">
        <v>316</v>
      </c>
      <c r="B6001" s="3" t="s">
        <v>1028</v>
      </c>
      <c r="C6001" s="3" t="s">
        <v>6850</v>
      </c>
      <c r="D6001" s="3"/>
    </row>
    <row r="6002" spans="1:4">
      <c r="A6002" s="2">
        <v>316</v>
      </c>
      <c r="B6002" s="2" t="s">
        <v>1028</v>
      </c>
      <c r="C6002" s="2" t="s">
        <v>6851</v>
      </c>
      <c r="D6002" s="2"/>
    </row>
    <row r="6003" spans="1:4">
      <c r="A6003" s="3">
        <v>317</v>
      </c>
      <c r="B6003" s="3" t="s">
        <v>1030</v>
      </c>
      <c r="C6003" s="3" t="s">
        <v>6852</v>
      </c>
      <c r="D6003" s="3"/>
    </row>
    <row r="6004" spans="1:4">
      <c r="A6004" s="2">
        <v>317</v>
      </c>
      <c r="B6004" s="2" t="s">
        <v>1030</v>
      </c>
      <c r="C6004" s="2" t="s">
        <v>6853</v>
      </c>
      <c r="D6004" s="2"/>
    </row>
    <row r="6005" spans="1:4">
      <c r="A6005" s="3">
        <v>317</v>
      </c>
      <c r="B6005" s="3" t="s">
        <v>1030</v>
      </c>
      <c r="C6005" s="3" t="s">
        <v>6854</v>
      </c>
      <c r="D6005" s="3"/>
    </row>
    <row r="6006" spans="1:4">
      <c r="A6006" s="2">
        <v>317</v>
      </c>
      <c r="B6006" s="2" t="s">
        <v>1030</v>
      </c>
      <c r="C6006" s="2" t="s">
        <v>6855</v>
      </c>
      <c r="D6006" s="2"/>
    </row>
    <row r="6007" spans="1:4">
      <c r="A6007" s="3">
        <v>317</v>
      </c>
      <c r="B6007" s="3" t="s">
        <v>1030</v>
      </c>
      <c r="C6007" s="3" t="s">
        <v>6856</v>
      </c>
      <c r="D6007" s="3"/>
    </row>
    <row r="6008" spans="1:4">
      <c r="A6008" s="2">
        <v>317</v>
      </c>
      <c r="B6008" s="2" t="s">
        <v>1030</v>
      </c>
      <c r="C6008" s="2" t="s">
        <v>6857</v>
      </c>
      <c r="D6008" s="2"/>
    </row>
    <row r="6009" spans="1:4">
      <c r="A6009" s="3">
        <v>317</v>
      </c>
      <c r="B6009" s="3" t="s">
        <v>1030</v>
      </c>
      <c r="C6009" s="3" t="s">
        <v>6858</v>
      </c>
      <c r="D6009" s="3"/>
    </row>
    <row r="6010" spans="1:4">
      <c r="A6010" s="2">
        <v>317</v>
      </c>
      <c r="B6010" s="2" t="s">
        <v>1030</v>
      </c>
      <c r="C6010" s="2" t="s">
        <v>6859</v>
      </c>
      <c r="D6010" s="2"/>
    </row>
    <row r="6011" spans="1:4">
      <c r="A6011" s="3">
        <v>317</v>
      </c>
      <c r="B6011" s="3" t="s">
        <v>1030</v>
      </c>
      <c r="C6011" s="3" t="s">
        <v>6860</v>
      </c>
      <c r="D6011" s="3"/>
    </row>
    <row r="6012" spans="1:4">
      <c r="A6012" s="2">
        <v>317</v>
      </c>
      <c r="B6012" s="2" t="s">
        <v>1030</v>
      </c>
      <c r="C6012" s="2" t="s">
        <v>6861</v>
      </c>
      <c r="D6012" s="2"/>
    </row>
    <row r="6013" spans="1:4">
      <c r="A6013" s="3">
        <v>317</v>
      </c>
      <c r="B6013" s="3" t="s">
        <v>1030</v>
      </c>
      <c r="C6013" s="3" t="s">
        <v>6862</v>
      </c>
      <c r="D6013" s="3"/>
    </row>
    <row r="6014" spans="1:4">
      <c r="A6014" s="2">
        <v>317</v>
      </c>
      <c r="B6014" s="2" t="s">
        <v>1030</v>
      </c>
      <c r="C6014" s="2" t="s">
        <v>6863</v>
      </c>
      <c r="D6014" s="2"/>
    </row>
    <row r="6015" spans="1:4">
      <c r="A6015" s="3">
        <v>317</v>
      </c>
      <c r="B6015" s="3" t="s">
        <v>1030</v>
      </c>
      <c r="C6015" s="3" t="s">
        <v>6864</v>
      </c>
      <c r="D6015" s="3"/>
    </row>
    <row r="6016" spans="1:4">
      <c r="A6016" s="2">
        <v>317</v>
      </c>
      <c r="B6016" s="2" t="s">
        <v>1030</v>
      </c>
      <c r="C6016" s="2" t="s">
        <v>6865</v>
      </c>
      <c r="D6016" s="2"/>
    </row>
    <row r="6017" spans="1:4">
      <c r="A6017" s="3">
        <v>317</v>
      </c>
      <c r="B6017" s="3" t="s">
        <v>1030</v>
      </c>
      <c r="C6017" s="3" t="s">
        <v>6866</v>
      </c>
      <c r="D6017" s="3"/>
    </row>
    <row r="6018" spans="1:4">
      <c r="A6018" s="2">
        <v>317</v>
      </c>
      <c r="B6018" s="2" t="s">
        <v>1030</v>
      </c>
      <c r="C6018" s="2" t="s">
        <v>6867</v>
      </c>
      <c r="D6018" s="2"/>
    </row>
    <row r="6019" spans="1:4">
      <c r="A6019" s="3">
        <v>317</v>
      </c>
      <c r="B6019" s="3" t="s">
        <v>1030</v>
      </c>
      <c r="C6019" s="3" t="s">
        <v>6868</v>
      </c>
      <c r="D6019" s="3"/>
    </row>
    <row r="6020" spans="1:4">
      <c r="A6020" s="2">
        <v>318</v>
      </c>
      <c r="B6020" s="2" t="s">
        <v>1032</v>
      </c>
      <c r="C6020" s="2" t="s">
        <v>6869</v>
      </c>
      <c r="D6020" s="2"/>
    </row>
    <row r="6021" spans="1:4">
      <c r="A6021" s="3">
        <v>318</v>
      </c>
      <c r="B6021" s="3" t="s">
        <v>1032</v>
      </c>
      <c r="C6021" s="3" t="s">
        <v>6870</v>
      </c>
      <c r="D6021" s="3"/>
    </row>
    <row r="6022" spans="1:4">
      <c r="A6022" s="2">
        <v>318</v>
      </c>
      <c r="B6022" s="2" t="s">
        <v>1032</v>
      </c>
      <c r="C6022" s="2" t="s">
        <v>6871</v>
      </c>
      <c r="D6022" s="2"/>
    </row>
    <row r="6023" spans="1:4">
      <c r="A6023" s="3">
        <v>318</v>
      </c>
      <c r="B6023" s="3" t="s">
        <v>1032</v>
      </c>
      <c r="C6023" s="3" t="s">
        <v>6872</v>
      </c>
      <c r="D6023" s="3"/>
    </row>
    <row r="6024" spans="1:4">
      <c r="A6024" s="2">
        <v>318</v>
      </c>
      <c r="B6024" s="2" t="s">
        <v>1032</v>
      </c>
      <c r="C6024" s="2" t="s">
        <v>6873</v>
      </c>
      <c r="D6024" s="2"/>
    </row>
    <row r="6025" spans="1:4">
      <c r="A6025" s="3">
        <v>318</v>
      </c>
      <c r="B6025" s="3" t="s">
        <v>1032</v>
      </c>
      <c r="C6025" s="3" t="s">
        <v>6874</v>
      </c>
      <c r="D6025" s="3"/>
    </row>
    <row r="6026" spans="1:4">
      <c r="A6026" s="2">
        <v>318</v>
      </c>
      <c r="B6026" s="2" t="s">
        <v>1032</v>
      </c>
      <c r="C6026" s="2" t="s">
        <v>6875</v>
      </c>
      <c r="D6026" s="2"/>
    </row>
    <row r="6027" spans="1:4">
      <c r="A6027" s="3">
        <v>319</v>
      </c>
      <c r="B6027" s="3" t="s">
        <v>1035</v>
      </c>
      <c r="C6027" s="3" t="s">
        <v>6876</v>
      </c>
      <c r="D6027" s="3"/>
    </row>
    <row r="6028" spans="1:4">
      <c r="A6028" s="2">
        <v>319</v>
      </c>
      <c r="B6028" s="2" t="s">
        <v>1035</v>
      </c>
      <c r="C6028" s="2" t="s">
        <v>6877</v>
      </c>
      <c r="D6028" s="2"/>
    </row>
    <row r="6029" spans="1:4">
      <c r="A6029" s="3">
        <v>319</v>
      </c>
      <c r="B6029" s="3" t="s">
        <v>1035</v>
      </c>
      <c r="C6029" s="3" t="s">
        <v>6878</v>
      </c>
      <c r="D6029" s="3"/>
    </row>
    <row r="6030" spans="1:4">
      <c r="A6030" s="2">
        <v>319</v>
      </c>
      <c r="B6030" s="2" t="s">
        <v>1035</v>
      </c>
      <c r="C6030" s="2" t="s">
        <v>6879</v>
      </c>
      <c r="D6030" s="2"/>
    </row>
    <row r="6031" spans="1:4">
      <c r="A6031" s="3">
        <v>319</v>
      </c>
      <c r="B6031" s="3" t="s">
        <v>1035</v>
      </c>
      <c r="C6031" s="3" t="s">
        <v>6880</v>
      </c>
      <c r="D6031" s="3"/>
    </row>
    <row r="6032" spans="1:4">
      <c r="A6032" s="2">
        <v>319</v>
      </c>
      <c r="B6032" s="2" t="s">
        <v>1035</v>
      </c>
      <c r="C6032" s="2" t="s">
        <v>6881</v>
      </c>
      <c r="D6032" s="2"/>
    </row>
    <row r="6033" spans="1:4">
      <c r="A6033" s="3">
        <v>319</v>
      </c>
      <c r="B6033" s="3" t="s">
        <v>1035</v>
      </c>
      <c r="C6033" s="3" t="s">
        <v>6882</v>
      </c>
      <c r="D6033" s="3"/>
    </row>
    <row r="6034" spans="1:4">
      <c r="A6034" s="2">
        <v>319</v>
      </c>
      <c r="B6034" s="2" t="s">
        <v>1035</v>
      </c>
      <c r="C6034" s="2" t="s">
        <v>6883</v>
      </c>
      <c r="D6034" s="2"/>
    </row>
    <row r="6035" spans="1:4">
      <c r="A6035" s="3">
        <v>319</v>
      </c>
      <c r="B6035" s="3" t="s">
        <v>1035</v>
      </c>
      <c r="C6035" s="3" t="s">
        <v>6884</v>
      </c>
      <c r="D6035" s="3"/>
    </row>
    <row r="6036" spans="1:4">
      <c r="A6036" s="2">
        <v>319</v>
      </c>
      <c r="B6036" s="2" t="s">
        <v>1035</v>
      </c>
      <c r="C6036" s="2" t="s">
        <v>6885</v>
      </c>
      <c r="D6036" s="2"/>
    </row>
    <row r="6037" spans="1:4">
      <c r="A6037" s="3">
        <v>319</v>
      </c>
      <c r="B6037" s="3" t="s">
        <v>1035</v>
      </c>
      <c r="C6037" s="3" t="s">
        <v>6886</v>
      </c>
      <c r="D6037" s="3"/>
    </row>
    <row r="6038" spans="1:4">
      <c r="A6038" s="2">
        <v>319</v>
      </c>
      <c r="B6038" s="2" t="s">
        <v>1035</v>
      </c>
      <c r="C6038" s="2" t="s">
        <v>6887</v>
      </c>
      <c r="D6038" s="2"/>
    </row>
    <row r="6039" spans="1:4">
      <c r="A6039" s="3">
        <v>319</v>
      </c>
      <c r="B6039" s="3" t="s">
        <v>1035</v>
      </c>
      <c r="C6039" s="3" t="s">
        <v>6888</v>
      </c>
      <c r="D6039" s="3"/>
    </row>
    <row r="6040" spans="1:4">
      <c r="A6040" s="2">
        <v>319</v>
      </c>
      <c r="B6040" s="2" t="s">
        <v>1035</v>
      </c>
      <c r="C6040" s="2" t="s">
        <v>6889</v>
      </c>
      <c r="D6040" s="2"/>
    </row>
    <row r="6041" spans="1:4">
      <c r="A6041" s="3">
        <v>319</v>
      </c>
      <c r="B6041" s="3" t="s">
        <v>1035</v>
      </c>
      <c r="C6041" s="3" t="s">
        <v>6890</v>
      </c>
      <c r="D6041" s="3"/>
    </row>
    <row r="6042" spans="1:4">
      <c r="A6042" s="2">
        <v>319</v>
      </c>
      <c r="B6042" s="2" t="s">
        <v>1035</v>
      </c>
      <c r="C6042" s="2" t="s">
        <v>6891</v>
      </c>
      <c r="D6042" s="2"/>
    </row>
    <row r="6043" spans="1:4">
      <c r="A6043" s="3">
        <v>319</v>
      </c>
      <c r="B6043" s="3" t="s">
        <v>1035</v>
      </c>
      <c r="C6043" s="3" t="s">
        <v>6892</v>
      </c>
      <c r="D6043" s="3"/>
    </row>
    <row r="6044" spans="1:4">
      <c r="A6044" s="2">
        <v>319</v>
      </c>
      <c r="B6044" s="2" t="s">
        <v>1035</v>
      </c>
      <c r="C6044" s="2" t="s">
        <v>6893</v>
      </c>
      <c r="D6044" s="2"/>
    </row>
    <row r="6045" spans="1:4">
      <c r="A6045" s="3">
        <v>319</v>
      </c>
      <c r="B6045" s="3" t="s">
        <v>1035</v>
      </c>
      <c r="C6045" s="3" t="s">
        <v>6894</v>
      </c>
      <c r="D6045" s="3"/>
    </row>
    <row r="6046" spans="1:4">
      <c r="A6046" s="2">
        <v>319</v>
      </c>
      <c r="B6046" s="2" t="s">
        <v>1035</v>
      </c>
      <c r="C6046" s="2" t="s">
        <v>6895</v>
      </c>
      <c r="D6046" s="2"/>
    </row>
    <row r="6047" spans="1:4">
      <c r="A6047" s="3">
        <v>319</v>
      </c>
      <c r="B6047" s="3" t="s">
        <v>1035</v>
      </c>
      <c r="C6047" s="3" t="s">
        <v>6896</v>
      </c>
      <c r="D6047" s="3"/>
    </row>
    <row r="6048" spans="1:4">
      <c r="A6048" s="2">
        <v>319</v>
      </c>
      <c r="B6048" s="2" t="s">
        <v>1035</v>
      </c>
      <c r="C6048" s="2" t="s">
        <v>6897</v>
      </c>
      <c r="D6048" s="2"/>
    </row>
    <row r="6049" spans="1:4">
      <c r="A6049" s="3">
        <v>319</v>
      </c>
      <c r="B6049" s="3" t="s">
        <v>1035</v>
      </c>
      <c r="C6049" s="3" t="s">
        <v>6898</v>
      </c>
      <c r="D6049" s="3"/>
    </row>
    <row r="6050" spans="1:4">
      <c r="A6050" s="2">
        <v>319</v>
      </c>
      <c r="B6050" s="2" t="s">
        <v>1035</v>
      </c>
      <c r="C6050" s="2" t="s">
        <v>6899</v>
      </c>
      <c r="D6050" s="2"/>
    </row>
    <row r="6051" spans="1:4">
      <c r="A6051" s="3">
        <v>319</v>
      </c>
      <c r="B6051" s="3" t="s">
        <v>1035</v>
      </c>
      <c r="C6051" s="3" t="s">
        <v>6900</v>
      </c>
      <c r="D6051" s="3"/>
    </row>
    <row r="6052" spans="1:4">
      <c r="A6052" s="2">
        <v>319</v>
      </c>
      <c r="B6052" s="2" t="s">
        <v>1035</v>
      </c>
      <c r="C6052" s="2" t="s">
        <v>6901</v>
      </c>
      <c r="D6052" s="2"/>
    </row>
    <row r="6053" spans="1:4">
      <c r="A6053" s="3">
        <v>319</v>
      </c>
      <c r="B6053" s="3" t="s">
        <v>1035</v>
      </c>
      <c r="C6053" s="3" t="s">
        <v>6902</v>
      </c>
      <c r="D6053" s="3"/>
    </row>
    <row r="6054" spans="1:4">
      <c r="A6054" s="2">
        <v>319</v>
      </c>
      <c r="B6054" s="2" t="s">
        <v>1035</v>
      </c>
      <c r="C6054" s="2" t="s">
        <v>6903</v>
      </c>
      <c r="D6054" s="2"/>
    </row>
    <row r="6055" spans="1:4">
      <c r="A6055" s="3">
        <v>319</v>
      </c>
      <c r="B6055" s="3" t="s">
        <v>1035</v>
      </c>
      <c r="C6055" s="3" t="s">
        <v>6904</v>
      </c>
      <c r="D6055" s="3"/>
    </row>
    <row r="6056" spans="1:4">
      <c r="A6056" s="2">
        <v>319</v>
      </c>
      <c r="B6056" s="2" t="s">
        <v>1035</v>
      </c>
      <c r="C6056" s="2" t="s">
        <v>6905</v>
      </c>
      <c r="D6056" s="2"/>
    </row>
    <row r="6057" spans="1:4">
      <c r="A6057" s="3">
        <v>319</v>
      </c>
      <c r="B6057" s="3" t="s">
        <v>1035</v>
      </c>
      <c r="C6057" s="3" t="s">
        <v>6903</v>
      </c>
      <c r="D6057" s="3"/>
    </row>
    <row r="6058" spans="1:4">
      <c r="A6058" s="2">
        <v>319</v>
      </c>
      <c r="B6058" s="2" t="s">
        <v>1035</v>
      </c>
      <c r="C6058" s="2" t="s">
        <v>6906</v>
      </c>
      <c r="D6058" s="2"/>
    </row>
    <row r="6059" spans="1:4">
      <c r="A6059" s="3">
        <v>319</v>
      </c>
      <c r="B6059" s="3" t="s">
        <v>1035</v>
      </c>
      <c r="C6059" s="3" t="s">
        <v>6907</v>
      </c>
      <c r="D6059" s="3"/>
    </row>
    <row r="6060" spans="1:4">
      <c r="A6060" s="2">
        <v>319</v>
      </c>
      <c r="B6060" s="2" t="s">
        <v>1035</v>
      </c>
      <c r="C6060" s="2" t="s">
        <v>6908</v>
      </c>
      <c r="D6060" s="2"/>
    </row>
    <row r="6061" spans="1:4">
      <c r="A6061" s="3">
        <v>319</v>
      </c>
      <c r="B6061" s="3" t="s">
        <v>1035</v>
      </c>
      <c r="C6061" s="3" t="s">
        <v>6909</v>
      </c>
      <c r="D6061" s="3"/>
    </row>
    <row r="6062" spans="1:4">
      <c r="A6062" s="2">
        <v>319</v>
      </c>
      <c r="B6062" s="2" t="s">
        <v>1035</v>
      </c>
      <c r="C6062" s="2" t="s">
        <v>6910</v>
      </c>
      <c r="D6062" s="2"/>
    </row>
    <row r="6063" spans="1:4">
      <c r="A6063" s="3">
        <v>319</v>
      </c>
      <c r="B6063" s="3" t="s">
        <v>1035</v>
      </c>
      <c r="C6063" s="3" t="s">
        <v>6911</v>
      </c>
      <c r="D6063" s="3"/>
    </row>
    <row r="6064" spans="1:4">
      <c r="A6064" s="2">
        <v>319</v>
      </c>
      <c r="B6064" s="2" t="s">
        <v>1035</v>
      </c>
      <c r="C6064" s="2" t="s">
        <v>6912</v>
      </c>
      <c r="D6064" s="2"/>
    </row>
    <row r="6065" spans="1:4">
      <c r="A6065" s="3">
        <v>319</v>
      </c>
      <c r="B6065" s="3" t="s">
        <v>1035</v>
      </c>
      <c r="C6065" s="3" t="s">
        <v>6913</v>
      </c>
      <c r="D6065" s="3"/>
    </row>
    <row r="6066" spans="1:4">
      <c r="A6066" s="2">
        <v>319</v>
      </c>
      <c r="B6066" s="2" t="s">
        <v>1035</v>
      </c>
      <c r="C6066" s="2" t="s">
        <v>6914</v>
      </c>
      <c r="D6066" s="2"/>
    </row>
    <row r="6067" spans="1:4">
      <c r="A6067" s="3">
        <v>319</v>
      </c>
      <c r="B6067" s="3" t="s">
        <v>1035</v>
      </c>
      <c r="C6067" s="3" t="s">
        <v>6915</v>
      </c>
      <c r="D6067" s="3"/>
    </row>
    <row r="6068" spans="1:4">
      <c r="A6068" s="2">
        <v>319</v>
      </c>
      <c r="B6068" s="2" t="s">
        <v>1035</v>
      </c>
      <c r="C6068" s="2" t="s">
        <v>6916</v>
      </c>
      <c r="D6068" s="2"/>
    </row>
    <row r="6069" spans="1:4">
      <c r="A6069" s="3">
        <v>319</v>
      </c>
      <c r="B6069" s="3" t="s">
        <v>1035</v>
      </c>
      <c r="C6069" s="3" t="s">
        <v>6917</v>
      </c>
      <c r="D6069" s="3"/>
    </row>
    <row r="6070" spans="1:4">
      <c r="A6070" s="2">
        <v>319</v>
      </c>
      <c r="B6070" s="2" t="s">
        <v>1035</v>
      </c>
      <c r="C6070" s="2" t="s">
        <v>6918</v>
      </c>
      <c r="D6070" s="2"/>
    </row>
    <row r="6071" spans="1:4">
      <c r="A6071" s="3">
        <v>319</v>
      </c>
      <c r="B6071" s="3" t="s">
        <v>1035</v>
      </c>
      <c r="C6071" s="3" t="s">
        <v>6919</v>
      </c>
      <c r="D6071" s="3"/>
    </row>
    <row r="6072" spans="1:4">
      <c r="A6072" s="2">
        <v>319</v>
      </c>
      <c r="B6072" s="2" t="s">
        <v>1035</v>
      </c>
      <c r="C6072" s="2" t="s">
        <v>6920</v>
      </c>
      <c r="D6072" s="2"/>
    </row>
    <row r="6073" spans="1:4">
      <c r="A6073" s="3">
        <v>319</v>
      </c>
      <c r="B6073" s="3" t="s">
        <v>1035</v>
      </c>
      <c r="C6073" s="3" t="s">
        <v>6921</v>
      </c>
      <c r="D6073" s="3"/>
    </row>
    <row r="6074" spans="1:4">
      <c r="A6074" s="2">
        <v>319</v>
      </c>
      <c r="B6074" s="2" t="s">
        <v>1035</v>
      </c>
      <c r="C6074" s="2" t="s">
        <v>6922</v>
      </c>
      <c r="D6074" s="2"/>
    </row>
    <row r="6075" spans="1:4">
      <c r="A6075" s="3">
        <v>319</v>
      </c>
      <c r="B6075" s="3" t="s">
        <v>1035</v>
      </c>
      <c r="C6075" s="3" t="s">
        <v>6923</v>
      </c>
      <c r="D6075" s="3"/>
    </row>
    <row r="6076" spans="1:4">
      <c r="A6076" s="2">
        <v>319</v>
      </c>
      <c r="B6076" s="2" t="s">
        <v>1035</v>
      </c>
      <c r="C6076" s="2" t="s">
        <v>6924</v>
      </c>
      <c r="D6076" s="2"/>
    </row>
    <row r="6077" spans="1:4">
      <c r="A6077" s="3">
        <v>320</v>
      </c>
      <c r="B6077" s="3" t="s">
        <v>1039</v>
      </c>
      <c r="C6077" s="3" t="s">
        <v>6925</v>
      </c>
      <c r="D6077" s="3"/>
    </row>
    <row r="6078" spans="1:4">
      <c r="A6078" s="2">
        <v>320</v>
      </c>
      <c r="B6078" s="2" t="s">
        <v>1039</v>
      </c>
      <c r="C6078" s="2" t="s">
        <v>6926</v>
      </c>
      <c r="D6078" s="2"/>
    </row>
    <row r="6079" spans="1:4">
      <c r="A6079" s="3">
        <v>320</v>
      </c>
      <c r="B6079" s="3" t="s">
        <v>1039</v>
      </c>
      <c r="C6079" s="3" t="s">
        <v>6927</v>
      </c>
      <c r="D6079" s="3"/>
    </row>
    <row r="6080" spans="1:4">
      <c r="A6080" s="2">
        <v>320</v>
      </c>
      <c r="B6080" s="2" t="s">
        <v>1039</v>
      </c>
      <c r="C6080" s="2" t="s">
        <v>6928</v>
      </c>
      <c r="D6080" s="2"/>
    </row>
    <row r="6081" spans="1:4">
      <c r="A6081" s="3">
        <v>320</v>
      </c>
      <c r="B6081" s="3" t="s">
        <v>1039</v>
      </c>
      <c r="C6081" s="3" t="s">
        <v>6929</v>
      </c>
      <c r="D6081" s="3"/>
    </row>
    <row r="6082" spans="1:4">
      <c r="A6082" s="2">
        <v>320</v>
      </c>
      <c r="B6082" s="2" t="s">
        <v>1039</v>
      </c>
      <c r="C6082" s="2" t="s">
        <v>6930</v>
      </c>
      <c r="D6082" s="2"/>
    </row>
    <row r="6083" spans="1:4">
      <c r="A6083" s="3">
        <v>320</v>
      </c>
      <c r="B6083" s="3" t="s">
        <v>1039</v>
      </c>
      <c r="C6083" s="3" t="s">
        <v>6931</v>
      </c>
      <c r="D6083" s="3"/>
    </row>
    <row r="6084" spans="1:4">
      <c r="A6084" s="2">
        <v>320</v>
      </c>
      <c r="B6084" s="2" t="s">
        <v>1039</v>
      </c>
      <c r="C6084" s="2" t="s">
        <v>6932</v>
      </c>
      <c r="D6084" s="2"/>
    </row>
    <row r="6085" spans="1:4">
      <c r="A6085" s="3">
        <v>320</v>
      </c>
      <c r="B6085" s="3" t="s">
        <v>1039</v>
      </c>
      <c r="C6085" s="3" t="s">
        <v>6933</v>
      </c>
      <c r="D6085" s="3"/>
    </row>
    <row r="6086" spans="1:4">
      <c r="A6086" s="2">
        <v>320</v>
      </c>
      <c r="B6086" s="2" t="s">
        <v>1039</v>
      </c>
      <c r="C6086" s="2" t="s">
        <v>6934</v>
      </c>
      <c r="D6086" s="2"/>
    </row>
    <row r="6087" spans="1:4">
      <c r="A6087" s="3">
        <v>320</v>
      </c>
      <c r="B6087" s="3" t="s">
        <v>1039</v>
      </c>
      <c r="C6087" s="3" t="s">
        <v>6935</v>
      </c>
      <c r="D6087" s="3"/>
    </row>
    <row r="6088" spans="1:4">
      <c r="A6088" s="2">
        <v>320</v>
      </c>
      <c r="B6088" s="2" t="s">
        <v>1039</v>
      </c>
      <c r="C6088" s="2" t="s">
        <v>6936</v>
      </c>
      <c r="D6088" s="2"/>
    </row>
    <row r="6089" spans="1:4">
      <c r="A6089" s="3">
        <v>320</v>
      </c>
      <c r="B6089" s="3" t="s">
        <v>1039</v>
      </c>
      <c r="C6089" s="3" t="s">
        <v>6937</v>
      </c>
      <c r="D6089" s="3"/>
    </row>
    <row r="6090" spans="1:4">
      <c r="A6090" s="2">
        <v>320</v>
      </c>
      <c r="B6090" s="2" t="s">
        <v>1039</v>
      </c>
      <c r="C6090" s="2" t="s">
        <v>6938</v>
      </c>
      <c r="D6090" s="2"/>
    </row>
    <row r="6091" spans="1:4">
      <c r="A6091" s="3">
        <v>320</v>
      </c>
      <c r="B6091" s="3" t="s">
        <v>1039</v>
      </c>
      <c r="C6091" s="3" t="s">
        <v>6939</v>
      </c>
      <c r="D6091" s="3"/>
    </row>
    <row r="6092" spans="1:4">
      <c r="A6092" s="2">
        <v>320</v>
      </c>
      <c r="B6092" s="2" t="s">
        <v>1039</v>
      </c>
      <c r="C6092" s="2" t="s">
        <v>6940</v>
      </c>
      <c r="D6092" s="2"/>
    </row>
    <row r="6093" spans="1:4">
      <c r="A6093" s="3">
        <v>320</v>
      </c>
      <c r="B6093" s="3" t="s">
        <v>1039</v>
      </c>
      <c r="C6093" s="3" t="s">
        <v>6941</v>
      </c>
      <c r="D6093" s="3"/>
    </row>
    <row r="6094" spans="1:4">
      <c r="A6094" s="2">
        <v>320</v>
      </c>
      <c r="B6094" s="2" t="s">
        <v>1039</v>
      </c>
      <c r="C6094" s="2">
        <f>0i=1,2,..., Nv,</f>
        <v>0</v>
      </c>
      <c r="D6094" s="2"/>
    </row>
    <row r="6095" spans="1:4">
      <c r="A6095" s="3">
        <v>320</v>
      </c>
      <c r="B6095" s="3" t="s">
        <v>1039</v>
      </c>
      <c r="C6095" s="3" t="s">
        <v>6942</v>
      </c>
      <c r="D6095" s="3"/>
    </row>
    <row r="6096" spans="1:4">
      <c r="A6096" s="2">
        <v>320</v>
      </c>
      <c r="B6096" s="2" t="s">
        <v>1039</v>
      </c>
      <c r="C6096" s="2" t="s">
        <v>6943</v>
      </c>
      <c r="D6096" s="2"/>
    </row>
    <row r="6097" spans="1:4">
      <c r="A6097" s="3">
        <v>320</v>
      </c>
      <c r="B6097" s="3" t="s">
        <v>1039</v>
      </c>
      <c r="C6097" s="3" t="s">
        <v>6944</v>
      </c>
      <c r="D6097" s="3"/>
    </row>
    <row r="6098" spans="1:4">
      <c r="A6098" s="2">
        <v>320</v>
      </c>
      <c r="B6098" s="2" t="s">
        <v>1039</v>
      </c>
      <c r="C6098" s="2" t="s">
        <v>6945</v>
      </c>
      <c r="D6098" s="2"/>
    </row>
    <row r="6099" spans="1:4">
      <c r="A6099" s="3">
        <v>320</v>
      </c>
      <c r="B6099" s="3" t="s">
        <v>1039</v>
      </c>
      <c r="C6099" s="3" t="s">
        <v>6946</v>
      </c>
      <c r="D6099" s="3"/>
    </row>
    <row r="6100" spans="1:4">
      <c r="A6100" s="2">
        <v>320</v>
      </c>
      <c r="B6100" s="2" t="s">
        <v>1039</v>
      </c>
      <c r="C6100" s="2" t="s">
        <v>6947</v>
      </c>
      <c r="D6100" s="2"/>
    </row>
    <row r="6101" spans="1:4">
      <c r="A6101" s="3">
        <v>320</v>
      </c>
      <c r="B6101" s="3" t="s">
        <v>1039</v>
      </c>
      <c r="C6101" s="3" t="s">
        <v>6948</v>
      </c>
      <c r="D6101" s="3"/>
    </row>
    <row r="6102" spans="1:4">
      <c r="A6102" s="2">
        <v>320</v>
      </c>
      <c r="B6102" s="2" t="s">
        <v>1039</v>
      </c>
      <c r="C6102" s="2" t="s">
        <v>6949</v>
      </c>
      <c r="D6102" s="2"/>
    </row>
    <row r="6103" spans="1:4">
      <c r="A6103" s="3">
        <v>320</v>
      </c>
      <c r="B6103" s="3" t="s">
        <v>1039</v>
      </c>
      <c r="C6103" s="3" t="s">
        <v>6950</v>
      </c>
      <c r="D6103" s="3"/>
    </row>
    <row r="6104" spans="1:4">
      <c r="A6104" s="2">
        <v>320</v>
      </c>
      <c r="B6104" s="2" t="s">
        <v>1039</v>
      </c>
      <c r="C6104" s="2" t="s">
        <v>6934</v>
      </c>
      <c r="D6104" s="2"/>
    </row>
    <row r="6105" spans="1:4">
      <c r="A6105" s="3">
        <v>320</v>
      </c>
      <c r="B6105" s="3" t="s">
        <v>1039</v>
      </c>
      <c r="C6105" s="3" t="s">
        <v>6951</v>
      </c>
      <c r="D6105" s="3"/>
    </row>
    <row r="6106" spans="1:4">
      <c r="A6106" s="2">
        <v>320</v>
      </c>
      <c r="B6106" s="2" t="s">
        <v>1039</v>
      </c>
      <c r="C6106" s="2" t="s">
        <v>6952</v>
      </c>
      <c r="D6106" s="2"/>
    </row>
    <row r="6107" spans="1:4">
      <c r="A6107" s="3">
        <v>320</v>
      </c>
      <c r="B6107" s="3" t="s">
        <v>1039</v>
      </c>
      <c r="C6107" s="3" t="s">
        <v>6953</v>
      </c>
      <c r="D6107" s="3"/>
    </row>
    <row r="6108" spans="1:4">
      <c r="A6108" s="2">
        <v>320</v>
      </c>
      <c r="B6108" s="2" t="s">
        <v>1039</v>
      </c>
      <c r="C6108" s="2" t="s">
        <v>6954</v>
      </c>
      <c r="D6108" s="2"/>
    </row>
    <row r="6109" spans="1:4">
      <c r="A6109" s="3">
        <v>320</v>
      </c>
      <c r="B6109" s="3" t="s">
        <v>1039</v>
      </c>
      <c r="C6109" s="3" t="s">
        <v>6955</v>
      </c>
      <c r="D6109" s="3"/>
    </row>
    <row r="6110" spans="1:4">
      <c r="A6110" s="2">
        <v>320</v>
      </c>
      <c r="B6110" s="2" t="s">
        <v>1039</v>
      </c>
      <c r="C6110" s="2" t="s">
        <v>6934</v>
      </c>
      <c r="D6110" s="2"/>
    </row>
    <row r="6111" spans="1:4">
      <c r="A6111" s="3">
        <v>320</v>
      </c>
      <c r="B6111" s="3" t="s">
        <v>1039</v>
      </c>
      <c r="C6111" s="3" t="s">
        <v>6956</v>
      </c>
      <c r="D6111" s="3"/>
    </row>
    <row r="6112" spans="1:4">
      <c r="A6112" s="2">
        <v>320</v>
      </c>
      <c r="B6112" s="2" t="s">
        <v>1039</v>
      </c>
      <c r="C6112" s="2" t="s">
        <v>6957</v>
      </c>
      <c r="D6112" s="2"/>
    </row>
    <row r="6113" spans="1:4">
      <c r="A6113" s="3">
        <v>320</v>
      </c>
      <c r="B6113" s="3" t="s">
        <v>1039</v>
      </c>
      <c r="C6113" s="3" t="s">
        <v>6958</v>
      </c>
      <c r="D6113" s="3"/>
    </row>
    <row r="6114" spans="1:4">
      <c r="A6114" s="2">
        <v>320</v>
      </c>
      <c r="B6114" s="2" t="s">
        <v>1039</v>
      </c>
      <c r="C6114" s="2" t="s">
        <v>6959</v>
      </c>
      <c r="D6114" s="2"/>
    </row>
    <row r="6115" spans="1:4">
      <c r="A6115" s="3">
        <v>320</v>
      </c>
      <c r="B6115" s="3" t="s">
        <v>1039</v>
      </c>
      <c r="C6115" s="3" t="s">
        <v>6960</v>
      </c>
      <c r="D6115" s="3"/>
    </row>
    <row r="6116" spans="1:4">
      <c r="A6116" s="2">
        <v>320</v>
      </c>
      <c r="B6116" s="2" t="s">
        <v>1039</v>
      </c>
      <c r="C6116" s="2" t="s">
        <v>6961</v>
      </c>
      <c r="D6116" s="2"/>
    </row>
    <row r="6117" spans="1:4">
      <c r="A6117" s="3">
        <v>320</v>
      </c>
      <c r="B6117" s="3" t="s">
        <v>1039</v>
      </c>
      <c r="C6117" s="3" t="s">
        <v>6962</v>
      </c>
      <c r="D6117" s="3"/>
    </row>
    <row r="6118" spans="1:4">
      <c r="A6118" s="2">
        <v>320</v>
      </c>
      <c r="B6118" s="2" t="s">
        <v>1039</v>
      </c>
      <c r="C6118" s="2" t="s">
        <v>6962</v>
      </c>
      <c r="D6118" s="2"/>
    </row>
    <row r="6119" spans="1:4">
      <c r="A6119" s="3">
        <v>320</v>
      </c>
      <c r="B6119" s="3" t="s">
        <v>1039</v>
      </c>
      <c r="C6119" s="3" t="s">
        <v>6963</v>
      </c>
      <c r="D6119" s="3"/>
    </row>
    <row r="6120" spans="1:4">
      <c r="A6120" s="2">
        <v>320</v>
      </c>
      <c r="B6120" s="2" t="s">
        <v>1039</v>
      </c>
      <c r="C6120" s="2" t="s">
        <v>6964</v>
      </c>
      <c r="D6120" s="2"/>
    </row>
    <row r="6121" spans="1:4">
      <c r="A6121" s="3">
        <v>320</v>
      </c>
      <c r="B6121" s="3" t="s">
        <v>1039</v>
      </c>
      <c r="C6121" s="3" t="s">
        <v>6965</v>
      </c>
      <c r="D6121" s="3"/>
    </row>
    <row r="6122" spans="1:4">
      <c r="A6122" s="2">
        <v>320</v>
      </c>
      <c r="B6122" s="2" t="s">
        <v>1039</v>
      </c>
      <c r="C6122" s="2" t="s">
        <v>6966</v>
      </c>
      <c r="D6122" s="2"/>
    </row>
    <row r="6123" spans="1:4">
      <c r="A6123" s="3">
        <v>320</v>
      </c>
      <c r="B6123" s="3" t="s">
        <v>1039</v>
      </c>
      <c r="C6123" s="3" t="s">
        <v>6967</v>
      </c>
      <c r="D6123" s="3"/>
    </row>
    <row r="6124" spans="1:4">
      <c r="A6124" s="2">
        <v>320</v>
      </c>
      <c r="B6124" s="2" t="s">
        <v>1039</v>
      </c>
      <c r="C6124" s="2" t="s">
        <v>6968</v>
      </c>
      <c r="D6124" s="2"/>
    </row>
    <row r="6125" spans="1:4">
      <c r="A6125" s="3">
        <v>320</v>
      </c>
      <c r="B6125" s="3" t="s">
        <v>1039</v>
      </c>
      <c r="C6125" s="3" t="s">
        <v>6969</v>
      </c>
      <c r="D6125" s="3"/>
    </row>
    <row r="6126" spans="1:4">
      <c r="A6126" s="2">
        <v>320</v>
      </c>
      <c r="B6126" s="2" t="s">
        <v>1039</v>
      </c>
      <c r="C6126" s="2" t="s">
        <v>6970</v>
      </c>
      <c r="D6126" s="2"/>
    </row>
    <row r="6127" spans="1:4">
      <c r="A6127" s="3">
        <v>321</v>
      </c>
      <c r="B6127" s="3" t="s">
        <v>1048</v>
      </c>
      <c r="C6127" s="3" t="s">
        <v>6971</v>
      </c>
      <c r="D6127" s="3"/>
    </row>
    <row r="6128" spans="1:4">
      <c r="A6128" s="2">
        <v>321</v>
      </c>
      <c r="B6128" s="2" t="s">
        <v>1048</v>
      </c>
      <c r="C6128" s="2" t="s">
        <v>6972</v>
      </c>
      <c r="D6128" s="2"/>
    </row>
    <row r="6129" spans="1:4">
      <c r="A6129" s="3">
        <v>321</v>
      </c>
      <c r="B6129" s="3" t="s">
        <v>1048</v>
      </c>
      <c r="C6129" s="3" t="s">
        <v>6973</v>
      </c>
      <c r="D6129" s="3"/>
    </row>
    <row r="6130" spans="1:4">
      <c r="A6130" s="2">
        <v>321</v>
      </c>
      <c r="B6130" s="2" t="s">
        <v>1048</v>
      </c>
      <c r="C6130" s="2" t="s">
        <v>6974</v>
      </c>
      <c r="D6130" s="2"/>
    </row>
    <row r="6131" spans="1:4">
      <c r="A6131" s="3">
        <v>321</v>
      </c>
      <c r="B6131" s="3" t="s">
        <v>1048</v>
      </c>
      <c r="C6131" s="3" t="s">
        <v>6975</v>
      </c>
      <c r="D6131" s="3"/>
    </row>
    <row r="6132" spans="1:4">
      <c r="A6132" s="2">
        <v>321</v>
      </c>
      <c r="B6132" s="2" t="s">
        <v>1048</v>
      </c>
      <c r="C6132" s="2" t="s">
        <v>6976</v>
      </c>
      <c r="D6132" s="2"/>
    </row>
    <row r="6133" spans="1:4">
      <c r="A6133" s="3">
        <v>321</v>
      </c>
      <c r="B6133" s="3" t="s">
        <v>1048</v>
      </c>
      <c r="C6133" s="3" t="s">
        <v>6977</v>
      </c>
      <c r="D6133" s="3"/>
    </row>
    <row r="6134" spans="1:4">
      <c r="A6134" s="2">
        <v>321</v>
      </c>
      <c r="B6134" s="2" t="s">
        <v>1048</v>
      </c>
      <c r="C6134" s="2" t="s">
        <v>6978</v>
      </c>
      <c r="D6134" s="2"/>
    </row>
    <row r="6135" spans="1:4">
      <c r="A6135" s="3">
        <v>321</v>
      </c>
      <c r="B6135" s="3" t="s">
        <v>1048</v>
      </c>
      <c r="C6135" s="3" t="s">
        <v>6979</v>
      </c>
      <c r="D6135" s="3"/>
    </row>
    <row r="6136" spans="1:4">
      <c r="A6136" s="2">
        <v>321</v>
      </c>
      <c r="B6136" s="2" t="s">
        <v>1048</v>
      </c>
      <c r="C6136" s="2" t="s">
        <v>6980</v>
      </c>
      <c r="D6136" s="2"/>
    </row>
    <row r="6137" spans="1:4">
      <c r="A6137" s="3">
        <v>321</v>
      </c>
      <c r="B6137" s="3" t="s">
        <v>1048</v>
      </c>
      <c r="C6137" s="3" t="s">
        <v>6981</v>
      </c>
      <c r="D6137" s="3"/>
    </row>
    <row r="6138" spans="1:4">
      <c r="A6138" s="2">
        <v>321</v>
      </c>
      <c r="B6138" s="2" t="s">
        <v>1048</v>
      </c>
      <c r="C6138" s="2" t="s">
        <v>6982</v>
      </c>
      <c r="D6138" s="2"/>
    </row>
    <row r="6139" spans="1:4">
      <c r="A6139" s="3">
        <v>321</v>
      </c>
      <c r="B6139" s="3" t="s">
        <v>1048</v>
      </c>
      <c r="C6139" s="3" t="s">
        <v>6983</v>
      </c>
      <c r="D6139" s="3"/>
    </row>
    <row r="6140" spans="1:4">
      <c r="A6140" s="2">
        <v>321</v>
      </c>
      <c r="B6140" s="2" t="s">
        <v>1048</v>
      </c>
      <c r="C6140" s="2" t="s">
        <v>6984</v>
      </c>
      <c r="D6140" s="2"/>
    </row>
    <row r="6141" spans="1:4">
      <c r="A6141" s="3">
        <v>321</v>
      </c>
      <c r="B6141" s="3" t="s">
        <v>1048</v>
      </c>
      <c r="C6141" s="3" t="s">
        <v>6985</v>
      </c>
      <c r="D6141" s="3"/>
    </row>
    <row r="6142" spans="1:4">
      <c r="A6142" s="2">
        <v>321</v>
      </c>
      <c r="B6142" s="2" t="s">
        <v>1048</v>
      </c>
      <c r="C6142" s="2" t="s">
        <v>6986</v>
      </c>
      <c r="D6142" s="2"/>
    </row>
    <row r="6143" spans="1:4">
      <c r="A6143" s="3">
        <v>321</v>
      </c>
      <c r="B6143" s="3" t="s">
        <v>1048</v>
      </c>
      <c r="C6143" s="3" t="s">
        <v>6987</v>
      </c>
      <c r="D6143" s="3"/>
    </row>
    <row r="6144" spans="1:4">
      <c r="A6144" s="2">
        <v>321</v>
      </c>
      <c r="B6144" s="2" t="s">
        <v>1048</v>
      </c>
      <c r="C6144" s="2" t="s">
        <v>6988</v>
      </c>
      <c r="D6144" s="2"/>
    </row>
    <row r="6145" spans="1:4">
      <c r="A6145" s="3">
        <v>321</v>
      </c>
      <c r="B6145" s="3" t="s">
        <v>1048</v>
      </c>
      <c r="C6145" s="3" t="s">
        <v>6989</v>
      </c>
      <c r="D6145" s="3"/>
    </row>
    <row r="6146" spans="1:4">
      <c r="A6146" s="2">
        <v>321</v>
      </c>
      <c r="B6146" s="2" t="s">
        <v>1048</v>
      </c>
      <c r="C6146" s="2" t="s">
        <v>6990</v>
      </c>
      <c r="D6146" s="2"/>
    </row>
    <row r="6147" spans="1:4">
      <c r="A6147" s="3">
        <v>321</v>
      </c>
      <c r="B6147" s="3" t="s">
        <v>1048</v>
      </c>
      <c r="C6147" s="3" t="s">
        <v>6991</v>
      </c>
      <c r="D6147" s="3"/>
    </row>
    <row r="6148" spans="1:4">
      <c r="A6148" s="2">
        <v>321</v>
      </c>
      <c r="B6148" s="2" t="s">
        <v>1048</v>
      </c>
      <c r="C6148" s="2" t="s">
        <v>6992</v>
      </c>
      <c r="D6148" s="2"/>
    </row>
    <row r="6149" spans="1:4">
      <c r="A6149" s="3">
        <v>321</v>
      </c>
      <c r="B6149" s="3" t="s">
        <v>1048</v>
      </c>
      <c r="C6149" s="3" t="s">
        <v>6993</v>
      </c>
      <c r="D6149" s="3"/>
    </row>
    <row r="6150" spans="1:4">
      <c r="A6150" s="2">
        <v>321</v>
      </c>
      <c r="B6150" s="2" t="s">
        <v>1048</v>
      </c>
      <c r="C6150" s="2" t="s">
        <v>6994</v>
      </c>
      <c r="D6150" s="2"/>
    </row>
    <row r="6151" spans="1:4">
      <c r="A6151" s="3">
        <v>321</v>
      </c>
      <c r="B6151" s="3" t="s">
        <v>1048</v>
      </c>
      <c r="C6151" s="3" t="s">
        <v>6995</v>
      </c>
      <c r="D6151" s="3"/>
    </row>
    <row r="6152" spans="1:4">
      <c r="A6152" s="2">
        <v>321</v>
      </c>
      <c r="B6152" s="2" t="s">
        <v>1048</v>
      </c>
      <c r="C6152" s="2" t="s">
        <v>6996</v>
      </c>
      <c r="D6152" s="2"/>
    </row>
    <row r="6153" spans="1:4">
      <c r="A6153" s="3">
        <v>321</v>
      </c>
      <c r="B6153" s="3" t="s">
        <v>1048</v>
      </c>
      <c r="C6153" s="3" t="s">
        <v>6997</v>
      </c>
      <c r="D6153" s="3"/>
    </row>
    <row r="6154" spans="1:4">
      <c r="A6154" s="2">
        <v>321</v>
      </c>
      <c r="B6154" s="2" t="s">
        <v>1048</v>
      </c>
      <c r="C6154" s="2" t="s">
        <v>6998</v>
      </c>
      <c r="D6154" s="2"/>
    </row>
    <row r="6155" spans="1:4">
      <c r="A6155" s="3">
        <v>321</v>
      </c>
      <c r="B6155" s="3" t="s">
        <v>1048</v>
      </c>
      <c r="C6155" s="3" t="s">
        <v>6999</v>
      </c>
      <c r="D6155" s="3"/>
    </row>
    <row r="6156" spans="1:4">
      <c r="A6156" s="2">
        <v>321</v>
      </c>
      <c r="B6156" s="2" t="s">
        <v>1048</v>
      </c>
      <c r="C6156" s="2" t="s">
        <v>7000</v>
      </c>
      <c r="D6156" s="2"/>
    </row>
    <row r="6157" spans="1:4">
      <c r="A6157" s="3">
        <v>321</v>
      </c>
      <c r="B6157" s="3" t="s">
        <v>1048</v>
      </c>
      <c r="C6157" s="3" t="s">
        <v>7001</v>
      </c>
      <c r="D6157" s="3"/>
    </row>
    <row r="6158" spans="1:4">
      <c r="A6158" s="2">
        <v>321</v>
      </c>
      <c r="B6158" s="2" t="s">
        <v>1048</v>
      </c>
      <c r="C6158" s="2" t="s">
        <v>7002</v>
      </c>
      <c r="D6158" s="2"/>
    </row>
    <row r="6159" spans="1:4">
      <c r="A6159" s="3">
        <v>321</v>
      </c>
      <c r="B6159" s="3" t="s">
        <v>1048</v>
      </c>
      <c r="C6159" s="3" t="s">
        <v>7003</v>
      </c>
      <c r="D6159" s="3"/>
    </row>
    <row r="6160" spans="1:4">
      <c r="A6160" s="2">
        <v>321</v>
      </c>
      <c r="B6160" s="2" t="s">
        <v>1048</v>
      </c>
      <c r="C6160" s="2" t="s">
        <v>7004</v>
      </c>
      <c r="D6160" s="2"/>
    </row>
    <row r="6161" spans="1:4">
      <c r="A6161" s="3">
        <v>321</v>
      </c>
      <c r="B6161" s="3" t="s">
        <v>1048</v>
      </c>
      <c r="C6161" s="3" t="s">
        <v>7005</v>
      </c>
      <c r="D6161" s="3"/>
    </row>
    <row r="6162" spans="1:4">
      <c r="A6162" s="2">
        <v>322</v>
      </c>
      <c r="B6162" s="2" t="s">
        <v>1012</v>
      </c>
      <c r="C6162" s="2" t="s">
        <v>7006</v>
      </c>
      <c r="D6162" s="2"/>
    </row>
    <row r="6163" spans="1:4">
      <c r="A6163" s="3">
        <v>322</v>
      </c>
      <c r="B6163" s="3" t="s">
        <v>1012</v>
      </c>
      <c r="C6163" s="3" t="s">
        <v>7007</v>
      </c>
      <c r="D6163" s="3"/>
    </row>
    <row r="6164" spans="1:4">
      <c r="A6164" s="2">
        <v>322</v>
      </c>
      <c r="B6164" s="2" t="s">
        <v>1012</v>
      </c>
      <c r="C6164" s="2" t="s">
        <v>7008</v>
      </c>
      <c r="D6164" s="2"/>
    </row>
    <row r="6165" spans="1:4">
      <c r="A6165" s="3">
        <v>322</v>
      </c>
      <c r="B6165" s="3" t="s">
        <v>1012</v>
      </c>
      <c r="C6165" s="3" t="s">
        <v>7009</v>
      </c>
      <c r="D6165" s="3"/>
    </row>
    <row r="6166" spans="1:4">
      <c r="A6166" s="2">
        <v>322</v>
      </c>
      <c r="B6166" s="2" t="s">
        <v>1012</v>
      </c>
      <c r="C6166" s="2" t="s">
        <v>7010</v>
      </c>
      <c r="D6166" s="2"/>
    </row>
    <row r="6167" spans="1:4">
      <c r="A6167" s="3">
        <v>322</v>
      </c>
      <c r="B6167" s="3" t="s">
        <v>1012</v>
      </c>
      <c r="C6167" s="3" t="s">
        <v>7011</v>
      </c>
      <c r="D6167" s="3"/>
    </row>
    <row r="6168" spans="1:4">
      <c r="A6168" s="2">
        <v>322</v>
      </c>
      <c r="B6168" s="2" t="s">
        <v>1012</v>
      </c>
      <c r="C6168" s="2" t="s">
        <v>7012</v>
      </c>
      <c r="D6168" s="2"/>
    </row>
    <row r="6169" spans="1:4">
      <c r="A6169" s="3">
        <v>322</v>
      </c>
      <c r="B6169" s="3" t="s">
        <v>1012</v>
      </c>
      <c r="C6169" s="3" t="s">
        <v>7013</v>
      </c>
      <c r="D6169" s="3"/>
    </row>
    <row r="6170" spans="1:4">
      <c r="A6170" s="2">
        <v>322</v>
      </c>
      <c r="B6170" s="2" t="s">
        <v>1012</v>
      </c>
      <c r="C6170" s="2" t="s">
        <v>7014</v>
      </c>
      <c r="D6170" s="2"/>
    </row>
    <row r="6171" spans="1:4">
      <c r="A6171" s="3">
        <v>322</v>
      </c>
      <c r="B6171" s="3" t="s">
        <v>1012</v>
      </c>
      <c r="C6171" s="3" t="s">
        <v>7015</v>
      </c>
      <c r="D6171" s="3"/>
    </row>
    <row r="6172" spans="1:4">
      <c r="A6172" s="2">
        <v>322</v>
      </c>
      <c r="B6172" s="2" t="s">
        <v>1012</v>
      </c>
      <c r="C6172" s="2" t="s">
        <v>7016</v>
      </c>
      <c r="D6172" s="2"/>
    </row>
    <row r="6173" spans="1:4">
      <c r="A6173" s="3">
        <v>322</v>
      </c>
      <c r="B6173" s="3" t="s">
        <v>1012</v>
      </c>
      <c r="C6173" s="3" t="s">
        <v>7017</v>
      </c>
      <c r="D6173" s="3"/>
    </row>
    <row r="6174" spans="1:4">
      <c r="A6174" s="2">
        <v>323</v>
      </c>
      <c r="B6174" s="2" t="s">
        <v>1016</v>
      </c>
      <c r="C6174" s="2" t="s">
        <v>7018</v>
      </c>
      <c r="D6174" s="2"/>
    </row>
    <row r="6175" spans="1:4">
      <c r="A6175" s="3">
        <v>323</v>
      </c>
      <c r="B6175" s="3" t="s">
        <v>1016</v>
      </c>
      <c r="C6175" s="3" t="s">
        <v>7019</v>
      </c>
      <c r="D6175" s="3"/>
    </row>
    <row r="6176" spans="1:4">
      <c r="A6176" s="2">
        <v>323</v>
      </c>
      <c r="B6176" s="2" t="s">
        <v>1016</v>
      </c>
      <c r="C6176" s="2" t="s">
        <v>7020</v>
      </c>
      <c r="D6176" s="2"/>
    </row>
    <row r="6177" spans="1:4">
      <c r="A6177" s="3">
        <v>323</v>
      </c>
      <c r="B6177" s="3" t="s">
        <v>1016</v>
      </c>
      <c r="C6177" s="3" t="s">
        <v>7021</v>
      </c>
      <c r="D6177" s="3"/>
    </row>
    <row r="6178" spans="1:4">
      <c r="A6178" s="2">
        <v>323</v>
      </c>
      <c r="B6178" s="2" t="s">
        <v>1016</v>
      </c>
      <c r="C6178" s="2" t="s">
        <v>7022</v>
      </c>
      <c r="D6178" s="2"/>
    </row>
    <row r="6179" spans="1:4">
      <c r="A6179" s="3">
        <v>323</v>
      </c>
      <c r="B6179" s="3" t="s">
        <v>1016</v>
      </c>
      <c r="C6179" s="3" t="s">
        <v>7023</v>
      </c>
      <c r="D6179" s="3"/>
    </row>
    <row r="6180" spans="1:4">
      <c r="A6180" s="2">
        <v>323</v>
      </c>
      <c r="B6180" s="2" t="s">
        <v>1016</v>
      </c>
      <c r="C6180" s="2" t="s">
        <v>7024</v>
      </c>
      <c r="D6180" s="2"/>
    </row>
    <row r="6181" spans="1:4">
      <c r="A6181" s="3">
        <v>323</v>
      </c>
      <c r="B6181" s="3" t="s">
        <v>1016</v>
      </c>
      <c r="C6181" s="3" t="s">
        <v>7025</v>
      </c>
      <c r="D6181" s="3"/>
    </row>
    <row r="6182" spans="1:4">
      <c r="A6182" s="2">
        <v>323</v>
      </c>
      <c r="B6182" s="2" t="s">
        <v>1016</v>
      </c>
      <c r="C6182" s="2" t="s">
        <v>7026</v>
      </c>
      <c r="D6182" s="2"/>
    </row>
    <row r="6183" spans="1:4">
      <c r="A6183" s="3">
        <v>323</v>
      </c>
      <c r="B6183" s="3" t="s">
        <v>1016</v>
      </c>
      <c r="C6183" s="3" t="s">
        <v>7027</v>
      </c>
      <c r="D6183" s="3"/>
    </row>
    <row r="6184" spans="1:4">
      <c r="A6184" s="2">
        <v>323</v>
      </c>
      <c r="B6184" s="2" t="s">
        <v>1016</v>
      </c>
      <c r="C6184" s="2" t="s">
        <v>7028</v>
      </c>
      <c r="D6184" s="2"/>
    </row>
    <row r="6185" spans="1:4">
      <c r="A6185" s="3">
        <v>323</v>
      </c>
      <c r="B6185" s="3" t="s">
        <v>1016</v>
      </c>
      <c r="C6185" s="3" t="s">
        <v>7029</v>
      </c>
      <c r="D6185" s="3"/>
    </row>
    <row r="6186" spans="1:4">
      <c r="A6186" s="2">
        <v>323</v>
      </c>
      <c r="B6186" s="2" t="s">
        <v>1016</v>
      </c>
      <c r="C6186" s="2" t="s">
        <v>7030</v>
      </c>
      <c r="D6186" s="2"/>
    </row>
    <row r="6187" spans="1:4">
      <c r="A6187" s="3">
        <v>323</v>
      </c>
      <c r="B6187" s="3" t="s">
        <v>1016</v>
      </c>
      <c r="C6187" s="3" t="s">
        <v>7031</v>
      </c>
      <c r="D6187" s="3"/>
    </row>
    <row r="6188" spans="1:4">
      <c r="A6188" s="2">
        <v>323</v>
      </c>
      <c r="B6188" s="2" t="s">
        <v>1016</v>
      </c>
      <c r="C6188" s="2" t="s">
        <v>7032</v>
      </c>
      <c r="D6188" s="2"/>
    </row>
    <row r="6189" spans="1:4">
      <c r="A6189" s="3">
        <v>323</v>
      </c>
      <c r="B6189" s="3" t="s">
        <v>1016</v>
      </c>
      <c r="C6189" s="3" t="s">
        <v>7033</v>
      </c>
      <c r="D6189" s="3"/>
    </row>
    <row r="6190" spans="1:4">
      <c r="A6190" s="2">
        <v>323</v>
      </c>
      <c r="B6190" s="2" t="s">
        <v>1016</v>
      </c>
      <c r="C6190" s="2" t="s">
        <v>7034</v>
      </c>
      <c r="D6190" s="2"/>
    </row>
    <row r="6191" spans="1:4">
      <c r="A6191" s="3">
        <v>323</v>
      </c>
      <c r="B6191" s="3" t="s">
        <v>1016</v>
      </c>
      <c r="C6191" s="3" t="s">
        <v>7035</v>
      </c>
      <c r="D6191" s="3"/>
    </row>
    <row r="6192" spans="1:4">
      <c r="A6192" s="2">
        <v>323</v>
      </c>
      <c r="B6192" s="2" t="s">
        <v>1016</v>
      </c>
      <c r="C6192" s="2" t="s">
        <v>7036</v>
      </c>
      <c r="D6192" s="2"/>
    </row>
    <row r="6193" spans="1:4">
      <c r="A6193" s="3">
        <v>323</v>
      </c>
      <c r="B6193" s="3" t="s">
        <v>1016</v>
      </c>
      <c r="C6193" s="3" t="s">
        <v>7037</v>
      </c>
      <c r="D6193" s="3"/>
    </row>
    <row r="6194" spans="1:4">
      <c r="A6194" s="2">
        <v>323</v>
      </c>
      <c r="B6194" s="2" t="s">
        <v>1016</v>
      </c>
      <c r="C6194" s="2" t="s">
        <v>7038</v>
      </c>
      <c r="D6194" s="2"/>
    </row>
    <row r="6195" spans="1:4">
      <c r="A6195" s="3">
        <v>323</v>
      </c>
      <c r="B6195" s="3" t="s">
        <v>1016</v>
      </c>
      <c r="C6195" s="3" t="s">
        <v>7039</v>
      </c>
      <c r="D6195" s="3"/>
    </row>
    <row r="6196" spans="1:4">
      <c r="A6196" s="2">
        <v>323</v>
      </c>
      <c r="B6196" s="2" t="s">
        <v>1016</v>
      </c>
      <c r="C6196" s="2" t="s">
        <v>7040</v>
      </c>
      <c r="D6196" s="2"/>
    </row>
    <row r="6197" spans="1:4">
      <c r="A6197" s="3">
        <v>323</v>
      </c>
      <c r="B6197" s="3" t="s">
        <v>1016</v>
      </c>
      <c r="C6197" s="3" t="s">
        <v>7041</v>
      </c>
      <c r="D6197" s="3"/>
    </row>
    <row r="6198" spans="1:4">
      <c r="A6198" s="2">
        <v>323</v>
      </c>
      <c r="B6198" s="2" t="s">
        <v>1016</v>
      </c>
      <c r="C6198" s="2" t="s">
        <v>7042</v>
      </c>
      <c r="D6198" s="2"/>
    </row>
    <row r="6199" spans="1:4">
      <c r="A6199" s="3">
        <v>323</v>
      </c>
      <c r="B6199" s="3" t="s">
        <v>1016</v>
      </c>
      <c r="C6199" s="3" t="s">
        <v>7043</v>
      </c>
      <c r="D6199" s="3"/>
    </row>
    <row r="6200" spans="1:4">
      <c r="A6200" s="2">
        <v>323</v>
      </c>
      <c r="B6200" s="2" t="s">
        <v>1016</v>
      </c>
      <c r="C6200" s="2" t="s">
        <v>7044</v>
      </c>
      <c r="D6200" s="2"/>
    </row>
    <row r="6201" spans="1:4">
      <c r="A6201" s="3">
        <v>323</v>
      </c>
      <c r="B6201" s="3" t="s">
        <v>1016</v>
      </c>
      <c r="C6201" s="3" t="s">
        <v>7045</v>
      </c>
      <c r="D6201" s="3"/>
    </row>
    <row r="6202" spans="1:4">
      <c r="A6202" s="2">
        <v>325</v>
      </c>
      <c r="B6202" s="2" t="s">
        <v>1020</v>
      </c>
      <c r="C6202" s="2" t="s">
        <v>7046</v>
      </c>
      <c r="D6202" s="2"/>
    </row>
    <row r="6203" spans="1:4">
      <c r="A6203" s="3">
        <v>325</v>
      </c>
      <c r="B6203" s="3" t="s">
        <v>1020</v>
      </c>
      <c r="C6203" s="3" t="s">
        <v>7047</v>
      </c>
      <c r="D6203" s="3"/>
    </row>
    <row r="6204" spans="1:4">
      <c r="A6204" s="2">
        <v>325</v>
      </c>
      <c r="B6204" s="2" t="s">
        <v>1020</v>
      </c>
      <c r="C6204" s="2" t="s">
        <v>7048</v>
      </c>
      <c r="D6204" s="2"/>
    </row>
    <row r="6205" spans="1:4">
      <c r="A6205" s="3">
        <v>325</v>
      </c>
      <c r="B6205" s="3" t="s">
        <v>1020</v>
      </c>
      <c r="C6205" s="3" t="s">
        <v>7049</v>
      </c>
      <c r="D6205" s="3"/>
    </row>
    <row r="6206" spans="1:4">
      <c r="A6206" s="2">
        <v>325</v>
      </c>
      <c r="B6206" s="2" t="s">
        <v>1020</v>
      </c>
      <c r="C6206" s="2" t="s">
        <v>7050</v>
      </c>
      <c r="D6206" s="2"/>
    </row>
    <row r="6207" spans="1:4">
      <c r="A6207" s="3">
        <v>326</v>
      </c>
      <c r="B6207" s="3" t="s">
        <v>1022</v>
      </c>
      <c r="C6207" s="3" t="s">
        <v>7051</v>
      </c>
      <c r="D6207" s="3"/>
    </row>
    <row r="6208" spans="1:4">
      <c r="A6208" s="2">
        <v>326</v>
      </c>
      <c r="B6208" s="2" t="s">
        <v>1022</v>
      </c>
      <c r="C6208" s="2" t="s">
        <v>7052</v>
      </c>
      <c r="D6208" s="2"/>
    </row>
    <row r="6209" spans="1:4">
      <c r="A6209" s="3">
        <v>326</v>
      </c>
      <c r="B6209" s="3" t="s">
        <v>1022</v>
      </c>
      <c r="C6209" s="3" t="s">
        <v>7053</v>
      </c>
      <c r="D6209" s="3"/>
    </row>
    <row r="6210" spans="1:4">
      <c r="A6210" s="2">
        <v>326</v>
      </c>
      <c r="B6210" s="2" t="s">
        <v>1022</v>
      </c>
      <c r="C6210" s="2" t="s">
        <v>7054</v>
      </c>
      <c r="D6210" s="2"/>
    </row>
    <row r="6211" spans="1:4">
      <c r="A6211" s="3">
        <v>326</v>
      </c>
      <c r="B6211" s="3" t="s">
        <v>1022</v>
      </c>
      <c r="C6211" s="3" t="s">
        <v>7055</v>
      </c>
      <c r="D6211" s="3"/>
    </row>
    <row r="6212" spans="1:4">
      <c r="A6212" s="2">
        <v>326</v>
      </c>
      <c r="B6212" s="2" t="s">
        <v>1022</v>
      </c>
      <c r="C6212" s="2" t="s">
        <v>7056</v>
      </c>
      <c r="D6212" s="2"/>
    </row>
    <row r="6213" spans="1:4">
      <c r="A6213" s="3">
        <v>326</v>
      </c>
      <c r="B6213" s="3" t="s">
        <v>1022</v>
      </c>
      <c r="C6213" s="3">
        <f>ρ0un,0</f>
        <v>0</v>
      </c>
      <c r="D6213" s="3"/>
    </row>
    <row r="6214" spans="1:4">
      <c r="A6214" s="2">
        <v>326</v>
      </c>
      <c r="B6214" s="2" t="s">
        <v>1022</v>
      </c>
      <c r="C6214" s="2" t="s">
        <v>7057</v>
      </c>
      <c r="D6214" s="2"/>
    </row>
    <row r="6215" spans="1:4">
      <c r="A6215" s="3">
        <v>326</v>
      </c>
      <c r="B6215" s="3" t="s">
        <v>1022</v>
      </c>
      <c r="C6215" s="3" t="s">
        <v>7058</v>
      </c>
      <c r="D6215" s="3"/>
    </row>
    <row r="6216" spans="1:4">
      <c r="A6216" s="2">
        <v>326</v>
      </c>
      <c r="B6216" s="2" t="s">
        <v>1022</v>
      </c>
      <c r="C6216" s="2" t="s">
        <v>7059</v>
      </c>
      <c r="D6216" s="2"/>
    </row>
    <row r="6217" spans="1:4">
      <c r="A6217" s="3">
        <v>326</v>
      </c>
      <c r="B6217" s="3" t="s">
        <v>1022</v>
      </c>
      <c r="C6217" s="3" t="s">
        <v>7060</v>
      </c>
      <c r="D6217" s="3"/>
    </row>
    <row r="6218" spans="1:4">
      <c r="A6218" s="2">
        <v>326</v>
      </c>
      <c r="B6218" s="2" t="s">
        <v>1022</v>
      </c>
      <c r="C6218" s="2" t="s">
        <v>7061</v>
      </c>
      <c r="D6218" s="2"/>
    </row>
    <row r="6219" spans="1:4">
      <c r="A6219" s="3">
        <v>326</v>
      </c>
      <c r="B6219" s="3" t="s">
        <v>1022</v>
      </c>
      <c r="C6219" s="3" t="s">
        <v>7062</v>
      </c>
      <c r="D6219" s="3"/>
    </row>
    <row r="6220" spans="1:4">
      <c r="A6220" s="2">
        <v>326</v>
      </c>
      <c r="B6220" s="2" t="s">
        <v>1022</v>
      </c>
      <c r="C6220" s="2" t="s">
        <v>7063</v>
      </c>
      <c r="D6220" s="2"/>
    </row>
    <row r="6221" spans="1:4">
      <c r="A6221" s="3">
        <v>326</v>
      </c>
      <c r="B6221" s="3" t="s">
        <v>1022</v>
      </c>
      <c r="C6221" s="3" t="s">
        <v>7064</v>
      </c>
      <c r="D6221" s="3"/>
    </row>
    <row r="6222" spans="1:4">
      <c r="A6222" s="2">
        <v>326</v>
      </c>
      <c r="B6222" s="2" t="s">
        <v>1022</v>
      </c>
      <c r="C6222" s="2" t="s">
        <v>7065</v>
      </c>
      <c r="D6222" s="2"/>
    </row>
    <row r="6223" spans="1:4">
      <c r="A6223" s="3">
        <v>326</v>
      </c>
      <c r="B6223" s="3" t="s">
        <v>1022</v>
      </c>
      <c r="C6223" s="3" t="s">
        <v>7066</v>
      </c>
      <c r="D6223" s="3"/>
    </row>
    <row r="6224" spans="1:4">
      <c r="A6224" s="2">
        <v>326</v>
      </c>
      <c r="B6224" s="2" t="s">
        <v>1022</v>
      </c>
      <c r="C6224" s="2" t="s">
        <v>7067</v>
      </c>
      <c r="D6224" s="2"/>
    </row>
    <row r="6225" spans="1:4">
      <c r="A6225" s="3">
        <v>326</v>
      </c>
      <c r="B6225" s="3" t="s">
        <v>1022</v>
      </c>
      <c r="C6225" s="3" t="s">
        <v>7068</v>
      </c>
      <c r="D6225" s="3"/>
    </row>
    <row r="6226" spans="1:4">
      <c r="A6226" s="2">
        <v>326</v>
      </c>
      <c r="B6226" s="2" t="s">
        <v>1022</v>
      </c>
      <c r="C6226" s="2" t="s">
        <v>7069</v>
      </c>
      <c r="D6226" s="2"/>
    </row>
    <row r="6227" spans="1:4">
      <c r="A6227" s="3">
        <v>326</v>
      </c>
      <c r="B6227" s="3" t="s">
        <v>1022</v>
      </c>
      <c r="C6227" s="3" t="s">
        <v>7070</v>
      </c>
      <c r="D6227" s="3"/>
    </row>
    <row r="6228" spans="1:4">
      <c r="A6228" s="2">
        <v>326</v>
      </c>
      <c r="B6228" s="2" t="s">
        <v>1022</v>
      </c>
      <c r="C6228" s="2" t="s">
        <v>7071</v>
      </c>
      <c r="D6228" s="2"/>
    </row>
    <row r="6229" spans="1:4">
      <c r="A6229" s="3">
        <v>326</v>
      </c>
      <c r="B6229" s="3" t="s">
        <v>1022</v>
      </c>
      <c r="C6229" s="3" t="s">
        <v>7072</v>
      </c>
      <c r="D6229" s="3"/>
    </row>
    <row r="6230" spans="1:4">
      <c r="A6230" s="2">
        <v>326</v>
      </c>
      <c r="B6230" s="2" t="s">
        <v>1022</v>
      </c>
      <c r="C6230" s="2" t="s">
        <v>7073</v>
      </c>
      <c r="D6230" s="2"/>
    </row>
    <row r="6231" spans="1:4">
      <c r="A6231" s="3">
        <v>326</v>
      </c>
      <c r="B6231" s="3" t="s">
        <v>1022</v>
      </c>
      <c r="C6231" s="3" t="s">
        <v>7074</v>
      </c>
      <c r="D6231" s="3"/>
    </row>
    <row r="6232" spans="1:4">
      <c r="A6232" s="2">
        <v>326</v>
      </c>
      <c r="B6232" s="2" t="s">
        <v>1022</v>
      </c>
      <c r="C6232" s="2" t="s">
        <v>7075</v>
      </c>
      <c r="D6232" s="2"/>
    </row>
    <row r="6233" spans="1:4">
      <c r="A6233" s="3">
        <v>326</v>
      </c>
      <c r="B6233" s="3" t="s">
        <v>1022</v>
      </c>
      <c r="C6233" s="3" t="s">
        <v>7076</v>
      </c>
      <c r="D6233" s="3"/>
    </row>
    <row r="6234" spans="1:4">
      <c r="A6234" s="2">
        <v>326</v>
      </c>
      <c r="B6234" s="2" t="s">
        <v>1022</v>
      </c>
      <c r="C6234" s="2" t="s">
        <v>7077</v>
      </c>
      <c r="D6234" s="2"/>
    </row>
    <row r="6235" spans="1:4">
      <c r="A6235" s="3">
        <v>326</v>
      </c>
      <c r="B6235" s="3" t="s">
        <v>1022</v>
      </c>
      <c r="C6235" s="3" t="s">
        <v>7078</v>
      </c>
      <c r="D6235" s="3"/>
    </row>
    <row r="6236" spans="1:4">
      <c r="A6236" s="2">
        <v>326</v>
      </c>
      <c r="B6236" s="2" t="s">
        <v>1022</v>
      </c>
      <c r="C6236" s="2" t="s">
        <v>7079</v>
      </c>
      <c r="D6236" s="2"/>
    </row>
    <row r="6237" spans="1:4">
      <c r="A6237" s="3">
        <v>326</v>
      </c>
      <c r="B6237" s="3" t="s">
        <v>1022</v>
      </c>
      <c r="C6237" s="3" t="s">
        <v>7080</v>
      </c>
      <c r="D6237" s="3"/>
    </row>
    <row r="6238" spans="1:4">
      <c r="A6238" s="2">
        <v>326</v>
      </c>
      <c r="B6238" s="2" t="s">
        <v>1022</v>
      </c>
      <c r="C6238" s="2" t="s">
        <v>7081</v>
      </c>
      <c r="D6238" s="2"/>
    </row>
    <row r="6239" spans="1:4">
      <c r="A6239" s="3">
        <v>326</v>
      </c>
      <c r="B6239" s="3" t="s">
        <v>1022</v>
      </c>
      <c r="C6239" s="3" t="s">
        <v>7082</v>
      </c>
      <c r="D6239" s="3"/>
    </row>
    <row r="6240" spans="1:4">
      <c r="A6240" s="2">
        <v>326</v>
      </c>
      <c r="B6240" s="2" t="s">
        <v>1022</v>
      </c>
      <c r="C6240" s="2" t="s">
        <v>7083</v>
      </c>
      <c r="D6240" s="2"/>
    </row>
    <row r="6241" spans="1:4">
      <c r="A6241" s="3">
        <v>326</v>
      </c>
      <c r="B6241" s="3" t="s">
        <v>1022</v>
      </c>
      <c r="C6241" s="3" t="s">
        <v>7084</v>
      </c>
      <c r="D6241" s="3"/>
    </row>
    <row r="6242" spans="1:4">
      <c r="A6242" s="2">
        <v>326</v>
      </c>
      <c r="B6242" s="2" t="s">
        <v>1022</v>
      </c>
      <c r="C6242" s="2" t="s">
        <v>7085</v>
      </c>
      <c r="D6242" s="2"/>
    </row>
    <row r="6243" spans="1:4">
      <c r="A6243" s="3">
        <v>326</v>
      </c>
      <c r="B6243" s="3" t="s">
        <v>1022</v>
      </c>
      <c r="C6243" s="3" t="s">
        <v>7086</v>
      </c>
      <c r="D6243" s="3"/>
    </row>
    <row r="6244" spans="1:4">
      <c r="A6244" s="2">
        <v>326</v>
      </c>
      <c r="B6244" s="2" t="s">
        <v>1022</v>
      </c>
      <c r="C6244" s="2" t="s">
        <v>7087</v>
      </c>
      <c r="D6244" s="2"/>
    </row>
    <row r="6245" spans="1:4">
      <c r="A6245" s="3">
        <v>326</v>
      </c>
      <c r="B6245" s="3" t="s">
        <v>1022</v>
      </c>
      <c r="C6245" s="3" t="s">
        <v>7088</v>
      </c>
      <c r="D6245" s="3"/>
    </row>
    <row r="6246" spans="1:4">
      <c r="A6246" s="2">
        <v>326</v>
      </c>
      <c r="B6246" s="2" t="s">
        <v>1022</v>
      </c>
      <c r="C6246" s="2" t="s">
        <v>7089</v>
      </c>
      <c r="D6246" s="2"/>
    </row>
    <row r="6247" spans="1:4">
      <c r="A6247" s="3">
        <v>326</v>
      </c>
      <c r="B6247" s="3" t="s">
        <v>1022</v>
      </c>
      <c r="C6247" s="3" t="s">
        <v>7090</v>
      </c>
      <c r="D6247" s="3"/>
    </row>
    <row r="6248" spans="1:4">
      <c r="A6248" s="2">
        <v>326</v>
      </c>
      <c r="B6248" s="2" t="s">
        <v>1022</v>
      </c>
      <c r="C6248" s="2" t="s">
        <v>7091</v>
      </c>
      <c r="D6248" s="2"/>
    </row>
    <row r="6249" spans="1:4">
      <c r="A6249" s="3">
        <v>326</v>
      </c>
      <c r="B6249" s="3" t="s">
        <v>1022</v>
      </c>
      <c r="C6249" s="3" t="s">
        <v>7092</v>
      </c>
      <c r="D6249" s="3"/>
    </row>
    <row r="6250" spans="1:4">
      <c r="A6250" s="2">
        <v>326</v>
      </c>
      <c r="B6250" s="2" t="s">
        <v>1022</v>
      </c>
      <c r="C6250" s="2" t="s">
        <v>7093</v>
      </c>
      <c r="D6250" s="2"/>
    </row>
    <row r="6251" spans="1:4">
      <c r="A6251" s="3">
        <v>326</v>
      </c>
      <c r="B6251" s="3" t="s">
        <v>1022</v>
      </c>
      <c r="C6251" s="3" t="s">
        <v>7094</v>
      </c>
      <c r="D6251" s="3"/>
    </row>
    <row r="6252" spans="1:4">
      <c r="A6252" s="2">
        <v>326</v>
      </c>
      <c r="B6252" s="2" t="s">
        <v>1022</v>
      </c>
      <c r="C6252" s="2" t="s">
        <v>7095</v>
      </c>
      <c r="D6252" s="2"/>
    </row>
    <row r="6253" spans="1:4">
      <c r="A6253" s="3">
        <v>326</v>
      </c>
      <c r="B6253" s="3" t="s">
        <v>1022</v>
      </c>
      <c r="C6253" s="3" t="s">
        <v>7096</v>
      </c>
      <c r="D6253" s="3"/>
    </row>
    <row r="6254" spans="1:4">
      <c r="A6254" s="2">
        <v>326</v>
      </c>
      <c r="B6254" s="2" t="s">
        <v>1022</v>
      </c>
      <c r="C6254" s="2" t="s">
        <v>7097</v>
      </c>
      <c r="D6254" s="2"/>
    </row>
    <row r="6255" spans="1:4">
      <c r="A6255" s="3">
        <v>326</v>
      </c>
      <c r="B6255" s="3" t="s">
        <v>1022</v>
      </c>
      <c r="C6255" s="3" t="s">
        <v>7098</v>
      </c>
      <c r="D6255" s="3"/>
    </row>
    <row r="6256" spans="1:4">
      <c r="A6256" s="2">
        <v>326</v>
      </c>
      <c r="B6256" s="2" t="s">
        <v>1022</v>
      </c>
      <c r="C6256" s="2" t="s">
        <v>7099</v>
      </c>
      <c r="D6256" s="2"/>
    </row>
    <row r="6257" spans="1:4">
      <c r="A6257" s="3">
        <v>327</v>
      </c>
      <c r="B6257" s="3" t="s">
        <v>1025</v>
      </c>
      <c r="C6257" s="3" t="s">
        <v>7100</v>
      </c>
      <c r="D6257" s="3"/>
    </row>
    <row r="6258" spans="1:4">
      <c r="A6258" s="2">
        <v>327</v>
      </c>
      <c r="B6258" s="2" t="s">
        <v>1025</v>
      </c>
      <c r="C6258" s="2" t="s">
        <v>7101</v>
      </c>
      <c r="D6258" s="2"/>
    </row>
    <row r="6259" spans="1:4">
      <c r="A6259" s="3">
        <v>327</v>
      </c>
      <c r="B6259" s="3" t="s">
        <v>1025</v>
      </c>
      <c r="C6259" s="3" t="s">
        <v>7102</v>
      </c>
      <c r="D6259" s="3"/>
    </row>
    <row r="6260" spans="1:4">
      <c r="A6260" s="2">
        <v>327</v>
      </c>
      <c r="B6260" s="2" t="s">
        <v>1025</v>
      </c>
      <c r="C6260" s="2" t="s">
        <v>7103</v>
      </c>
      <c r="D6260" s="2"/>
    </row>
    <row r="6261" spans="1:4">
      <c r="A6261" s="3">
        <v>327</v>
      </c>
      <c r="B6261" s="3" t="s">
        <v>1025</v>
      </c>
      <c r="C6261" s="3" t="s">
        <v>7104</v>
      </c>
      <c r="D6261" s="3"/>
    </row>
    <row r="6262" spans="1:4">
      <c r="A6262" s="2">
        <v>327</v>
      </c>
      <c r="B6262" s="2" t="s">
        <v>1025</v>
      </c>
      <c r="C6262" s="2" t="s">
        <v>7105</v>
      </c>
      <c r="D6262" s="2"/>
    </row>
    <row r="6263" spans="1:4">
      <c r="A6263" s="3">
        <v>327</v>
      </c>
      <c r="B6263" s="3" t="s">
        <v>1025</v>
      </c>
      <c r="C6263" s="3" t="s">
        <v>7106</v>
      </c>
      <c r="D6263" s="3"/>
    </row>
    <row r="6264" spans="1:4">
      <c r="A6264" s="2">
        <v>327</v>
      </c>
      <c r="B6264" s="2" t="s">
        <v>1025</v>
      </c>
      <c r="C6264" s="2" t="s">
        <v>7107</v>
      </c>
      <c r="D6264" s="2"/>
    </row>
    <row r="6265" spans="1:4">
      <c r="A6265" s="3">
        <v>327</v>
      </c>
      <c r="B6265" s="3" t="s">
        <v>1025</v>
      </c>
      <c r="C6265" s="3" t="s">
        <v>7108</v>
      </c>
      <c r="D6265" s="3"/>
    </row>
    <row r="6266" spans="1:4">
      <c r="A6266" s="2">
        <v>327</v>
      </c>
      <c r="B6266" s="2" t="s">
        <v>1025</v>
      </c>
      <c r="C6266" s="2" t="s">
        <v>7109</v>
      </c>
      <c r="D6266" s="2"/>
    </row>
    <row r="6267" spans="1:4">
      <c r="A6267" s="3">
        <v>327</v>
      </c>
      <c r="B6267" s="3" t="s">
        <v>1025</v>
      </c>
      <c r="C6267" s="3" t="s">
        <v>7110</v>
      </c>
      <c r="D6267" s="3"/>
    </row>
    <row r="6268" spans="1:4">
      <c r="A6268" s="2">
        <v>327</v>
      </c>
      <c r="B6268" s="2" t="s">
        <v>1025</v>
      </c>
      <c r="C6268" s="2" t="s">
        <v>7111</v>
      </c>
      <c r="D6268" s="2"/>
    </row>
    <row r="6269" spans="1:4">
      <c r="A6269" s="3">
        <v>327</v>
      </c>
      <c r="B6269" s="3" t="s">
        <v>1025</v>
      </c>
      <c r="C6269" s="3" t="s">
        <v>7112</v>
      </c>
      <c r="D6269" s="3"/>
    </row>
    <row r="6270" spans="1:4">
      <c r="A6270" s="2">
        <v>327</v>
      </c>
      <c r="B6270" s="2" t="s">
        <v>1025</v>
      </c>
      <c r="C6270" s="2" t="s">
        <v>7113</v>
      </c>
      <c r="D6270" s="2"/>
    </row>
    <row r="6271" spans="1:4">
      <c r="A6271" s="3">
        <v>327</v>
      </c>
      <c r="B6271" s="3" t="s">
        <v>1025</v>
      </c>
      <c r="C6271" s="3" t="s">
        <v>7114</v>
      </c>
      <c r="D6271" s="3"/>
    </row>
    <row r="6272" spans="1:4">
      <c r="A6272" s="2">
        <v>327</v>
      </c>
      <c r="B6272" s="2" t="s">
        <v>1025</v>
      </c>
      <c r="C6272" s="2" t="s">
        <v>7115</v>
      </c>
      <c r="D6272" s="2"/>
    </row>
    <row r="6273" spans="1:4">
      <c r="A6273" s="3">
        <v>327</v>
      </c>
      <c r="B6273" s="3" t="s">
        <v>1025</v>
      </c>
      <c r="C6273" s="3" t="s">
        <v>7116</v>
      </c>
      <c r="D6273" s="3"/>
    </row>
    <row r="6274" spans="1:4">
      <c r="A6274" s="2">
        <v>327</v>
      </c>
      <c r="B6274" s="2" t="s">
        <v>1025</v>
      </c>
      <c r="C6274" s="2" t="s">
        <v>7117</v>
      </c>
      <c r="D6274" s="2"/>
    </row>
    <row r="6275" spans="1:4">
      <c r="A6275" s="3">
        <v>327</v>
      </c>
      <c r="B6275" s="3" t="s">
        <v>1025</v>
      </c>
      <c r="C6275" s="3" t="s">
        <v>7118</v>
      </c>
      <c r="D6275" s="3"/>
    </row>
    <row r="6276" spans="1:4">
      <c r="A6276" s="2">
        <v>327</v>
      </c>
      <c r="B6276" s="2" t="s">
        <v>1025</v>
      </c>
      <c r="C6276" s="2" t="s">
        <v>7119</v>
      </c>
      <c r="D6276" s="2"/>
    </row>
    <row r="6277" spans="1:4">
      <c r="A6277" s="3">
        <v>327</v>
      </c>
      <c r="B6277" s="3" t="s">
        <v>1025</v>
      </c>
      <c r="C6277" s="3" t="s">
        <v>7120</v>
      </c>
      <c r="D6277" s="3"/>
    </row>
    <row r="6278" spans="1:4">
      <c r="A6278" s="2">
        <v>327</v>
      </c>
      <c r="B6278" s="2" t="s">
        <v>1025</v>
      </c>
      <c r="C6278" s="2" t="s">
        <v>7121</v>
      </c>
      <c r="D6278" s="2"/>
    </row>
    <row r="6279" spans="1:4">
      <c r="A6279" s="3">
        <v>327</v>
      </c>
      <c r="B6279" s="3" t="s">
        <v>1025</v>
      </c>
      <c r="C6279" s="3" t="s">
        <v>7122</v>
      </c>
      <c r="D6279" s="3"/>
    </row>
    <row r="6280" spans="1:4">
      <c r="A6280" s="2">
        <v>327</v>
      </c>
      <c r="B6280" s="2" t="s">
        <v>1025</v>
      </c>
      <c r="C6280" s="2" t="s">
        <v>7123</v>
      </c>
      <c r="D6280" s="2"/>
    </row>
    <row r="6281" spans="1:4">
      <c r="A6281" s="3">
        <v>327</v>
      </c>
      <c r="B6281" s="3" t="s">
        <v>1025</v>
      </c>
      <c r="C6281" s="3" t="s">
        <v>7124</v>
      </c>
      <c r="D6281" s="3"/>
    </row>
    <row r="6282" spans="1:4">
      <c r="A6282" s="2">
        <v>327</v>
      </c>
      <c r="B6282" s="2" t="s">
        <v>1025</v>
      </c>
      <c r="C6282" s="2" t="s">
        <v>7125</v>
      </c>
      <c r="D6282" s="2"/>
    </row>
    <row r="6283" spans="1:4">
      <c r="A6283" s="3">
        <v>327</v>
      </c>
      <c r="B6283" s="3" t="s">
        <v>1025</v>
      </c>
      <c r="C6283" s="3" t="s">
        <v>7126</v>
      </c>
      <c r="D6283" s="3"/>
    </row>
    <row r="6284" spans="1:4">
      <c r="A6284" s="2">
        <v>327</v>
      </c>
      <c r="B6284" s="2" t="s">
        <v>1025</v>
      </c>
      <c r="C6284" s="2" t="s">
        <v>7127</v>
      </c>
      <c r="D6284" s="2"/>
    </row>
    <row r="6285" spans="1:4">
      <c r="A6285" s="3">
        <v>327</v>
      </c>
      <c r="B6285" s="3" t="s">
        <v>1025</v>
      </c>
      <c r="C6285" s="3" t="s">
        <v>7128</v>
      </c>
      <c r="D6285" s="3"/>
    </row>
    <row r="6286" spans="1:4">
      <c r="A6286" s="2">
        <v>327</v>
      </c>
      <c r="B6286" s="2" t="s">
        <v>1025</v>
      </c>
      <c r="C6286" s="2" t="s">
        <v>7129</v>
      </c>
      <c r="D6286" s="2"/>
    </row>
    <row r="6287" spans="1:4">
      <c r="A6287" s="3">
        <v>327</v>
      </c>
      <c r="B6287" s="3" t="s">
        <v>1025</v>
      </c>
      <c r="C6287" s="3" t="s">
        <v>7130</v>
      </c>
      <c r="D6287" s="3"/>
    </row>
    <row r="6288" spans="1:4">
      <c r="A6288" s="2">
        <v>327</v>
      </c>
      <c r="B6288" s="2" t="s">
        <v>1025</v>
      </c>
      <c r="C6288" s="2" t="s">
        <v>7131</v>
      </c>
      <c r="D6288" s="2"/>
    </row>
    <row r="6289" spans="1:4">
      <c r="A6289" s="3">
        <v>327</v>
      </c>
      <c r="B6289" s="3" t="s">
        <v>1025</v>
      </c>
      <c r="C6289" s="3" t="s">
        <v>7132</v>
      </c>
      <c r="D6289" s="3"/>
    </row>
    <row r="6290" spans="1:4">
      <c r="A6290" s="2">
        <v>327</v>
      </c>
      <c r="B6290" s="2" t="s">
        <v>1025</v>
      </c>
      <c r="C6290" s="2" t="s">
        <v>7133</v>
      </c>
      <c r="D6290" s="2"/>
    </row>
    <row r="6291" spans="1:4">
      <c r="A6291" s="3">
        <v>327</v>
      </c>
      <c r="B6291" s="3" t="s">
        <v>1025</v>
      </c>
      <c r="C6291" s="3" t="s">
        <v>7134</v>
      </c>
      <c r="D6291" s="3"/>
    </row>
    <row r="6292" spans="1:4">
      <c r="A6292" s="2">
        <v>327</v>
      </c>
      <c r="B6292" s="2" t="s">
        <v>1025</v>
      </c>
      <c r="C6292" s="2" t="s">
        <v>7135</v>
      </c>
      <c r="D6292" s="2"/>
    </row>
    <row r="6293" spans="1:4">
      <c r="A6293" s="3">
        <v>327</v>
      </c>
      <c r="B6293" s="3" t="s">
        <v>1025</v>
      </c>
      <c r="C6293" s="3" t="s">
        <v>7136</v>
      </c>
      <c r="D6293" s="3"/>
    </row>
    <row r="6294" spans="1:4">
      <c r="A6294" s="2">
        <v>327</v>
      </c>
      <c r="B6294" s="2" t="s">
        <v>1025</v>
      </c>
      <c r="C6294" s="2" t="s">
        <v>7137</v>
      </c>
      <c r="D6294" s="2"/>
    </row>
    <row r="6295" spans="1:4">
      <c r="A6295" s="3">
        <v>327</v>
      </c>
      <c r="B6295" s="3" t="s">
        <v>1025</v>
      </c>
      <c r="C6295" s="3" t="s">
        <v>7138</v>
      </c>
      <c r="D6295" s="3"/>
    </row>
    <row r="6296" spans="1:4">
      <c r="A6296" s="2">
        <v>327</v>
      </c>
      <c r="B6296" s="2" t="s">
        <v>1025</v>
      </c>
      <c r="C6296" s="2" t="s">
        <v>7139</v>
      </c>
      <c r="D6296" s="2"/>
    </row>
    <row r="6297" spans="1:4">
      <c r="A6297" s="3">
        <v>327</v>
      </c>
      <c r="B6297" s="3" t="s">
        <v>1025</v>
      </c>
      <c r="C6297" s="3" t="s">
        <v>7140</v>
      </c>
      <c r="D6297" s="3"/>
    </row>
    <row r="6298" spans="1:4">
      <c r="A6298" s="2">
        <v>327</v>
      </c>
      <c r="B6298" s="2" t="s">
        <v>1025</v>
      </c>
      <c r="C6298" s="2" t="s">
        <v>7141</v>
      </c>
      <c r="D6298" s="2"/>
    </row>
    <row r="6299" spans="1:4">
      <c r="A6299" s="3">
        <v>327</v>
      </c>
      <c r="B6299" s="3" t="s">
        <v>1025</v>
      </c>
      <c r="C6299" s="3" t="s">
        <v>7142</v>
      </c>
      <c r="D6299" s="3"/>
    </row>
    <row r="6300" spans="1:4">
      <c r="A6300" s="2">
        <v>327</v>
      </c>
      <c r="B6300" s="2" t="s">
        <v>1025</v>
      </c>
      <c r="C6300" s="2" t="s">
        <v>7143</v>
      </c>
      <c r="D6300" s="2"/>
    </row>
    <row r="6301" spans="1:4">
      <c r="A6301" s="3">
        <v>327</v>
      </c>
      <c r="B6301" s="3" t="s">
        <v>1025</v>
      </c>
      <c r="C6301" s="3" t="s">
        <v>7144</v>
      </c>
      <c r="D6301" s="3"/>
    </row>
    <row r="6302" spans="1:4">
      <c r="A6302" s="2">
        <v>327</v>
      </c>
      <c r="B6302" s="2" t="s">
        <v>1025</v>
      </c>
      <c r="C6302" s="2" t="s">
        <v>7145</v>
      </c>
      <c r="D6302" s="2"/>
    </row>
    <row r="6303" spans="1:4">
      <c r="A6303" s="3">
        <v>327</v>
      </c>
      <c r="B6303" s="3" t="s">
        <v>1025</v>
      </c>
      <c r="C6303" s="3" t="s">
        <v>7146</v>
      </c>
      <c r="D6303" s="3"/>
    </row>
    <row r="6304" spans="1:4">
      <c r="A6304" s="2">
        <v>327</v>
      </c>
      <c r="B6304" s="2" t="s">
        <v>1025</v>
      </c>
      <c r="C6304" s="2" t="s">
        <v>7147</v>
      </c>
      <c r="D6304" s="2"/>
    </row>
    <row r="6305" spans="1:4">
      <c r="A6305" s="3">
        <v>327</v>
      </c>
      <c r="B6305" s="3" t="s">
        <v>1025</v>
      </c>
      <c r="C6305" s="3" t="s">
        <v>7148</v>
      </c>
      <c r="D6305" s="3"/>
    </row>
    <row r="6306" spans="1:4">
      <c r="A6306" s="2">
        <v>327</v>
      </c>
      <c r="B6306" s="2" t="s">
        <v>1025</v>
      </c>
      <c r="C6306" s="2" t="s">
        <v>7149</v>
      </c>
      <c r="D6306" s="2"/>
    </row>
    <row r="6307" spans="1:4">
      <c r="A6307" s="3">
        <v>328</v>
      </c>
      <c r="B6307" s="3" t="s">
        <v>1026</v>
      </c>
      <c r="C6307" s="3" t="s">
        <v>7150</v>
      </c>
      <c r="D6307" s="3"/>
    </row>
    <row r="6308" spans="1:4">
      <c r="A6308" s="2">
        <v>328</v>
      </c>
      <c r="B6308" s="2" t="s">
        <v>1026</v>
      </c>
      <c r="C6308" s="2" t="s">
        <v>7151</v>
      </c>
      <c r="D6308" s="2"/>
    </row>
    <row r="6309" spans="1:4">
      <c r="A6309" s="3">
        <v>328</v>
      </c>
      <c r="B6309" s="3" t="s">
        <v>1026</v>
      </c>
      <c r="C6309" s="3" t="s">
        <v>7152</v>
      </c>
      <c r="D6309" s="3"/>
    </row>
    <row r="6310" spans="1:4">
      <c r="A6310" s="2">
        <v>328</v>
      </c>
      <c r="B6310" s="2" t="s">
        <v>1026</v>
      </c>
      <c r="C6310" s="2" t="s">
        <v>7153</v>
      </c>
      <c r="D6310" s="2"/>
    </row>
    <row r="6311" spans="1:4">
      <c r="A6311" s="3">
        <v>328</v>
      </c>
      <c r="B6311" s="3" t="s">
        <v>1026</v>
      </c>
      <c r="C6311" s="3" t="s">
        <v>7154</v>
      </c>
      <c r="D6311" s="3"/>
    </row>
    <row r="6312" spans="1:4">
      <c r="A6312" s="2">
        <v>328</v>
      </c>
      <c r="B6312" s="2" t="s">
        <v>1026</v>
      </c>
      <c r="C6312" s="2" t="s">
        <v>7155</v>
      </c>
      <c r="D6312" s="2"/>
    </row>
    <row r="6313" spans="1:4">
      <c r="A6313" s="3">
        <v>328</v>
      </c>
      <c r="B6313" s="3" t="s">
        <v>1026</v>
      </c>
      <c r="C6313" s="3" t="s">
        <v>7156</v>
      </c>
      <c r="D6313" s="3"/>
    </row>
    <row r="6314" spans="1:4">
      <c r="A6314" s="2">
        <v>328</v>
      </c>
      <c r="B6314" s="2" t="s">
        <v>1026</v>
      </c>
      <c r="C6314" s="2" t="s">
        <v>7157</v>
      </c>
      <c r="D6314" s="2"/>
    </row>
    <row r="6315" spans="1:4">
      <c r="A6315" s="3">
        <v>328</v>
      </c>
      <c r="B6315" s="3" t="s">
        <v>1026</v>
      </c>
      <c r="C6315" s="3" t="s">
        <v>7158</v>
      </c>
      <c r="D6315" s="3"/>
    </row>
    <row r="6316" spans="1:4">
      <c r="A6316" s="2">
        <v>328</v>
      </c>
      <c r="B6316" s="2" t="s">
        <v>1026</v>
      </c>
      <c r="C6316" s="2" t="s">
        <v>7159</v>
      </c>
      <c r="D6316" s="2"/>
    </row>
    <row r="6317" spans="1:4">
      <c r="A6317" s="3">
        <v>328</v>
      </c>
      <c r="B6317" s="3" t="s">
        <v>1026</v>
      </c>
      <c r="C6317" s="3" t="s">
        <v>7160</v>
      </c>
      <c r="D6317" s="3"/>
    </row>
    <row r="6318" spans="1:4">
      <c r="A6318" s="2">
        <v>328</v>
      </c>
      <c r="B6318" s="2" t="s">
        <v>1026</v>
      </c>
      <c r="C6318" s="2" t="s">
        <v>7161</v>
      </c>
      <c r="D6318" s="2"/>
    </row>
    <row r="6319" spans="1:4">
      <c r="A6319" s="3">
        <v>328</v>
      </c>
      <c r="B6319" s="3" t="s">
        <v>1026</v>
      </c>
      <c r="C6319" s="3" t="s">
        <v>7162</v>
      </c>
      <c r="D6319" s="3"/>
    </row>
    <row r="6320" spans="1:4">
      <c r="A6320" s="2">
        <v>328</v>
      </c>
      <c r="B6320" s="2" t="s">
        <v>1026</v>
      </c>
      <c r="C6320" s="2" t="s">
        <v>7163</v>
      </c>
      <c r="D6320" s="2"/>
    </row>
    <row r="6321" spans="1:4">
      <c r="A6321" s="3">
        <v>328</v>
      </c>
      <c r="B6321" s="3" t="s">
        <v>1026</v>
      </c>
      <c r="C6321" s="3" t="s">
        <v>7164</v>
      </c>
      <c r="D6321" s="3"/>
    </row>
    <row r="6322" spans="1:4">
      <c r="A6322" s="2">
        <v>328</v>
      </c>
      <c r="B6322" s="2" t="s">
        <v>1026</v>
      </c>
      <c r="C6322" s="2" t="s">
        <v>7165</v>
      </c>
      <c r="D6322" s="2"/>
    </row>
    <row r="6323" spans="1:4">
      <c r="A6323" s="3">
        <v>328</v>
      </c>
      <c r="B6323" s="3" t="s">
        <v>1026</v>
      </c>
      <c r="C6323" s="3" t="s">
        <v>7166</v>
      </c>
      <c r="D6323" s="3"/>
    </row>
    <row r="6324" spans="1:4">
      <c r="A6324" s="2">
        <v>328</v>
      </c>
      <c r="B6324" s="2" t="s">
        <v>1026</v>
      </c>
      <c r="C6324" s="2" t="s">
        <v>7167</v>
      </c>
      <c r="D6324" s="2"/>
    </row>
    <row r="6325" spans="1:4">
      <c r="A6325" s="3">
        <v>329</v>
      </c>
      <c r="B6325" s="3" t="s">
        <v>965</v>
      </c>
      <c r="C6325" s="3" t="s">
        <v>7168</v>
      </c>
      <c r="D6325" s="3"/>
    </row>
    <row r="6326" spans="1:4">
      <c r="A6326" s="2">
        <v>329</v>
      </c>
      <c r="B6326" s="2" t="s">
        <v>965</v>
      </c>
      <c r="C6326" s="2" t="s">
        <v>7169</v>
      </c>
      <c r="D6326" s="2"/>
    </row>
    <row r="6327" spans="1:4">
      <c r="A6327" s="3">
        <v>329</v>
      </c>
      <c r="B6327" s="3" t="s">
        <v>965</v>
      </c>
      <c r="C6327" s="3" t="s">
        <v>7170</v>
      </c>
      <c r="D6327" s="3"/>
    </row>
    <row r="6328" spans="1:4">
      <c r="A6328" s="2">
        <v>329</v>
      </c>
      <c r="B6328" s="2" t="s">
        <v>965</v>
      </c>
      <c r="C6328" s="2" t="s">
        <v>7171</v>
      </c>
      <c r="D6328" s="2"/>
    </row>
    <row r="6329" spans="1:4">
      <c r="A6329" s="3">
        <v>329</v>
      </c>
      <c r="B6329" s="3" t="s">
        <v>965</v>
      </c>
      <c r="C6329" s="3" t="s">
        <v>7172</v>
      </c>
      <c r="D6329" s="3"/>
    </row>
    <row r="6330" spans="1:4">
      <c r="A6330" s="2">
        <v>329</v>
      </c>
      <c r="B6330" s="2" t="s">
        <v>965</v>
      </c>
      <c r="C6330" s="2" t="s">
        <v>7173</v>
      </c>
      <c r="D6330" s="2"/>
    </row>
    <row r="6331" spans="1:4">
      <c r="A6331" s="3">
        <v>329</v>
      </c>
      <c r="B6331" s="3" t="s">
        <v>965</v>
      </c>
      <c r="C6331" s="3" t="s">
        <v>7174</v>
      </c>
      <c r="D6331" s="3"/>
    </row>
    <row r="6332" spans="1:4">
      <c r="A6332" s="2">
        <v>329</v>
      </c>
      <c r="B6332" s="2" t="s">
        <v>965</v>
      </c>
      <c r="C6332" s="2" t="s">
        <v>7175</v>
      </c>
      <c r="D6332" s="2"/>
    </row>
    <row r="6333" spans="1:4">
      <c r="A6333" s="3">
        <v>329</v>
      </c>
      <c r="B6333" s="3" t="s">
        <v>965</v>
      </c>
      <c r="C6333" s="3" t="s">
        <v>7176</v>
      </c>
      <c r="D6333" s="3"/>
    </row>
    <row r="6334" spans="1:4">
      <c r="A6334" s="2">
        <v>329</v>
      </c>
      <c r="B6334" s="2" t="s">
        <v>965</v>
      </c>
      <c r="C6334" s="2" t="s">
        <v>7177</v>
      </c>
      <c r="D6334" s="2"/>
    </row>
    <row r="6335" spans="1:4">
      <c r="A6335" s="3">
        <v>329</v>
      </c>
      <c r="B6335" s="3" t="s">
        <v>965</v>
      </c>
      <c r="C6335" s="3" t="s">
        <v>7178</v>
      </c>
      <c r="D6335" s="3"/>
    </row>
    <row r="6336" spans="1:4">
      <c r="A6336" s="2">
        <v>329</v>
      </c>
      <c r="B6336" s="2" t="s">
        <v>965</v>
      </c>
      <c r="C6336" s="2" t="s">
        <v>7179</v>
      </c>
      <c r="D6336" s="2"/>
    </row>
    <row r="6337" spans="1:4">
      <c r="A6337" s="3">
        <v>329</v>
      </c>
      <c r="B6337" s="3" t="s">
        <v>965</v>
      </c>
      <c r="C6337" s="3" t="s">
        <v>7180</v>
      </c>
      <c r="D6337" s="3"/>
    </row>
    <row r="6338" spans="1:4">
      <c r="A6338" s="2">
        <v>329</v>
      </c>
      <c r="B6338" s="2" t="s">
        <v>965</v>
      </c>
      <c r="C6338" s="2" t="s">
        <v>7181</v>
      </c>
      <c r="D6338" s="2"/>
    </row>
    <row r="6339" spans="1:4">
      <c r="A6339" s="3">
        <v>329</v>
      </c>
      <c r="B6339" s="3" t="s">
        <v>965</v>
      </c>
      <c r="C6339" s="3" t="s">
        <v>7182</v>
      </c>
      <c r="D6339" s="3"/>
    </row>
    <row r="6340" spans="1:4">
      <c r="A6340" s="2">
        <v>329</v>
      </c>
      <c r="B6340" s="2" t="s">
        <v>965</v>
      </c>
      <c r="C6340" s="2" t="s">
        <v>7183</v>
      </c>
      <c r="D6340" s="2"/>
    </row>
    <row r="6341" spans="1:4">
      <c r="A6341" s="3">
        <v>329</v>
      </c>
      <c r="B6341" s="3" t="s">
        <v>965</v>
      </c>
      <c r="C6341" s="3" t="s">
        <v>7184</v>
      </c>
      <c r="D6341" s="3"/>
    </row>
    <row r="6342" spans="1:4">
      <c r="A6342" s="2">
        <v>329</v>
      </c>
      <c r="B6342" s="2" t="s">
        <v>965</v>
      </c>
      <c r="C6342" s="2" t="s">
        <v>7185</v>
      </c>
      <c r="D6342" s="2"/>
    </row>
    <row r="6343" spans="1:4">
      <c r="A6343" s="3">
        <v>329</v>
      </c>
      <c r="B6343" s="3" t="s">
        <v>965</v>
      </c>
      <c r="C6343" s="3" t="s">
        <v>7186</v>
      </c>
      <c r="D6343" s="3"/>
    </row>
    <row r="6344" spans="1:4">
      <c r="A6344" s="2">
        <v>329</v>
      </c>
      <c r="B6344" s="2" t="s">
        <v>965</v>
      </c>
      <c r="C6344" s="2" t="s">
        <v>7187</v>
      </c>
      <c r="D6344" s="2"/>
    </row>
    <row r="6345" spans="1:4">
      <c r="A6345" s="3">
        <v>329</v>
      </c>
      <c r="B6345" s="3" t="s">
        <v>965</v>
      </c>
      <c r="C6345" s="3" t="s">
        <v>7188</v>
      </c>
      <c r="D6345" s="3"/>
    </row>
    <row r="6346" spans="1:4">
      <c r="A6346" s="2">
        <v>329</v>
      </c>
      <c r="B6346" s="2" t="s">
        <v>965</v>
      </c>
      <c r="C6346" s="2" t="s">
        <v>7189</v>
      </c>
      <c r="D6346" s="2"/>
    </row>
    <row r="6347" spans="1:4">
      <c r="A6347" s="3">
        <v>329</v>
      </c>
      <c r="B6347" s="3" t="s">
        <v>965</v>
      </c>
      <c r="C6347" s="3" t="s">
        <v>7190</v>
      </c>
      <c r="D6347" s="3"/>
    </row>
    <row r="6348" spans="1:4">
      <c r="A6348" s="2">
        <v>329</v>
      </c>
      <c r="B6348" s="2" t="s">
        <v>965</v>
      </c>
      <c r="C6348" s="2" t="s">
        <v>7191</v>
      </c>
      <c r="D6348" s="2"/>
    </row>
    <row r="6349" spans="1:4">
      <c r="A6349" s="3">
        <v>329</v>
      </c>
      <c r="B6349" s="3" t="s">
        <v>965</v>
      </c>
      <c r="C6349" s="3" t="s">
        <v>7192</v>
      </c>
      <c r="D6349" s="3"/>
    </row>
    <row r="6350" spans="1:4">
      <c r="A6350" s="2">
        <v>329</v>
      </c>
      <c r="B6350" s="2" t="s">
        <v>965</v>
      </c>
      <c r="C6350" s="2" t="s">
        <v>7193</v>
      </c>
      <c r="D6350" s="2"/>
    </row>
    <row r="6351" spans="1:4">
      <c r="A6351" s="3">
        <v>329</v>
      </c>
      <c r="B6351" s="3" t="s">
        <v>965</v>
      </c>
      <c r="C6351" s="3" t="s">
        <v>7194</v>
      </c>
      <c r="D6351" s="3"/>
    </row>
    <row r="6352" spans="1:4">
      <c r="A6352" s="2">
        <v>329</v>
      </c>
      <c r="B6352" s="2" t="s">
        <v>965</v>
      </c>
      <c r="C6352" s="2" t="s">
        <v>7195</v>
      </c>
      <c r="D6352" s="2"/>
    </row>
    <row r="6353" spans="1:4">
      <c r="A6353" s="3">
        <v>329</v>
      </c>
      <c r="B6353" s="3" t="s">
        <v>965</v>
      </c>
      <c r="C6353" s="3" t="s">
        <v>7196</v>
      </c>
      <c r="D6353" s="3"/>
    </row>
    <row r="6354" spans="1:4">
      <c r="A6354" s="2">
        <v>329</v>
      </c>
      <c r="B6354" s="2" t="s">
        <v>965</v>
      </c>
      <c r="C6354" s="2" t="s">
        <v>7197</v>
      </c>
      <c r="D6354" s="2"/>
    </row>
    <row r="6355" spans="1:4">
      <c r="A6355" s="3">
        <v>329</v>
      </c>
      <c r="B6355" s="3" t="s">
        <v>965</v>
      </c>
      <c r="C6355" s="3" t="s">
        <v>7198</v>
      </c>
      <c r="D6355" s="3"/>
    </row>
    <row r="6356" spans="1:4">
      <c r="A6356" s="2">
        <v>329</v>
      </c>
      <c r="B6356" s="2" t="s">
        <v>965</v>
      </c>
      <c r="C6356" s="2" t="s">
        <v>7199</v>
      </c>
      <c r="D6356" s="2"/>
    </row>
    <row r="6357" spans="1:4">
      <c r="A6357" s="3">
        <v>329</v>
      </c>
      <c r="B6357" s="3" t="s">
        <v>965</v>
      </c>
      <c r="C6357" s="3" t="s">
        <v>7200</v>
      </c>
      <c r="D6357" s="3"/>
    </row>
    <row r="6358" spans="1:4">
      <c r="A6358" s="2">
        <v>329</v>
      </c>
      <c r="B6358" s="2" t="s">
        <v>965</v>
      </c>
      <c r="C6358" s="2" t="s">
        <v>7201</v>
      </c>
      <c r="D6358" s="2"/>
    </row>
    <row r="6359" spans="1:4">
      <c r="A6359" s="3">
        <v>329</v>
      </c>
      <c r="B6359" s="3" t="s">
        <v>965</v>
      </c>
      <c r="C6359" s="3" t="s">
        <v>7202</v>
      </c>
      <c r="D6359" s="3"/>
    </row>
    <row r="6360" spans="1:4">
      <c r="A6360" s="2">
        <v>329</v>
      </c>
      <c r="B6360" s="2" t="s">
        <v>965</v>
      </c>
      <c r="C6360" s="2" t="s">
        <v>7203</v>
      </c>
      <c r="D6360" s="2"/>
    </row>
    <row r="6361" spans="1:4">
      <c r="A6361" s="3">
        <v>329</v>
      </c>
      <c r="B6361" s="3" t="s">
        <v>965</v>
      </c>
      <c r="C6361" s="3" t="s">
        <v>7204</v>
      </c>
      <c r="D6361" s="3"/>
    </row>
    <row r="6362" spans="1:4">
      <c r="A6362" s="2">
        <v>329</v>
      </c>
      <c r="B6362" s="2" t="s">
        <v>965</v>
      </c>
      <c r="C6362" s="2" t="s">
        <v>7205</v>
      </c>
      <c r="D6362" s="2"/>
    </row>
    <row r="6363" spans="1:4">
      <c r="A6363" s="3">
        <v>329</v>
      </c>
      <c r="B6363" s="3" t="s">
        <v>965</v>
      </c>
      <c r="C6363" s="3" t="s">
        <v>7206</v>
      </c>
      <c r="D6363" s="3"/>
    </row>
    <row r="6364" spans="1:4">
      <c r="A6364" s="2">
        <v>329</v>
      </c>
      <c r="B6364" s="2" t="s">
        <v>965</v>
      </c>
      <c r="C6364" s="2" t="s">
        <v>7207</v>
      </c>
      <c r="D6364" s="2"/>
    </row>
    <row r="6365" spans="1:4">
      <c r="A6365" s="3">
        <v>329</v>
      </c>
      <c r="B6365" s="3" t="s">
        <v>965</v>
      </c>
      <c r="C6365" s="3" t="s">
        <v>7208</v>
      </c>
      <c r="D6365" s="3"/>
    </row>
    <row r="6366" spans="1:4">
      <c r="A6366" s="2">
        <v>329</v>
      </c>
      <c r="B6366" s="2" t="s">
        <v>965</v>
      </c>
      <c r="C6366" s="2" t="s">
        <v>7209</v>
      </c>
      <c r="D6366" s="2"/>
    </row>
    <row r="6367" spans="1:4">
      <c r="A6367" s="3">
        <v>329</v>
      </c>
      <c r="B6367" s="3" t="s">
        <v>965</v>
      </c>
      <c r="C6367" s="3" t="s">
        <v>7210</v>
      </c>
      <c r="D6367" s="3"/>
    </row>
    <row r="6368" spans="1:4">
      <c r="A6368" s="2">
        <v>329</v>
      </c>
      <c r="B6368" s="2" t="s">
        <v>965</v>
      </c>
      <c r="C6368" s="2" t="s">
        <v>7211</v>
      </c>
      <c r="D6368" s="2"/>
    </row>
    <row r="6369" spans="1:4">
      <c r="A6369" s="3">
        <v>329</v>
      </c>
      <c r="B6369" s="3" t="s">
        <v>965</v>
      </c>
      <c r="C6369" s="3" t="s">
        <v>7212</v>
      </c>
      <c r="D6369" s="3"/>
    </row>
    <row r="6370" spans="1:4">
      <c r="A6370" s="2">
        <v>329</v>
      </c>
      <c r="B6370" s="2" t="s">
        <v>965</v>
      </c>
      <c r="C6370" s="2" t="s">
        <v>7213</v>
      </c>
      <c r="D6370" s="2"/>
    </row>
    <row r="6371" spans="1:4">
      <c r="A6371" s="3">
        <v>329</v>
      </c>
      <c r="B6371" s="3" t="s">
        <v>965</v>
      </c>
      <c r="C6371" s="3" t="s">
        <v>7214</v>
      </c>
      <c r="D6371" s="3"/>
    </row>
    <row r="6372" spans="1:4">
      <c r="A6372" s="2">
        <v>329</v>
      </c>
      <c r="B6372" s="2" t="s">
        <v>965</v>
      </c>
      <c r="C6372" s="2" t="s">
        <v>7215</v>
      </c>
      <c r="D6372" s="2"/>
    </row>
    <row r="6373" spans="1:4">
      <c r="A6373" s="3">
        <v>329</v>
      </c>
      <c r="B6373" s="3" t="s">
        <v>965</v>
      </c>
      <c r="C6373" s="3" t="s">
        <v>7216</v>
      </c>
      <c r="D6373" s="3"/>
    </row>
    <row r="6374" spans="1:4">
      <c r="A6374" s="2">
        <v>329</v>
      </c>
      <c r="B6374" s="2" t="s">
        <v>965</v>
      </c>
      <c r="C6374" s="2" t="s">
        <v>7217</v>
      </c>
      <c r="D6374" s="2"/>
    </row>
    <row r="6375" spans="1:4">
      <c r="A6375" s="3">
        <v>330</v>
      </c>
      <c r="B6375" s="3" t="s">
        <v>974</v>
      </c>
      <c r="C6375" s="3" t="s">
        <v>7218</v>
      </c>
      <c r="D6375" s="3"/>
    </row>
    <row r="6376" spans="1:4">
      <c r="A6376" s="2">
        <v>330</v>
      </c>
      <c r="B6376" s="2" t="s">
        <v>974</v>
      </c>
      <c r="C6376" s="2" t="s">
        <v>7219</v>
      </c>
      <c r="D6376" s="2"/>
    </row>
    <row r="6377" spans="1:4">
      <c r="A6377" s="3">
        <v>330</v>
      </c>
      <c r="B6377" s="3" t="s">
        <v>974</v>
      </c>
      <c r="C6377" s="3" t="s">
        <v>7220</v>
      </c>
      <c r="D6377" s="3"/>
    </row>
    <row r="6378" spans="1:4">
      <c r="A6378" s="2">
        <v>330</v>
      </c>
      <c r="B6378" s="2" t="s">
        <v>974</v>
      </c>
      <c r="C6378" s="2" t="s">
        <v>7221</v>
      </c>
      <c r="D6378" s="2"/>
    </row>
    <row r="6379" spans="1:4">
      <c r="A6379" s="3">
        <v>330</v>
      </c>
      <c r="B6379" s="3" t="s">
        <v>974</v>
      </c>
      <c r="C6379" s="3" t="s">
        <v>7222</v>
      </c>
      <c r="D6379" s="3"/>
    </row>
    <row r="6380" spans="1:4">
      <c r="A6380" s="2">
        <v>330</v>
      </c>
      <c r="B6380" s="2" t="s">
        <v>974</v>
      </c>
      <c r="C6380" s="2" t="s">
        <v>7223</v>
      </c>
      <c r="D6380" s="2"/>
    </row>
    <row r="6381" spans="1:4">
      <c r="A6381" s="3">
        <v>330</v>
      </c>
      <c r="B6381" s="3" t="s">
        <v>974</v>
      </c>
      <c r="C6381" s="3" t="s">
        <v>7224</v>
      </c>
      <c r="D6381" s="3"/>
    </row>
    <row r="6382" spans="1:4">
      <c r="A6382" s="2">
        <v>330</v>
      </c>
      <c r="B6382" s="2" t="s">
        <v>974</v>
      </c>
      <c r="C6382" s="2" t="s">
        <v>7225</v>
      </c>
      <c r="D6382" s="2"/>
    </row>
    <row r="6383" spans="1:4">
      <c r="A6383" s="3">
        <v>330</v>
      </c>
      <c r="B6383" s="3" t="s">
        <v>974</v>
      </c>
      <c r="C6383" s="3" t="s">
        <v>7226</v>
      </c>
      <c r="D6383" s="3"/>
    </row>
    <row r="6384" spans="1:4">
      <c r="A6384" s="2">
        <v>330</v>
      </c>
      <c r="B6384" s="2" t="s">
        <v>974</v>
      </c>
      <c r="C6384" s="2" t="s">
        <v>7227</v>
      </c>
      <c r="D6384" s="2"/>
    </row>
    <row r="6385" spans="1:4">
      <c r="A6385" s="3">
        <v>330</v>
      </c>
      <c r="B6385" s="3" t="s">
        <v>974</v>
      </c>
      <c r="C6385" s="3" t="s">
        <v>7228</v>
      </c>
      <c r="D6385" s="3"/>
    </row>
    <row r="6386" spans="1:4">
      <c r="A6386" s="2">
        <v>330</v>
      </c>
      <c r="B6386" s="2" t="s">
        <v>974</v>
      </c>
      <c r="C6386" s="2" t="s">
        <v>7229</v>
      </c>
      <c r="D6386" s="2"/>
    </row>
    <row r="6387" spans="1:4">
      <c r="A6387" s="3">
        <v>330</v>
      </c>
      <c r="B6387" s="3" t="s">
        <v>974</v>
      </c>
      <c r="C6387" s="3" t="s">
        <v>7230</v>
      </c>
      <c r="D6387" s="3"/>
    </row>
    <row r="6388" spans="1:4">
      <c r="A6388" s="2">
        <v>330</v>
      </c>
      <c r="B6388" s="2" t="s">
        <v>974</v>
      </c>
      <c r="C6388" s="2" t="s">
        <v>7231</v>
      </c>
      <c r="D6388" s="2"/>
    </row>
    <row r="6389" spans="1:4">
      <c r="A6389" s="3">
        <v>330</v>
      </c>
      <c r="B6389" s="3" t="s">
        <v>974</v>
      </c>
      <c r="C6389" s="3" t="s">
        <v>7232</v>
      </c>
      <c r="D6389" s="3"/>
    </row>
    <row r="6390" spans="1:4">
      <c r="A6390" s="2">
        <v>330</v>
      </c>
      <c r="B6390" s="2" t="s">
        <v>974</v>
      </c>
      <c r="C6390" s="2" t="s">
        <v>7233</v>
      </c>
      <c r="D6390" s="2"/>
    </row>
    <row r="6391" spans="1:4">
      <c r="A6391" s="3">
        <v>330</v>
      </c>
      <c r="B6391" s="3" t="s">
        <v>974</v>
      </c>
      <c r="C6391" s="3" t="s">
        <v>7234</v>
      </c>
      <c r="D6391" s="3"/>
    </row>
    <row r="6392" spans="1:4">
      <c r="A6392" s="2">
        <v>331</v>
      </c>
      <c r="B6392" s="2" t="s">
        <v>982</v>
      </c>
      <c r="C6392" s="2" t="s">
        <v>7235</v>
      </c>
      <c r="D6392" s="2"/>
    </row>
    <row r="6393" spans="1:4">
      <c r="A6393" s="3">
        <v>331</v>
      </c>
      <c r="B6393" s="3" t="s">
        <v>982</v>
      </c>
      <c r="C6393" s="3" t="s">
        <v>7236</v>
      </c>
      <c r="D6393" s="3"/>
    </row>
    <row r="6394" spans="1:4">
      <c r="A6394" s="2">
        <v>331</v>
      </c>
      <c r="B6394" s="2" t="s">
        <v>982</v>
      </c>
      <c r="C6394" s="2" t="s">
        <v>7237</v>
      </c>
      <c r="D6394" s="2"/>
    </row>
    <row r="6395" spans="1:4">
      <c r="A6395" s="3">
        <v>331</v>
      </c>
      <c r="B6395" s="3" t="s">
        <v>982</v>
      </c>
      <c r="C6395" s="3" t="s">
        <v>7238</v>
      </c>
      <c r="D6395" s="3"/>
    </row>
    <row r="6396" spans="1:4">
      <c r="A6396" s="2">
        <v>331</v>
      </c>
      <c r="B6396" s="2" t="s">
        <v>982</v>
      </c>
      <c r="C6396" s="2" t="s">
        <v>7239</v>
      </c>
      <c r="D6396" s="2"/>
    </row>
    <row r="6397" spans="1:4">
      <c r="A6397" s="3">
        <v>331</v>
      </c>
      <c r="B6397" s="3" t="s">
        <v>982</v>
      </c>
      <c r="C6397" s="3" t="s">
        <v>7240</v>
      </c>
      <c r="D6397" s="3"/>
    </row>
    <row r="6398" spans="1:4">
      <c r="A6398" s="2">
        <v>331</v>
      </c>
      <c r="B6398" s="2" t="s">
        <v>982</v>
      </c>
      <c r="C6398" s="2" t="s">
        <v>7241</v>
      </c>
      <c r="D6398" s="2"/>
    </row>
    <row r="6399" spans="1:4">
      <c r="A6399" s="3">
        <v>331</v>
      </c>
      <c r="B6399" s="3" t="s">
        <v>982</v>
      </c>
      <c r="C6399" s="3" t="s">
        <v>7242</v>
      </c>
      <c r="D6399" s="3"/>
    </row>
    <row r="6400" spans="1:4">
      <c r="A6400" s="2">
        <v>332</v>
      </c>
      <c r="B6400" s="2" t="s">
        <v>986</v>
      </c>
      <c r="C6400" s="2" t="s">
        <v>7243</v>
      </c>
      <c r="D6400" s="2"/>
    </row>
    <row r="6401" spans="1:4">
      <c r="A6401" s="3">
        <v>332</v>
      </c>
      <c r="B6401" s="3" t="s">
        <v>986</v>
      </c>
      <c r="C6401" s="3" t="s">
        <v>7244</v>
      </c>
      <c r="D6401" s="3"/>
    </row>
    <row r="6402" spans="1:4">
      <c r="A6402" s="2">
        <v>332</v>
      </c>
      <c r="B6402" s="2" t="s">
        <v>986</v>
      </c>
      <c r="C6402" s="2" t="s">
        <v>7245</v>
      </c>
      <c r="D6402" s="2"/>
    </row>
    <row r="6403" spans="1:4">
      <c r="A6403" s="3">
        <v>332</v>
      </c>
      <c r="B6403" s="3" t="s">
        <v>986</v>
      </c>
      <c r="C6403" s="3" t="s">
        <v>7246</v>
      </c>
      <c r="D6403" s="3"/>
    </row>
    <row r="6404" spans="1:4">
      <c r="A6404" s="2">
        <v>332</v>
      </c>
      <c r="B6404" s="2" t="s">
        <v>986</v>
      </c>
      <c r="C6404" s="2" t="s">
        <v>7247</v>
      </c>
      <c r="D6404" s="2"/>
    </row>
    <row r="6405" spans="1:4">
      <c r="A6405" s="3">
        <v>332</v>
      </c>
      <c r="B6405" s="3" t="s">
        <v>986</v>
      </c>
      <c r="C6405" s="3" t="s">
        <v>7248</v>
      </c>
      <c r="D6405" s="3"/>
    </row>
    <row r="6406" spans="1:4">
      <c r="A6406" s="2">
        <v>333</v>
      </c>
      <c r="B6406" s="2" t="s">
        <v>989</v>
      </c>
      <c r="C6406" s="2" t="s">
        <v>7249</v>
      </c>
      <c r="D6406" s="2"/>
    </row>
    <row r="6407" spans="1:4">
      <c r="A6407" s="3">
        <v>333</v>
      </c>
      <c r="B6407" s="3" t="s">
        <v>989</v>
      </c>
      <c r="C6407" s="3" t="s">
        <v>7250</v>
      </c>
      <c r="D6407" s="3"/>
    </row>
    <row r="6408" spans="1:4">
      <c r="A6408" s="2">
        <v>333</v>
      </c>
      <c r="B6408" s="2" t="s">
        <v>989</v>
      </c>
      <c r="C6408" s="2" t="s">
        <v>7251</v>
      </c>
      <c r="D6408" s="2"/>
    </row>
    <row r="6409" spans="1:4">
      <c r="A6409" s="3">
        <v>333</v>
      </c>
      <c r="B6409" s="3" t="s">
        <v>989</v>
      </c>
      <c r="C6409" s="3" t="s">
        <v>7252</v>
      </c>
      <c r="D6409" s="3"/>
    </row>
    <row r="6410" spans="1:4">
      <c r="A6410" s="2">
        <v>333</v>
      </c>
      <c r="B6410" s="2" t="s">
        <v>989</v>
      </c>
      <c r="C6410" s="2" t="s">
        <v>7253</v>
      </c>
      <c r="D6410" s="2"/>
    </row>
    <row r="6411" spans="1:4">
      <c r="A6411" s="3">
        <v>333</v>
      </c>
      <c r="B6411" s="3" t="s">
        <v>989</v>
      </c>
      <c r="C6411" s="3" t="s">
        <v>7254</v>
      </c>
      <c r="D6411" s="3"/>
    </row>
    <row r="6412" spans="1:4">
      <c r="A6412" s="2">
        <v>333</v>
      </c>
      <c r="B6412" s="2" t="s">
        <v>989</v>
      </c>
      <c r="C6412" s="2" t="s">
        <v>7255</v>
      </c>
      <c r="D6412" s="2"/>
    </row>
    <row r="6413" spans="1:4">
      <c r="A6413" s="3">
        <v>333</v>
      </c>
      <c r="B6413" s="3" t="s">
        <v>989</v>
      </c>
      <c r="C6413" s="3" t="s">
        <v>7256</v>
      </c>
      <c r="D6413" s="3"/>
    </row>
    <row r="6414" spans="1:4">
      <c r="A6414" s="2">
        <v>333</v>
      </c>
      <c r="B6414" s="2" t="s">
        <v>989</v>
      </c>
      <c r="C6414" s="2" t="s">
        <v>7257</v>
      </c>
      <c r="D6414" s="2"/>
    </row>
    <row r="6415" spans="1:4">
      <c r="A6415" s="3">
        <v>333</v>
      </c>
      <c r="B6415" s="3" t="s">
        <v>989</v>
      </c>
      <c r="C6415" s="3" t="s">
        <v>7258</v>
      </c>
      <c r="D6415" s="3"/>
    </row>
    <row r="6416" spans="1:4">
      <c r="A6416" s="2">
        <v>333</v>
      </c>
      <c r="B6416" s="2" t="s">
        <v>989</v>
      </c>
      <c r="C6416" s="2" t="s">
        <v>7259</v>
      </c>
      <c r="D6416" s="2"/>
    </row>
    <row r="6417" spans="1:4">
      <c r="A6417" s="3">
        <v>333</v>
      </c>
      <c r="B6417" s="3" t="s">
        <v>989</v>
      </c>
      <c r="C6417" s="3" t="s">
        <v>7260</v>
      </c>
      <c r="D6417" s="3"/>
    </row>
    <row r="6418" spans="1:4">
      <c r="A6418" s="2">
        <v>333</v>
      </c>
      <c r="B6418" s="2" t="s">
        <v>989</v>
      </c>
      <c r="C6418" s="2" t="s">
        <v>7261</v>
      </c>
      <c r="D6418" s="2"/>
    </row>
    <row r="6419" spans="1:4">
      <c r="A6419" s="3">
        <v>334</v>
      </c>
      <c r="B6419" s="3" t="s">
        <v>970</v>
      </c>
      <c r="C6419" s="3" t="s">
        <v>7262</v>
      </c>
      <c r="D6419" s="3"/>
    </row>
    <row r="6420" spans="1:4">
      <c r="A6420" s="2">
        <v>334</v>
      </c>
      <c r="B6420" s="2" t="s">
        <v>970</v>
      </c>
      <c r="C6420" s="2" t="s">
        <v>7263</v>
      </c>
      <c r="D6420" s="2"/>
    </row>
    <row r="6421" spans="1:4">
      <c r="A6421" s="3">
        <v>334</v>
      </c>
      <c r="B6421" s="3" t="s">
        <v>970</v>
      </c>
      <c r="C6421" s="3" t="s">
        <v>7264</v>
      </c>
      <c r="D6421" s="3"/>
    </row>
    <row r="6422" spans="1:4">
      <c r="A6422" s="2">
        <v>334</v>
      </c>
      <c r="B6422" s="2" t="s">
        <v>970</v>
      </c>
      <c r="C6422" s="2" t="s">
        <v>7265</v>
      </c>
      <c r="D6422" s="2"/>
    </row>
    <row r="6423" spans="1:4">
      <c r="A6423" s="3">
        <v>334</v>
      </c>
      <c r="B6423" s="3" t="s">
        <v>970</v>
      </c>
      <c r="C6423" s="3" t="s">
        <v>7266</v>
      </c>
      <c r="D6423" s="3"/>
    </row>
    <row r="6424" spans="1:4">
      <c r="A6424" s="2">
        <v>335</v>
      </c>
      <c r="B6424" s="2" t="s">
        <v>1057</v>
      </c>
      <c r="C6424" s="2" t="s">
        <v>7267</v>
      </c>
      <c r="D6424" s="2"/>
    </row>
    <row r="6425" spans="1:4">
      <c r="A6425" s="3">
        <v>335</v>
      </c>
      <c r="B6425" s="3" t="s">
        <v>1057</v>
      </c>
      <c r="C6425" s="3" t="s">
        <v>7268</v>
      </c>
      <c r="D6425" s="3"/>
    </row>
    <row r="6426" spans="1:4">
      <c r="A6426" s="2">
        <v>335</v>
      </c>
      <c r="B6426" s="2" t="s">
        <v>1057</v>
      </c>
      <c r="C6426" s="2" t="s">
        <v>7269</v>
      </c>
      <c r="D6426" s="2"/>
    </row>
    <row r="6427" spans="1:4">
      <c r="A6427" s="3">
        <v>335</v>
      </c>
      <c r="B6427" s="3" t="s">
        <v>1057</v>
      </c>
      <c r="C6427" s="3" t="s">
        <v>7270</v>
      </c>
      <c r="D6427" s="3"/>
    </row>
    <row r="6428" spans="1:4">
      <c r="A6428" s="2">
        <v>335</v>
      </c>
      <c r="B6428" s="2" t="s">
        <v>1057</v>
      </c>
      <c r="C6428" s="2" t="s">
        <v>7271</v>
      </c>
      <c r="D6428" s="2"/>
    </row>
    <row r="6429" spans="1:4">
      <c r="A6429" s="3">
        <v>335</v>
      </c>
      <c r="B6429" s="3" t="s">
        <v>1057</v>
      </c>
      <c r="C6429" s="3" t="s">
        <v>7272</v>
      </c>
      <c r="D6429" s="3"/>
    </row>
    <row r="6430" spans="1:4">
      <c r="A6430" s="2">
        <v>335</v>
      </c>
      <c r="B6430" s="2" t="s">
        <v>1057</v>
      </c>
      <c r="C6430" s="2" t="s">
        <v>7273</v>
      </c>
      <c r="D6430" s="2"/>
    </row>
    <row r="6431" spans="1:4">
      <c r="A6431" s="3">
        <v>335</v>
      </c>
      <c r="B6431" s="3" t="s">
        <v>1057</v>
      </c>
      <c r="C6431" s="3" t="s">
        <v>7274</v>
      </c>
      <c r="D6431" s="3"/>
    </row>
    <row r="6432" spans="1:4">
      <c r="A6432" s="2">
        <v>335</v>
      </c>
      <c r="B6432" s="2" t="s">
        <v>1057</v>
      </c>
      <c r="C6432" s="2" t="s">
        <v>7275</v>
      </c>
      <c r="D6432" s="2"/>
    </row>
    <row r="6433" spans="1:4">
      <c r="A6433" s="3">
        <v>335</v>
      </c>
      <c r="B6433" s="3" t="s">
        <v>1057</v>
      </c>
      <c r="C6433" s="3" t="s">
        <v>7276</v>
      </c>
      <c r="D6433" s="3"/>
    </row>
    <row r="6434" spans="1:4">
      <c r="A6434" s="2">
        <v>335</v>
      </c>
      <c r="B6434" s="2" t="s">
        <v>1057</v>
      </c>
      <c r="C6434" s="2" t="s">
        <v>7277</v>
      </c>
      <c r="D6434" s="2"/>
    </row>
    <row r="6435" spans="1:4">
      <c r="A6435" s="3">
        <v>335</v>
      </c>
      <c r="B6435" s="3" t="s">
        <v>1057</v>
      </c>
      <c r="C6435" s="3" t="s">
        <v>7278</v>
      </c>
      <c r="D6435" s="3"/>
    </row>
    <row r="6436" spans="1:4">
      <c r="A6436" s="2">
        <v>335</v>
      </c>
      <c r="B6436" s="2" t="s">
        <v>1057</v>
      </c>
      <c r="C6436" s="2" t="s">
        <v>7279</v>
      </c>
      <c r="D6436" s="2"/>
    </row>
    <row r="6437" spans="1:4">
      <c r="A6437" s="3">
        <v>335</v>
      </c>
      <c r="B6437" s="3" t="s">
        <v>1057</v>
      </c>
      <c r="C6437" s="3" t="s">
        <v>7280</v>
      </c>
      <c r="D6437" s="3"/>
    </row>
    <row r="6438" spans="1:4">
      <c r="A6438" s="2">
        <v>335</v>
      </c>
      <c r="B6438" s="2" t="s">
        <v>1057</v>
      </c>
      <c r="C6438" s="2" t="s">
        <v>7281</v>
      </c>
      <c r="D6438" s="2"/>
    </row>
    <row r="6439" spans="1:4">
      <c r="A6439" s="3">
        <v>335</v>
      </c>
      <c r="B6439" s="3" t="s">
        <v>1057</v>
      </c>
      <c r="C6439" s="3" t="s">
        <v>7282</v>
      </c>
      <c r="D6439" s="3"/>
    </row>
    <row r="6440" spans="1:4">
      <c r="A6440" s="2">
        <v>335</v>
      </c>
      <c r="B6440" s="2" t="s">
        <v>1057</v>
      </c>
      <c r="C6440" s="2" t="s">
        <v>7283</v>
      </c>
      <c r="D6440" s="2"/>
    </row>
    <row r="6441" spans="1:4">
      <c r="A6441" s="3">
        <v>335</v>
      </c>
      <c r="B6441" s="3" t="s">
        <v>1057</v>
      </c>
      <c r="C6441" s="3" t="s">
        <v>7284</v>
      </c>
      <c r="D6441" s="3"/>
    </row>
    <row r="6442" spans="1:4">
      <c r="A6442" s="2">
        <v>335</v>
      </c>
      <c r="B6442" s="2" t="s">
        <v>1057</v>
      </c>
      <c r="C6442" s="2" t="s">
        <v>7285</v>
      </c>
      <c r="D6442" s="2"/>
    </row>
    <row r="6443" spans="1:4">
      <c r="A6443" s="3">
        <v>335</v>
      </c>
      <c r="B6443" s="3" t="s">
        <v>1057</v>
      </c>
      <c r="C6443" s="3" t="s">
        <v>7286</v>
      </c>
      <c r="D6443" s="3"/>
    </row>
    <row r="6444" spans="1:4">
      <c r="A6444" s="2">
        <v>335</v>
      </c>
      <c r="B6444" s="2" t="s">
        <v>1057</v>
      </c>
      <c r="C6444" s="2" t="s">
        <v>7287</v>
      </c>
      <c r="D6444" s="2"/>
    </row>
    <row r="6445" spans="1:4">
      <c r="A6445" s="3">
        <v>335</v>
      </c>
      <c r="B6445" s="3" t="s">
        <v>1057</v>
      </c>
      <c r="C6445" s="3" t="s">
        <v>7288</v>
      </c>
      <c r="D6445" s="3"/>
    </row>
    <row r="6446" spans="1:4">
      <c r="A6446" s="2">
        <v>335</v>
      </c>
      <c r="B6446" s="2" t="s">
        <v>1057</v>
      </c>
      <c r="C6446" s="2" t="s">
        <v>7289</v>
      </c>
      <c r="D6446" s="2"/>
    </row>
    <row r="6447" spans="1:4">
      <c r="A6447" s="3">
        <v>335</v>
      </c>
      <c r="B6447" s="3" t="s">
        <v>1057</v>
      </c>
      <c r="C6447" s="3" t="s">
        <v>7290</v>
      </c>
      <c r="D6447" s="3"/>
    </row>
    <row r="6448" spans="1:4">
      <c r="A6448" s="2">
        <v>335</v>
      </c>
      <c r="B6448" s="2" t="s">
        <v>1057</v>
      </c>
      <c r="C6448" s="2" t="s">
        <v>7291</v>
      </c>
      <c r="D6448" s="2"/>
    </row>
    <row r="6449" spans="1:4">
      <c r="A6449" s="3">
        <v>335</v>
      </c>
      <c r="B6449" s="3" t="s">
        <v>1057</v>
      </c>
      <c r="C6449" s="3" t="s">
        <v>7292</v>
      </c>
      <c r="D6449" s="3"/>
    </row>
    <row r="6450" spans="1:4">
      <c r="A6450" s="2">
        <v>335</v>
      </c>
      <c r="B6450" s="2" t="s">
        <v>1057</v>
      </c>
      <c r="C6450" s="2" t="s">
        <v>7293</v>
      </c>
      <c r="D6450" s="2"/>
    </row>
    <row r="6451" spans="1:4">
      <c r="A6451" s="3">
        <v>335</v>
      </c>
      <c r="B6451" s="3" t="s">
        <v>1057</v>
      </c>
      <c r="C6451" s="3" t="s">
        <v>7294</v>
      </c>
      <c r="D6451" s="3"/>
    </row>
    <row r="6452" spans="1:4">
      <c r="A6452" s="2">
        <v>335</v>
      </c>
      <c r="B6452" s="2" t="s">
        <v>1057</v>
      </c>
      <c r="C6452" s="2" t="s">
        <v>7295</v>
      </c>
      <c r="D6452" s="2"/>
    </row>
    <row r="6453" spans="1:4">
      <c r="A6453" s="3">
        <v>335</v>
      </c>
      <c r="B6453" s="3" t="s">
        <v>1057</v>
      </c>
      <c r="C6453" s="3" t="s">
        <v>7296</v>
      </c>
      <c r="D6453" s="3"/>
    </row>
    <row r="6454" spans="1:4">
      <c r="A6454" s="2">
        <v>335</v>
      </c>
      <c r="B6454" s="2" t="s">
        <v>1057</v>
      </c>
      <c r="C6454" s="2">
        <f> π - 2 b/r„ -1/2</f>
        <v>0</v>
      </c>
      <c r="D6454" s="2"/>
    </row>
    <row r="6455" spans="1:4">
      <c r="A6455" s="3">
        <v>335</v>
      </c>
      <c r="B6455" s="3" t="s">
        <v>1057</v>
      </c>
      <c r="C6455" s="3" t="s">
        <v>7297</v>
      </c>
      <c r="D6455" s="3"/>
    </row>
    <row r="6456" spans="1:4">
      <c r="A6456" s="2">
        <v>335</v>
      </c>
      <c r="B6456" s="2" t="s">
        <v>1057</v>
      </c>
      <c r="C6456" s="2" t="s">
        <v>7298</v>
      </c>
      <c r="D6456" s="2"/>
    </row>
    <row r="6457" spans="1:4">
      <c r="A6457" s="3">
        <v>335</v>
      </c>
      <c r="B6457" s="3" t="s">
        <v>1057</v>
      </c>
      <c r="C6457" s="3" t="s">
        <v>7299</v>
      </c>
      <c r="D6457" s="3"/>
    </row>
    <row r="6458" spans="1:4">
      <c r="A6458" s="2">
        <v>335</v>
      </c>
      <c r="B6458" s="2" t="s">
        <v>1057</v>
      </c>
      <c r="C6458" s="2" t="s">
        <v>7300</v>
      </c>
      <c r="D6458" s="2"/>
    </row>
    <row r="6459" spans="1:4">
      <c r="A6459" s="3">
        <v>335</v>
      </c>
      <c r="B6459" s="3" t="s">
        <v>1057</v>
      </c>
      <c r="C6459" s="3" t="s">
        <v>7301</v>
      </c>
      <c r="D6459" s="3"/>
    </row>
    <row r="6460" spans="1:4">
      <c r="A6460" s="2">
        <v>335</v>
      </c>
      <c r="B6460" s="2" t="s">
        <v>1057</v>
      </c>
      <c r="C6460" s="2" t="s">
        <v>7302</v>
      </c>
      <c r="D6460" s="2"/>
    </row>
    <row r="6461" spans="1:4">
      <c r="A6461" s="3">
        <v>335</v>
      </c>
      <c r="B6461" s="3" t="s">
        <v>1057</v>
      </c>
      <c r="C6461" s="3" t="s">
        <v>7303</v>
      </c>
      <c r="D6461" s="3"/>
    </row>
    <row r="6462" spans="1:4">
      <c r="A6462" s="2">
        <v>335</v>
      </c>
      <c r="B6462" s="2" t="s">
        <v>1057</v>
      </c>
      <c r="C6462" s="2" t="s">
        <v>7304</v>
      </c>
      <c r="D6462" s="2"/>
    </row>
    <row r="6463" spans="1:4">
      <c r="A6463" s="3">
        <v>335</v>
      </c>
      <c r="B6463" s="3" t="s">
        <v>1057</v>
      </c>
      <c r="C6463" s="3" t="s">
        <v>7305</v>
      </c>
      <c r="D6463" s="3"/>
    </row>
    <row r="6464" spans="1:4">
      <c r="A6464" s="2">
        <v>335</v>
      </c>
      <c r="B6464" s="2" t="s">
        <v>1057</v>
      </c>
      <c r="C6464" s="2" t="s">
        <v>7306</v>
      </c>
      <c r="D6464" s="2"/>
    </row>
    <row r="6465" spans="1:4">
      <c r="A6465" s="3">
        <v>335</v>
      </c>
      <c r="B6465" s="3" t="s">
        <v>1057</v>
      </c>
      <c r="C6465" s="3" t="s">
        <v>7307</v>
      </c>
      <c r="D6465" s="3"/>
    </row>
    <row r="6466" spans="1:4">
      <c r="A6466" s="2">
        <v>335</v>
      </c>
      <c r="B6466" s="2" t="s">
        <v>1057</v>
      </c>
      <c r="C6466" s="2" t="s">
        <v>7308</v>
      </c>
      <c r="D6466" s="2"/>
    </row>
    <row r="6467" spans="1:4">
      <c r="A6467" s="3">
        <v>335</v>
      </c>
      <c r="B6467" s="3" t="s">
        <v>1057</v>
      </c>
      <c r="C6467" s="3" t="s">
        <v>7309</v>
      </c>
      <c r="D6467" s="3"/>
    </row>
    <row r="6468" spans="1:4">
      <c r="A6468" s="2">
        <v>336</v>
      </c>
      <c r="B6468" s="2" t="s">
        <v>992</v>
      </c>
      <c r="C6468" s="2" t="s">
        <v>7310</v>
      </c>
      <c r="D6468" s="2"/>
    </row>
    <row r="6469" spans="1:4">
      <c r="A6469" s="3">
        <v>336</v>
      </c>
      <c r="B6469" s="3" t="s">
        <v>992</v>
      </c>
      <c r="C6469" s="3" t="s">
        <v>7311</v>
      </c>
      <c r="D6469" s="3"/>
    </row>
    <row r="6470" spans="1:4">
      <c r="A6470" s="2">
        <v>336</v>
      </c>
      <c r="B6470" s="2" t="s">
        <v>992</v>
      </c>
      <c r="C6470" s="2" t="s">
        <v>7312</v>
      </c>
      <c r="D6470" s="2"/>
    </row>
    <row r="6471" spans="1:4">
      <c r="A6471" s="3">
        <v>336</v>
      </c>
      <c r="B6471" s="3" t="s">
        <v>992</v>
      </c>
      <c r="C6471" s="3" t="s">
        <v>7313</v>
      </c>
      <c r="D6471" s="3"/>
    </row>
    <row r="6472" spans="1:4">
      <c r="A6472" s="2">
        <v>336</v>
      </c>
      <c r="B6472" s="2" t="s">
        <v>992</v>
      </c>
      <c r="C6472" s="2" t="s">
        <v>7314</v>
      </c>
      <c r="D6472" s="2"/>
    </row>
    <row r="6473" spans="1:4">
      <c r="A6473" s="3">
        <v>336</v>
      </c>
      <c r="B6473" s="3" t="s">
        <v>992</v>
      </c>
      <c r="C6473" s="3" t="s">
        <v>7315</v>
      </c>
      <c r="D6473" s="3"/>
    </row>
    <row r="6474" spans="1:4">
      <c r="A6474" s="2">
        <v>336</v>
      </c>
      <c r="B6474" s="2" t="s">
        <v>992</v>
      </c>
      <c r="C6474" s="2" t="s">
        <v>7316</v>
      </c>
      <c r="D6474" s="2"/>
    </row>
    <row r="6475" spans="1:4">
      <c r="A6475" s="3">
        <v>336</v>
      </c>
      <c r="B6475" s="3" t="s">
        <v>992</v>
      </c>
      <c r="C6475" s="3" t="s">
        <v>7317</v>
      </c>
      <c r="D6475" s="3"/>
    </row>
    <row r="6476" spans="1:4">
      <c r="A6476" s="2">
        <v>336</v>
      </c>
      <c r="B6476" s="2" t="s">
        <v>992</v>
      </c>
      <c r="C6476" s="2" t="s">
        <v>7318</v>
      </c>
      <c r="D6476" s="2"/>
    </row>
    <row r="6477" spans="1:4">
      <c r="A6477" s="3">
        <v>336</v>
      </c>
      <c r="B6477" s="3" t="s">
        <v>992</v>
      </c>
      <c r="C6477" s="3" t="s">
        <v>7317</v>
      </c>
      <c r="D6477" s="3"/>
    </row>
    <row r="6478" spans="1:4">
      <c r="A6478" s="2">
        <v>336</v>
      </c>
      <c r="B6478" s="2" t="s">
        <v>992</v>
      </c>
      <c r="C6478" s="2" t="s">
        <v>7319</v>
      </c>
      <c r="D6478" s="2"/>
    </row>
    <row r="6479" spans="1:4">
      <c r="A6479" s="3">
        <v>336</v>
      </c>
      <c r="B6479" s="3" t="s">
        <v>992</v>
      </c>
      <c r="C6479" s="3" t="s">
        <v>7320</v>
      </c>
      <c r="D6479" s="3"/>
    </row>
    <row r="6480" spans="1:4">
      <c r="A6480" s="2">
        <v>336</v>
      </c>
      <c r="B6480" s="2" t="s">
        <v>992</v>
      </c>
      <c r="C6480" s="2" t="s">
        <v>7321</v>
      </c>
      <c r="D6480" s="2"/>
    </row>
    <row r="6481" spans="1:4">
      <c r="A6481" s="3">
        <v>336</v>
      </c>
      <c r="B6481" s="3" t="s">
        <v>992</v>
      </c>
      <c r="C6481" s="3" t="s">
        <v>7322</v>
      </c>
      <c r="D6481" s="3"/>
    </row>
    <row r="6482" spans="1:4">
      <c r="A6482" s="2">
        <v>336</v>
      </c>
      <c r="B6482" s="2" t="s">
        <v>992</v>
      </c>
      <c r="C6482" s="2" t="s">
        <v>7320</v>
      </c>
      <c r="D6482" s="2"/>
    </row>
    <row r="6483" spans="1:4">
      <c r="A6483" s="3">
        <v>336</v>
      </c>
      <c r="B6483" s="3" t="s">
        <v>992</v>
      </c>
      <c r="C6483" s="3" t="s">
        <v>7323</v>
      </c>
      <c r="D6483" s="3"/>
    </row>
    <row r="6484" spans="1:4">
      <c r="A6484" s="2">
        <v>336</v>
      </c>
      <c r="B6484" s="2" t="s">
        <v>992</v>
      </c>
      <c r="C6484" s="2" t="s">
        <v>7324</v>
      </c>
      <c r="D6484" s="2"/>
    </row>
    <row r="6485" spans="1:4">
      <c r="A6485" s="3">
        <v>336</v>
      </c>
      <c r="B6485" s="3" t="s">
        <v>992</v>
      </c>
      <c r="C6485" s="3" t="s">
        <v>7325</v>
      </c>
      <c r="D6485" s="3"/>
    </row>
    <row r="6486" spans="1:4">
      <c r="A6486" s="2">
        <v>336</v>
      </c>
      <c r="B6486" s="2" t="s">
        <v>992</v>
      </c>
      <c r="C6486" s="2" t="s">
        <v>7326</v>
      </c>
      <c r="D6486" s="2"/>
    </row>
    <row r="6487" spans="1:4">
      <c r="A6487" s="3">
        <v>336</v>
      </c>
      <c r="B6487" s="3" t="s">
        <v>992</v>
      </c>
      <c r="C6487" s="3" t="s">
        <v>7327</v>
      </c>
      <c r="D6487" s="3"/>
    </row>
    <row r="6488" spans="1:4">
      <c r="A6488" s="2">
        <v>336</v>
      </c>
      <c r="B6488" s="2" t="s">
        <v>992</v>
      </c>
      <c r="C6488" s="2" t="s">
        <v>7317</v>
      </c>
      <c r="D6488" s="2"/>
    </row>
    <row r="6489" spans="1:4">
      <c r="A6489" s="3">
        <v>337</v>
      </c>
      <c r="B6489" s="3" t="s">
        <v>1042</v>
      </c>
      <c r="C6489" s="3" t="s">
        <v>7328</v>
      </c>
      <c r="D6489" s="3"/>
    </row>
    <row r="6490" spans="1:4">
      <c r="A6490" s="2">
        <v>337</v>
      </c>
      <c r="B6490" s="2" t="s">
        <v>1042</v>
      </c>
      <c r="C6490" s="2" t="s">
        <v>7329</v>
      </c>
      <c r="D6490" s="2"/>
    </row>
    <row r="6491" spans="1:4">
      <c r="A6491" s="3">
        <v>337</v>
      </c>
      <c r="B6491" s="3" t="s">
        <v>1042</v>
      </c>
      <c r="C6491" s="3" t="s">
        <v>7330</v>
      </c>
      <c r="D6491" s="3"/>
    </row>
    <row r="6492" spans="1:4">
      <c r="A6492" s="2">
        <v>337</v>
      </c>
      <c r="B6492" s="2" t="s">
        <v>1042</v>
      </c>
      <c r="C6492" s="2" t="s">
        <v>7331</v>
      </c>
      <c r="D6492" s="2"/>
    </row>
    <row r="6493" spans="1:4">
      <c r="A6493" s="3">
        <v>337</v>
      </c>
      <c r="B6493" s="3" t="s">
        <v>1042</v>
      </c>
      <c r="C6493" s="3" t="s">
        <v>7332</v>
      </c>
      <c r="D6493" s="3"/>
    </row>
    <row r="6494" spans="1:4">
      <c r="A6494" s="2">
        <v>337</v>
      </c>
      <c r="B6494" s="2" t="s">
        <v>1042</v>
      </c>
      <c r="C6494" s="2" t="s">
        <v>7333</v>
      </c>
      <c r="D6494" s="2"/>
    </row>
    <row r="6495" spans="1:4">
      <c r="A6495" s="3">
        <v>337</v>
      </c>
      <c r="B6495" s="3" t="s">
        <v>1042</v>
      </c>
      <c r="C6495" s="3" t="s">
        <v>7334</v>
      </c>
      <c r="D6495" s="3"/>
    </row>
    <row r="6496" spans="1:4">
      <c r="A6496" s="2">
        <v>337</v>
      </c>
      <c r="B6496" s="2" t="s">
        <v>1042</v>
      </c>
      <c r="C6496" s="2" t="s">
        <v>7335</v>
      </c>
      <c r="D6496" s="2"/>
    </row>
    <row r="6497" spans="1:4">
      <c r="A6497" s="3">
        <v>337</v>
      </c>
      <c r="B6497" s="3" t="s">
        <v>1042</v>
      </c>
      <c r="C6497" s="3" t="s">
        <v>7336</v>
      </c>
      <c r="D6497" s="3"/>
    </row>
    <row r="6498" spans="1:4">
      <c r="A6498" s="2">
        <v>337</v>
      </c>
      <c r="B6498" s="2" t="s">
        <v>1042</v>
      </c>
      <c r="C6498" s="2" t="s">
        <v>7337</v>
      </c>
      <c r="D6498" s="2"/>
    </row>
    <row r="6499" spans="1:4">
      <c r="A6499" s="3">
        <v>337</v>
      </c>
      <c r="B6499" s="3" t="s">
        <v>1042</v>
      </c>
      <c r="C6499" s="3" t="s">
        <v>7338</v>
      </c>
      <c r="D6499" s="3"/>
    </row>
    <row r="6500" spans="1:4">
      <c r="A6500" s="2">
        <v>337</v>
      </c>
      <c r="B6500" s="2" t="s">
        <v>1042</v>
      </c>
      <c r="C6500" s="2" t="s">
        <v>7339</v>
      </c>
      <c r="D6500" s="2"/>
    </row>
    <row r="6501" spans="1:4">
      <c r="A6501" s="3">
        <v>337</v>
      </c>
      <c r="B6501" s="3" t="s">
        <v>1042</v>
      </c>
      <c r="C6501" s="3" t="s">
        <v>7340</v>
      </c>
      <c r="D6501" s="3"/>
    </row>
    <row r="6502" spans="1:4">
      <c r="A6502" s="2">
        <v>337</v>
      </c>
      <c r="B6502" s="2" t="s">
        <v>1042</v>
      </c>
      <c r="C6502" s="2" t="s">
        <v>7341</v>
      </c>
      <c r="D6502" s="2"/>
    </row>
    <row r="6503" spans="1:4">
      <c r="A6503" s="3">
        <v>337</v>
      </c>
      <c r="B6503" s="3" t="s">
        <v>1042</v>
      </c>
      <c r="C6503" s="3" t="s">
        <v>7342</v>
      </c>
      <c r="D6503" s="3"/>
    </row>
    <row r="6504" spans="1:4">
      <c r="A6504" s="2">
        <v>337</v>
      </c>
      <c r="B6504" s="2" t="s">
        <v>1042</v>
      </c>
      <c r="C6504" s="2" t="s">
        <v>7343</v>
      </c>
      <c r="D6504" s="2"/>
    </row>
    <row r="6505" spans="1:4">
      <c r="A6505" s="3">
        <v>337</v>
      </c>
      <c r="B6505" s="3" t="s">
        <v>1042</v>
      </c>
      <c r="C6505" s="3" t="s">
        <v>7344</v>
      </c>
      <c r="D6505" s="3"/>
    </row>
    <row r="6506" spans="1:4">
      <c r="A6506" s="2">
        <v>337</v>
      </c>
      <c r="B6506" s="2" t="s">
        <v>1042</v>
      </c>
      <c r="C6506" s="2" t="s">
        <v>7345</v>
      </c>
      <c r="D6506" s="2"/>
    </row>
    <row r="6507" spans="1:4">
      <c r="A6507" s="3">
        <v>337</v>
      </c>
      <c r="B6507" s="3" t="s">
        <v>1042</v>
      </c>
      <c r="C6507" s="3" t="s">
        <v>7346</v>
      </c>
      <c r="D6507" s="3"/>
    </row>
    <row r="6508" spans="1:4">
      <c r="A6508" s="2">
        <v>337</v>
      </c>
      <c r="B6508" s="2" t="s">
        <v>1042</v>
      </c>
      <c r="C6508" s="2" t="s">
        <v>7347</v>
      </c>
      <c r="D6508" s="2"/>
    </row>
    <row r="6509" spans="1:4">
      <c r="A6509" s="3">
        <v>337</v>
      </c>
      <c r="B6509" s="3" t="s">
        <v>1042</v>
      </c>
      <c r="C6509" s="3" t="s">
        <v>7348</v>
      </c>
      <c r="D6509" s="3"/>
    </row>
    <row r="6510" spans="1:4">
      <c r="A6510" s="2">
        <v>337</v>
      </c>
      <c r="B6510" s="2" t="s">
        <v>1042</v>
      </c>
      <c r="C6510" s="2" t="s">
        <v>7349</v>
      </c>
      <c r="D6510" s="2"/>
    </row>
    <row r="6511" spans="1:4">
      <c r="A6511" s="3">
        <v>337</v>
      </c>
      <c r="B6511" s="3" t="s">
        <v>1042</v>
      </c>
      <c r="C6511" s="3" t="s">
        <v>7350</v>
      </c>
      <c r="D6511" s="3"/>
    </row>
    <row r="6512" spans="1:4">
      <c r="A6512" s="2">
        <v>337</v>
      </c>
      <c r="B6512" s="2" t="s">
        <v>1042</v>
      </c>
      <c r="C6512" s="2" t="s">
        <v>7349</v>
      </c>
      <c r="D6512" s="2"/>
    </row>
    <row r="6513" spans="1:4">
      <c r="A6513" s="3">
        <v>337</v>
      </c>
      <c r="B6513" s="3" t="s">
        <v>1042</v>
      </c>
      <c r="C6513" s="3" t="s">
        <v>7350</v>
      </c>
      <c r="D6513" s="3"/>
    </row>
    <row r="6514" spans="1:4">
      <c r="A6514" s="2">
        <v>337</v>
      </c>
      <c r="B6514" s="2" t="s">
        <v>1042</v>
      </c>
      <c r="C6514" s="2" t="s">
        <v>7351</v>
      </c>
      <c r="D6514" s="2"/>
    </row>
    <row r="6515" spans="1:4">
      <c r="A6515" s="3">
        <v>337</v>
      </c>
      <c r="B6515" s="3" t="s">
        <v>1042</v>
      </c>
      <c r="C6515" s="3" t="s">
        <v>7352</v>
      </c>
      <c r="D6515" s="3"/>
    </row>
    <row r="6516" spans="1:4">
      <c r="A6516" s="2">
        <v>337</v>
      </c>
      <c r="B6516" s="2" t="s">
        <v>1042</v>
      </c>
      <c r="C6516" s="2" t="s">
        <v>7353</v>
      </c>
      <c r="D6516" s="2"/>
    </row>
    <row r="6517" spans="1:4">
      <c r="A6517" s="3">
        <v>337</v>
      </c>
      <c r="B6517" s="3" t="s">
        <v>1042</v>
      </c>
      <c r="C6517" s="3" t="s">
        <v>7354</v>
      </c>
      <c r="D6517" s="3"/>
    </row>
    <row r="6518" spans="1:4">
      <c r="A6518" s="2">
        <v>337</v>
      </c>
      <c r="B6518" s="2" t="s">
        <v>1042</v>
      </c>
      <c r="C6518" s="2" t="s">
        <v>7355</v>
      </c>
      <c r="D6518" s="2"/>
    </row>
    <row r="6519" spans="1:4">
      <c r="A6519" s="3">
        <v>337</v>
      </c>
      <c r="B6519" s="3" t="s">
        <v>1042</v>
      </c>
      <c r="C6519" s="3" t="s">
        <v>7354</v>
      </c>
      <c r="D6519" s="3"/>
    </row>
    <row r="6520" spans="1:4">
      <c r="A6520" s="2">
        <v>337</v>
      </c>
      <c r="B6520" s="2" t="s">
        <v>1042</v>
      </c>
      <c r="C6520" s="2" t="s">
        <v>7356</v>
      </c>
      <c r="D6520" s="2"/>
    </row>
    <row r="6521" spans="1:4">
      <c r="A6521" s="3">
        <v>337</v>
      </c>
      <c r="B6521" s="3" t="s">
        <v>1042</v>
      </c>
      <c r="C6521" s="3" t="s">
        <v>7357</v>
      </c>
      <c r="D6521" s="3"/>
    </row>
    <row r="6522" spans="1:4">
      <c r="A6522" s="2">
        <v>338</v>
      </c>
      <c r="B6522" s="2" t="s">
        <v>996</v>
      </c>
      <c r="C6522" s="2" t="s">
        <v>7358</v>
      </c>
      <c r="D6522" s="2"/>
    </row>
    <row r="6523" spans="1:4">
      <c r="A6523" s="3">
        <v>339</v>
      </c>
      <c r="B6523" s="3" t="s">
        <v>1058</v>
      </c>
      <c r="C6523" s="3" t="s">
        <v>7359</v>
      </c>
      <c r="D6523" s="3"/>
    </row>
    <row r="6524" spans="1:4">
      <c r="A6524" s="2">
        <v>339</v>
      </c>
      <c r="B6524" s="2" t="s">
        <v>1058</v>
      </c>
      <c r="C6524" s="2" t="s">
        <v>7360</v>
      </c>
      <c r="D6524" s="2"/>
    </row>
    <row r="6525" spans="1:4">
      <c r="A6525" s="3">
        <v>340</v>
      </c>
      <c r="B6525" s="3" t="s">
        <v>1000</v>
      </c>
      <c r="C6525" s="3" t="s">
        <v>7361</v>
      </c>
      <c r="D6525" s="3"/>
    </row>
    <row r="6526" spans="1:4">
      <c r="A6526" s="2">
        <v>340</v>
      </c>
      <c r="B6526" s="2" t="s">
        <v>1000</v>
      </c>
      <c r="C6526" s="2" t="s">
        <v>7362</v>
      </c>
      <c r="D6526" s="2"/>
    </row>
    <row r="6527" spans="1:4">
      <c r="A6527" s="3">
        <v>340</v>
      </c>
      <c r="B6527" s="3" t="s">
        <v>1000</v>
      </c>
      <c r="C6527" s="3" t="s">
        <v>7363</v>
      </c>
      <c r="D6527" s="3"/>
    </row>
    <row r="6528" spans="1:4">
      <c r="A6528" s="2">
        <v>340</v>
      </c>
      <c r="B6528" s="2" t="s">
        <v>1000</v>
      </c>
      <c r="C6528" s="2" t="s">
        <v>7364</v>
      </c>
      <c r="D6528" s="2"/>
    </row>
    <row r="6529" spans="1:4">
      <c r="A6529" s="3">
        <v>340</v>
      </c>
      <c r="B6529" s="3" t="s">
        <v>1000</v>
      </c>
      <c r="C6529" s="3" t="s">
        <v>7365</v>
      </c>
      <c r="D6529" s="3"/>
    </row>
    <row r="6530" spans="1:4">
      <c r="A6530" s="2">
        <v>342</v>
      </c>
      <c r="B6530" s="2" t="s">
        <v>854</v>
      </c>
      <c r="C6530" s="2" t="s">
        <v>7366</v>
      </c>
      <c r="D6530" s="2"/>
    </row>
    <row r="6531" spans="1:4">
      <c r="A6531" s="3">
        <v>342</v>
      </c>
      <c r="B6531" s="3" t="s">
        <v>854</v>
      </c>
      <c r="C6531" s="3" t="s">
        <v>7367</v>
      </c>
      <c r="D6531" s="3"/>
    </row>
    <row r="6532" spans="1:4">
      <c r="A6532" s="2">
        <v>342</v>
      </c>
      <c r="B6532" s="2" t="s">
        <v>854</v>
      </c>
      <c r="C6532" s="2" t="s">
        <v>7368</v>
      </c>
      <c r="D6532" s="2"/>
    </row>
    <row r="6533" spans="1:4">
      <c r="A6533" s="3">
        <v>342</v>
      </c>
      <c r="B6533" s="3" t="s">
        <v>854</v>
      </c>
      <c r="C6533" s="3" t="s">
        <v>7369</v>
      </c>
      <c r="D6533" s="3"/>
    </row>
    <row r="6534" spans="1:4">
      <c r="A6534" s="2">
        <v>342</v>
      </c>
      <c r="B6534" s="2" t="s">
        <v>854</v>
      </c>
      <c r="C6534" s="2" t="s">
        <v>7370</v>
      </c>
      <c r="D6534" s="2"/>
    </row>
    <row r="6535" spans="1:4">
      <c r="A6535" s="3">
        <v>342</v>
      </c>
      <c r="B6535" s="3" t="s">
        <v>854</v>
      </c>
      <c r="C6535" s="3" t="s">
        <v>7371</v>
      </c>
      <c r="D6535" s="3"/>
    </row>
    <row r="6536" spans="1:4">
      <c r="A6536" s="2">
        <v>342</v>
      </c>
      <c r="B6536" s="2" t="s">
        <v>854</v>
      </c>
      <c r="C6536" s="2" t="s">
        <v>7372</v>
      </c>
      <c r="D6536" s="2"/>
    </row>
    <row r="6537" spans="1:4">
      <c r="A6537" s="3">
        <v>342</v>
      </c>
      <c r="B6537" s="3" t="s">
        <v>854</v>
      </c>
      <c r="C6537" s="3">
        <f>i/SLvarepsilon0∑</f>
        <v>0</v>
      </c>
      <c r="D6537" s="3"/>
    </row>
    <row r="6538" spans="1:4">
      <c r="A6538" s="2">
        <v>342</v>
      </c>
      <c r="B6538" s="2" t="s">
        <v>854</v>
      </c>
      <c r="C6538" s="2" t="s">
        <v>7373</v>
      </c>
      <c r="D6538" s="2"/>
    </row>
    <row r="6539" spans="1:4">
      <c r="A6539" s="3">
        <v>342</v>
      </c>
      <c r="B6539" s="3" t="s">
        <v>854</v>
      </c>
      <c r="C6539" s="3" t="s">
        <v>7374</v>
      </c>
      <c r="D6539" s="3"/>
    </row>
    <row r="6540" spans="1:4">
      <c r="A6540" s="2">
        <v>342</v>
      </c>
      <c r="B6540" s="2" t="s">
        <v>854</v>
      </c>
      <c r="C6540" s="2" t="s">
        <v>7375</v>
      </c>
      <c r="D6540" s="2"/>
    </row>
    <row r="6541" spans="1:4">
      <c r="A6541" s="3">
        <v>342</v>
      </c>
      <c r="B6541" s="3" t="s">
        <v>854</v>
      </c>
      <c r="C6541" s="3" t="s">
        <v>7376</v>
      </c>
      <c r="D6541" s="3"/>
    </row>
    <row r="6542" spans="1:4">
      <c r="A6542" s="2">
        <v>342</v>
      </c>
      <c r="B6542" s="2" t="s">
        <v>854</v>
      </c>
      <c r="C6542" s="2" t="s">
        <v>7373</v>
      </c>
      <c r="D6542" s="2"/>
    </row>
    <row r="6543" spans="1:4">
      <c r="A6543" s="3">
        <v>342</v>
      </c>
      <c r="B6543" s="3" t="s">
        <v>854</v>
      </c>
      <c r="C6543" s="3" t="s">
        <v>7377</v>
      </c>
      <c r="D6543" s="3"/>
    </row>
    <row r="6544" spans="1:4">
      <c r="A6544" s="2">
        <v>342</v>
      </c>
      <c r="B6544" s="2" t="s">
        <v>854</v>
      </c>
      <c r="C6544" s="2" t="s">
        <v>7378</v>
      </c>
      <c r="D6544" s="2"/>
    </row>
    <row r="6545" spans="1:4">
      <c r="A6545" s="3">
        <v>342</v>
      </c>
      <c r="B6545" s="3" t="s">
        <v>854</v>
      </c>
      <c r="C6545" s="3" t="s">
        <v>7379</v>
      </c>
      <c r="D6545" s="3"/>
    </row>
    <row r="6546" spans="1:4">
      <c r="A6546" s="2">
        <v>342</v>
      </c>
      <c r="B6546" s="2" t="s">
        <v>854</v>
      </c>
      <c r="C6546" s="2" t="s">
        <v>7380</v>
      </c>
      <c r="D6546" s="2"/>
    </row>
    <row r="6547" spans="1:4">
      <c r="A6547" s="3">
        <v>342</v>
      </c>
      <c r="B6547" s="3" t="s">
        <v>854</v>
      </c>
      <c r="C6547" s="3" t="s">
        <v>7381</v>
      </c>
      <c r="D6547" s="3"/>
    </row>
    <row r="6548" spans="1:4">
      <c r="A6548" s="2">
        <v>342</v>
      </c>
      <c r="B6548" s="2" t="s">
        <v>854</v>
      </c>
      <c r="C6548" s="2" t="s">
        <v>7382</v>
      </c>
      <c r="D6548" s="2"/>
    </row>
    <row r="6549" spans="1:4">
      <c r="A6549" s="3">
        <v>342</v>
      </c>
      <c r="B6549" s="3" t="s">
        <v>854</v>
      </c>
      <c r="C6549" s="3" t="s">
        <v>7383</v>
      </c>
      <c r="D6549" s="3"/>
    </row>
    <row r="6550" spans="1:4">
      <c r="A6550" s="2">
        <v>342</v>
      </c>
      <c r="B6550" s="2" t="s">
        <v>854</v>
      </c>
      <c r="C6550" s="2" t="s">
        <v>7384</v>
      </c>
      <c r="D6550" s="2"/>
    </row>
    <row r="6551" spans="1:4">
      <c r="A6551" s="3">
        <v>342</v>
      </c>
      <c r="B6551" s="3" t="s">
        <v>854</v>
      </c>
      <c r="C6551" s="3" t="s">
        <v>7385</v>
      </c>
      <c r="D6551" s="3"/>
    </row>
    <row r="6552" spans="1:4">
      <c r="A6552" s="2">
        <v>342</v>
      </c>
      <c r="B6552" s="2" t="s">
        <v>854</v>
      </c>
      <c r="C6552" s="2" t="s">
        <v>7386</v>
      </c>
      <c r="D6552" s="2"/>
    </row>
    <row r="6553" spans="1:4">
      <c r="A6553" s="3">
        <v>342</v>
      </c>
      <c r="B6553" s="3" t="s">
        <v>854</v>
      </c>
      <c r="C6553" s="3" t="s">
        <v>7387</v>
      </c>
      <c r="D6553" s="3"/>
    </row>
    <row r="6554" spans="1:4">
      <c r="A6554" s="2">
        <v>342</v>
      </c>
      <c r="B6554" s="2" t="s">
        <v>854</v>
      </c>
      <c r="C6554" s="2" t="s">
        <v>7388</v>
      </c>
      <c r="D6554" s="2"/>
    </row>
    <row r="6555" spans="1:4">
      <c r="A6555" s="3">
        <v>342</v>
      </c>
      <c r="B6555" s="3" t="s">
        <v>854</v>
      </c>
      <c r="C6555" s="3" t="s">
        <v>7389</v>
      </c>
      <c r="D6555" s="3"/>
    </row>
    <row r="6556" spans="1:4">
      <c r="A6556" s="2">
        <v>342</v>
      </c>
      <c r="B6556" s="2" t="s">
        <v>854</v>
      </c>
      <c r="C6556" s="2" t="s">
        <v>7390</v>
      </c>
      <c r="D6556" s="2"/>
    </row>
    <row r="6557" spans="1:4">
      <c r="A6557" s="3">
        <v>342</v>
      </c>
      <c r="B6557" s="3" t="s">
        <v>854</v>
      </c>
      <c r="C6557" s="3" t="s">
        <v>7391</v>
      </c>
      <c r="D6557" s="3"/>
    </row>
    <row r="6558" spans="1:4">
      <c r="A6558" s="2">
        <v>342</v>
      </c>
      <c r="B6558" s="2" t="s">
        <v>854</v>
      </c>
      <c r="C6558" s="2" t="s">
        <v>7392</v>
      </c>
      <c r="D6558" s="2"/>
    </row>
    <row r="6559" spans="1:4">
      <c r="A6559" s="3">
        <v>342</v>
      </c>
      <c r="B6559" s="3" t="s">
        <v>854</v>
      </c>
      <c r="C6559" s="3" t="s">
        <v>7393</v>
      </c>
      <c r="D6559" s="3"/>
    </row>
    <row r="6560" spans="1:4">
      <c r="A6560" s="2">
        <v>342</v>
      </c>
      <c r="B6560" s="2" t="s">
        <v>854</v>
      </c>
      <c r="C6560" s="2" t="s">
        <v>7394</v>
      </c>
      <c r="D6560" s="2"/>
    </row>
    <row r="6561" spans="1:4">
      <c r="A6561" s="3">
        <v>342</v>
      </c>
      <c r="B6561" s="3" t="s">
        <v>854</v>
      </c>
      <c r="C6561" s="3" t="s">
        <v>7395</v>
      </c>
      <c r="D6561" s="3"/>
    </row>
    <row r="6562" spans="1:4">
      <c r="A6562" s="2">
        <v>342</v>
      </c>
      <c r="B6562" s="2" t="s">
        <v>854</v>
      </c>
      <c r="C6562" s="2" t="s">
        <v>7396</v>
      </c>
      <c r="D6562" s="2"/>
    </row>
    <row r="6563" spans="1:4">
      <c r="A6563" s="3">
        <v>342</v>
      </c>
      <c r="B6563" s="3" t="s">
        <v>854</v>
      </c>
      <c r="C6563" s="3" t="s">
        <v>7397</v>
      </c>
      <c r="D6563" s="3"/>
    </row>
    <row r="6564" spans="1:4">
      <c r="A6564" s="2">
        <v>342</v>
      </c>
      <c r="B6564" s="2" t="s">
        <v>854</v>
      </c>
      <c r="C6564" s="2" t="s">
        <v>7398</v>
      </c>
      <c r="D6564" s="2"/>
    </row>
    <row r="6565" spans="1:4">
      <c r="A6565" s="3">
        <v>342</v>
      </c>
      <c r="B6565" s="3" t="s">
        <v>854</v>
      </c>
      <c r="C6565" s="3" t="s">
        <v>7399</v>
      </c>
      <c r="D6565" s="3"/>
    </row>
    <row r="6566" spans="1:4">
      <c r="A6566" s="2">
        <v>342</v>
      </c>
      <c r="B6566" s="2" t="s">
        <v>854</v>
      </c>
      <c r="C6566" s="2" t="s">
        <v>7400</v>
      </c>
      <c r="D6566" s="2"/>
    </row>
    <row r="6567" spans="1:4">
      <c r="A6567" s="3">
        <v>342</v>
      </c>
      <c r="B6567" s="3" t="s">
        <v>854</v>
      </c>
      <c r="C6567" s="3" t="s">
        <v>7401</v>
      </c>
      <c r="D6567" s="3"/>
    </row>
    <row r="6568" spans="1:4">
      <c r="A6568" s="2">
        <v>342</v>
      </c>
      <c r="B6568" s="2" t="s">
        <v>854</v>
      </c>
      <c r="C6568" s="2" t="s">
        <v>7402</v>
      </c>
      <c r="D6568" s="2"/>
    </row>
    <row r="6569" spans="1:4">
      <c r="A6569" s="3">
        <v>342</v>
      </c>
      <c r="B6569" s="3" t="s">
        <v>854</v>
      </c>
      <c r="C6569" s="3" t="s">
        <v>7403</v>
      </c>
      <c r="D6569" s="3"/>
    </row>
    <row r="6570" spans="1:4">
      <c r="A6570" s="2">
        <v>342</v>
      </c>
      <c r="B6570" s="2" t="s">
        <v>854</v>
      </c>
      <c r="C6570" s="2" t="s">
        <v>7404</v>
      </c>
      <c r="D6570" s="2"/>
    </row>
    <row r="6571" spans="1:4">
      <c r="A6571" s="3">
        <v>342</v>
      </c>
      <c r="B6571" s="3" t="s">
        <v>854</v>
      </c>
      <c r="C6571" s="3" t="s">
        <v>7405</v>
      </c>
      <c r="D6571" s="3"/>
    </row>
    <row r="6572" spans="1:4">
      <c r="A6572" s="2">
        <v>342</v>
      </c>
      <c r="B6572" s="2" t="s">
        <v>854</v>
      </c>
      <c r="C6572" s="2" t="s">
        <v>7406</v>
      </c>
      <c r="D6572" s="2"/>
    </row>
    <row r="6573" spans="1:4">
      <c r="A6573" s="3">
        <v>342</v>
      </c>
      <c r="B6573" s="3" t="s">
        <v>854</v>
      </c>
      <c r="C6573" s="3" t="s">
        <v>7407</v>
      </c>
      <c r="D6573" s="3"/>
    </row>
    <row r="6574" spans="1:4">
      <c r="A6574" s="2">
        <v>342</v>
      </c>
      <c r="B6574" s="2" t="s">
        <v>854</v>
      </c>
      <c r="C6574" s="2" t="s">
        <v>7408</v>
      </c>
      <c r="D6574" s="2"/>
    </row>
    <row r="6575" spans="1:4">
      <c r="A6575" s="3">
        <v>342</v>
      </c>
      <c r="B6575" s="3" t="s">
        <v>854</v>
      </c>
      <c r="C6575" s="3" t="s">
        <v>7409</v>
      </c>
      <c r="D6575" s="3"/>
    </row>
    <row r="6576" spans="1:4">
      <c r="A6576" s="2">
        <v>342</v>
      </c>
      <c r="B6576" s="2" t="s">
        <v>854</v>
      </c>
      <c r="C6576" s="2" t="s">
        <v>7410</v>
      </c>
      <c r="D6576" s="2"/>
    </row>
    <row r="6577" spans="1:4">
      <c r="A6577" s="3">
        <v>342</v>
      </c>
      <c r="B6577" s="3" t="s">
        <v>854</v>
      </c>
      <c r="C6577" s="3" t="s">
        <v>7411</v>
      </c>
      <c r="D6577" s="3"/>
    </row>
    <row r="6578" spans="1:4">
      <c r="A6578" s="2">
        <v>342</v>
      </c>
      <c r="B6578" s="2" t="s">
        <v>854</v>
      </c>
      <c r="C6578" s="2" t="s">
        <v>7412</v>
      </c>
      <c r="D6578" s="2"/>
    </row>
    <row r="6579" spans="1:4">
      <c r="A6579" s="3">
        <v>342</v>
      </c>
      <c r="B6579" s="3" t="s">
        <v>854</v>
      </c>
      <c r="C6579" s="3" t="s">
        <v>7413</v>
      </c>
      <c r="D6579" s="3"/>
    </row>
    <row r="6580" spans="1:4">
      <c r="A6580" s="2">
        <v>343</v>
      </c>
      <c r="B6580" s="2" t="s">
        <v>977</v>
      </c>
      <c r="C6580" s="2" t="s">
        <v>7414</v>
      </c>
      <c r="D6580" s="2"/>
    </row>
    <row r="6581" spans="1:4">
      <c r="A6581" s="3">
        <v>343</v>
      </c>
      <c r="B6581" s="3" t="s">
        <v>977</v>
      </c>
      <c r="C6581" s="3" t="s">
        <v>7415</v>
      </c>
      <c r="D6581" s="3"/>
    </row>
    <row r="6582" spans="1:4">
      <c r="A6582" s="2">
        <v>343</v>
      </c>
      <c r="B6582" s="2" t="s">
        <v>977</v>
      </c>
      <c r="C6582" s="2" t="s">
        <v>7416</v>
      </c>
      <c r="D6582" s="2"/>
    </row>
    <row r="6583" spans="1:4">
      <c r="A6583" s="3">
        <v>343</v>
      </c>
      <c r="B6583" s="3" t="s">
        <v>977</v>
      </c>
      <c r="C6583" s="3" t="s">
        <v>7417</v>
      </c>
      <c r="D6583" s="3"/>
    </row>
    <row r="6584" spans="1:4">
      <c r="A6584" s="2">
        <v>343</v>
      </c>
      <c r="B6584" s="2" t="s">
        <v>977</v>
      </c>
      <c r="C6584" s="2" t="s">
        <v>7418</v>
      </c>
      <c r="D6584" s="2"/>
    </row>
    <row r="6585" spans="1:4">
      <c r="A6585" s="3">
        <v>343</v>
      </c>
      <c r="B6585" s="3" t="s">
        <v>977</v>
      </c>
      <c r="C6585" s="3" t="s">
        <v>7419</v>
      </c>
      <c r="D6585" s="3"/>
    </row>
    <row r="6586" spans="1:4">
      <c r="A6586" s="2">
        <v>343</v>
      </c>
      <c r="B6586" s="2" t="s">
        <v>977</v>
      </c>
      <c r="C6586" s="2" t="s">
        <v>7420</v>
      </c>
      <c r="D6586" s="2"/>
    </row>
    <row r="6587" spans="1:4">
      <c r="A6587" s="3">
        <v>343</v>
      </c>
      <c r="B6587" s="3" t="s">
        <v>977</v>
      </c>
      <c r="C6587" s="3" t="s">
        <v>7421</v>
      </c>
      <c r="D6587" s="3"/>
    </row>
    <row r="6588" spans="1:4">
      <c r="A6588" s="2">
        <v>343</v>
      </c>
      <c r="B6588" s="2" t="s">
        <v>977</v>
      </c>
      <c r="C6588" s="2" t="s">
        <v>7422</v>
      </c>
      <c r="D6588" s="2"/>
    </row>
    <row r="6589" spans="1:4">
      <c r="A6589" s="3">
        <v>343</v>
      </c>
      <c r="B6589" s="3" t="s">
        <v>977</v>
      </c>
      <c r="C6589" s="3" t="s">
        <v>7423</v>
      </c>
      <c r="D6589" s="3"/>
    </row>
    <row r="6590" spans="1:4">
      <c r="A6590" s="2">
        <v>343</v>
      </c>
      <c r="B6590" s="2" t="s">
        <v>977</v>
      </c>
      <c r="C6590" s="2" t="s">
        <v>7424</v>
      </c>
      <c r="D6590" s="2"/>
    </row>
    <row r="6591" spans="1:4">
      <c r="A6591" s="3">
        <v>343</v>
      </c>
      <c r="B6591" s="3" t="s">
        <v>977</v>
      </c>
      <c r="C6591" s="3" t="s">
        <v>7425</v>
      </c>
      <c r="D6591" s="3"/>
    </row>
    <row r="6592" spans="1:4">
      <c r="A6592" s="2">
        <v>343</v>
      </c>
      <c r="B6592" s="2" t="s">
        <v>977</v>
      </c>
      <c r="C6592" s="2" t="s">
        <v>7426</v>
      </c>
      <c r="D6592" s="2"/>
    </row>
    <row r="6593" spans="1:4">
      <c r="A6593" s="3">
        <v>343</v>
      </c>
      <c r="B6593" s="3" t="s">
        <v>977</v>
      </c>
      <c r="C6593" s="3" t="s">
        <v>7427</v>
      </c>
      <c r="D6593" s="3"/>
    </row>
    <row r="6594" spans="1:4">
      <c r="A6594" s="2">
        <v>343</v>
      </c>
      <c r="B6594" s="2" t="s">
        <v>977</v>
      </c>
      <c r="C6594" s="2" t="s">
        <v>7428</v>
      </c>
      <c r="D6594" s="2"/>
    </row>
    <row r="6595" spans="1:4">
      <c r="A6595" s="3">
        <v>343</v>
      </c>
      <c r="B6595" s="3" t="s">
        <v>977</v>
      </c>
      <c r="C6595" s="3" t="s">
        <v>7429</v>
      </c>
      <c r="D6595" s="3"/>
    </row>
    <row r="6596" spans="1:4">
      <c r="A6596" s="2">
        <v>343</v>
      </c>
      <c r="B6596" s="2" t="s">
        <v>977</v>
      </c>
      <c r="C6596" s="2" t="s">
        <v>7430</v>
      </c>
      <c r="D6596" s="2"/>
    </row>
    <row r="6597" spans="1:4">
      <c r="A6597" s="3">
        <v>343</v>
      </c>
      <c r="B6597" s="3" t="s">
        <v>977</v>
      </c>
      <c r="C6597" s="3" t="s">
        <v>7431</v>
      </c>
      <c r="D6597" s="3"/>
    </row>
    <row r="6598" spans="1:4">
      <c r="A6598" s="2">
        <v>343</v>
      </c>
      <c r="B6598" s="2" t="s">
        <v>977</v>
      </c>
      <c r="C6598" s="2" t="s">
        <v>7432</v>
      </c>
      <c r="D6598" s="2"/>
    </row>
    <row r="6599" spans="1:4">
      <c r="A6599" s="3">
        <v>343</v>
      </c>
      <c r="B6599" s="3" t="s">
        <v>977</v>
      </c>
      <c r="C6599" s="3" t="s">
        <v>7433</v>
      </c>
      <c r="D6599" s="3"/>
    </row>
    <row r="6600" spans="1:4">
      <c r="A6600" s="2">
        <v>343</v>
      </c>
      <c r="B6600" s="2" t="s">
        <v>977</v>
      </c>
      <c r="C6600" s="2" t="s">
        <v>7434</v>
      </c>
      <c r="D6600" s="2"/>
    </row>
    <row r="6601" spans="1:4">
      <c r="A6601" s="3">
        <v>343</v>
      </c>
      <c r="B6601" s="3" t="s">
        <v>977</v>
      </c>
      <c r="C6601" s="3" t="s">
        <v>7435</v>
      </c>
      <c r="D6601" s="3"/>
    </row>
    <row r="6602" spans="1:4">
      <c r="A6602" s="2">
        <v>343</v>
      </c>
      <c r="B6602" s="2" t="s">
        <v>977</v>
      </c>
      <c r="C6602" s="2" t="s">
        <v>7436</v>
      </c>
      <c r="D6602" s="2"/>
    </row>
    <row r="6603" spans="1:4">
      <c r="A6603" s="3">
        <v>343</v>
      </c>
      <c r="B6603" s="3" t="s">
        <v>977</v>
      </c>
      <c r="C6603" s="3" t="s">
        <v>7437</v>
      </c>
      <c r="D6603" s="3"/>
    </row>
    <row r="6604" spans="1:4">
      <c r="A6604" s="2">
        <v>343</v>
      </c>
      <c r="B6604" s="2" t="s">
        <v>977</v>
      </c>
      <c r="C6604" s="2" t="s">
        <v>7438</v>
      </c>
      <c r="D6604" s="2"/>
    </row>
    <row r="6605" spans="1:4">
      <c r="A6605" s="3">
        <v>343</v>
      </c>
      <c r="B6605" s="3" t="s">
        <v>977</v>
      </c>
      <c r="C6605" s="3" t="s">
        <v>7439</v>
      </c>
      <c r="D6605" s="3"/>
    </row>
    <row r="6606" spans="1:4">
      <c r="A6606" s="2">
        <v>343</v>
      </c>
      <c r="B6606" s="2" t="s">
        <v>977</v>
      </c>
      <c r="C6606" s="2" t="s">
        <v>7440</v>
      </c>
      <c r="D6606" s="2"/>
    </row>
    <row r="6607" spans="1:4">
      <c r="A6607" s="3">
        <v>343</v>
      </c>
      <c r="B6607" s="3" t="s">
        <v>977</v>
      </c>
      <c r="C6607" s="3" t="s">
        <v>7441</v>
      </c>
      <c r="D6607" s="3"/>
    </row>
    <row r="6608" spans="1:4">
      <c r="A6608" s="2">
        <v>343</v>
      </c>
      <c r="B6608" s="2" t="s">
        <v>977</v>
      </c>
      <c r="C6608" s="2" t="s">
        <v>7442</v>
      </c>
      <c r="D6608" s="2"/>
    </row>
    <row r="6609" spans="1:4">
      <c r="A6609" s="3">
        <v>343</v>
      </c>
      <c r="B6609" s="3" t="s">
        <v>977</v>
      </c>
      <c r="C6609" s="3" t="s">
        <v>7443</v>
      </c>
      <c r="D6609" s="3"/>
    </row>
    <row r="6610" spans="1:4">
      <c r="A6610" s="2">
        <v>343</v>
      </c>
      <c r="B6610" s="2" t="s">
        <v>977</v>
      </c>
      <c r="C6610" s="2" t="s">
        <v>7444</v>
      </c>
      <c r="D6610" s="2"/>
    </row>
    <row r="6611" spans="1:4">
      <c r="A6611" s="3">
        <v>344</v>
      </c>
      <c r="B6611" s="3" t="s">
        <v>1003</v>
      </c>
      <c r="C6611" s="3" t="s">
        <v>7445</v>
      </c>
      <c r="D6611" s="3"/>
    </row>
    <row r="6612" spans="1:4">
      <c r="A6612" s="2">
        <v>344</v>
      </c>
      <c r="B6612" s="2" t="s">
        <v>1003</v>
      </c>
      <c r="C6612" s="2" t="s">
        <v>7446</v>
      </c>
      <c r="D6612" s="2"/>
    </row>
    <row r="6613" spans="1:4">
      <c r="A6613" s="3">
        <v>349</v>
      </c>
      <c r="B6613" s="3" t="s">
        <v>1084</v>
      </c>
      <c r="C6613" s="3" t="s">
        <v>7447</v>
      </c>
      <c r="D6613" s="3"/>
    </row>
    <row r="6614" spans="1:4">
      <c r="A6614" s="2">
        <v>354</v>
      </c>
      <c r="B6614" s="2" t="s">
        <v>1085</v>
      </c>
      <c r="C6614" s="2" t="s">
        <v>7448</v>
      </c>
      <c r="D6614" s="2"/>
    </row>
    <row r="6615" spans="1:4">
      <c r="A6615" s="3">
        <v>359</v>
      </c>
      <c r="B6615" s="3" t="s">
        <v>1071</v>
      </c>
      <c r="C6615" s="3" t="s">
        <v>4777</v>
      </c>
      <c r="D6615" s="3"/>
    </row>
    <row r="6616" spans="1:4">
      <c r="A6616" s="2">
        <v>370</v>
      </c>
      <c r="B6616" s="2" t="s">
        <v>1062</v>
      </c>
      <c r="C6616" s="2" t="s">
        <v>4769</v>
      </c>
      <c r="D6616" s="2"/>
    </row>
    <row r="6617" spans="1:4">
      <c r="A6617" s="3">
        <v>370</v>
      </c>
      <c r="B6617" s="3" t="s">
        <v>1062</v>
      </c>
      <c r="C6617" s="3" t="s">
        <v>1062</v>
      </c>
      <c r="D6617" s="3"/>
    </row>
    <row r="6618" spans="1:4">
      <c r="A6618" s="2">
        <v>370</v>
      </c>
      <c r="B6618" s="2" t="s">
        <v>1062</v>
      </c>
      <c r="C6618" s="2" t="s">
        <v>4770</v>
      </c>
      <c r="D6618" s="2"/>
    </row>
    <row r="6619" spans="1:4">
      <c r="A6619" s="3">
        <v>370</v>
      </c>
      <c r="B6619" s="3" t="s">
        <v>1062</v>
      </c>
      <c r="C6619" s="3" t="s">
        <v>4771</v>
      </c>
      <c r="D6619" s="3"/>
    </row>
    <row r="6620" spans="1:4">
      <c r="A6620" s="2">
        <v>370</v>
      </c>
      <c r="B6620" s="2" t="s">
        <v>1062</v>
      </c>
      <c r="C6620" s="2" t="s">
        <v>4772</v>
      </c>
      <c r="D6620" s="2"/>
    </row>
    <row r="6621" spans="1:4">
      <c r="A6621" s="3">
        <v>372</v>
      </c>
      <c r="B6621" s="3" t="s">
        <v>1063</v>
      </c>
      <c r="C6621" s="3" t="s">
        <v>1063</v>
      </c>
      <c r="D6621" s="3"/>
    </row>
    <row r="6622" spans="1:4">
      <c r="A6622" s="2">
        <v>372</v>
      </c>
      <c r="B6622" s="2" t="s">
        <v>1063</v>
      </c>
      <c r="C6622" s="2" t="s">
        <v>4774</v>
      </c>
      <c r="D6622" s="2"/>
    </row>
    <row r="6623" spans="1:4">
      <c r="A6623" s="3">
        <v>389</v>
      </c>
      <c r="B6623" s="3" t="s">
        <v>1097</v>
      </c>
      <c r="C6623" s="3" t="s">
        <v>7449</v>
      </c>
      <c r="D6623" s="3"/>
    </row>
    <row r="6624" spans="1:4">
      <c r="A6624" s="2">
        <v>392</v>
      </c>
      <c r="B6624" s="2" t="s">
        <v>1068</v>
      </c>
      <c r="C6624" s="2" t="s">
        <v>4773</v>
      </c>
      <c r="D6624" s="2"/>
    </row>
    <row r="6625" spans="1:4">
      <c r="A6625" s="3">
        <v>393</v>
      </c>
      <c r="B6625" s="3" t="s">
        <v>1101</v>
      </c>
      <c r="C6625" s="3" t="s">
        <v>7450</v>
      </c>
      <c r="D6625" s="3"/>
    </row>
    <row r="6626" spans="1:4">
      <c r="A6626" s="2">
        <v>393</v>
      </c>
      <c r="B6626" s="2" t="s">
        <v>1101</v>
      </c>
      <c r="C6626" s="2" t="s">
        <v>1101</v>
      </c>
      <c r="D6626" s="2"/>
    </row>
    <row r="6627" spans="1:4">
      <c r="A6627" s="3">
        <v>393</v>
      </c>
      <c r="B6627" s="3" t="s">
        <v>1101</v>
      </c>
      <c r="C6627" s="3" t="s">
        <v>7451</v>
      </c>
      <c r="D6627" s="3"/>
    </row>
    <row r="6628" spans="1:4">
      <c r="A6628" s="2">
        <v>394</v>
      </c>
      <c r="B6628" s="2" t="s">
        <v>1101</v>
      </c>
      <c r="C6628" s="2" t="s">
        <v>7452</v>
      </c>
      <c r="D6628" s="2"/>
    </row>
    <row r="6629" spans="1:4">
      <c r="A6629" s="3">
        <v>394</v>
      </c>
      <c r="B6629" s="3" t="s">
        <v>1101</v>
      </c>
      <c r="C6629" s="3" t="s">
        <v>1101</v>
      </c>
      <c r="D6629" s="3"/>
    </row>
    <row r="6630" spans="1:4">
      <c r="A6630" s="2">
        <v>394</v>
      </c>
      <c r="B6630" s="2" t="s">
        <v>1101</v>
      </c>
      <c r="C6630" s="2" t="s">
        <v>7451</v>
      </c>
      <c r="D6630" s="2"/>
    </row>
    <row r="6631" spans="1:4">
      <c r="A6631" s="3">
        <v>396</v>
      </c>
      <c r="B6631" s="3" t="s">
        <v>1068</v>
      </c>
      <c r="C6631" s="3" t="s">
        <v>4773</v>
      </c>
      <c r="D6631" s="3"/>
    </row>
    <row r="6632" spans="1:4">
      <c r="A6632" s="2">
        <v>401</v>
      </c>
      <c r="B6632" s="2" t="s">
        <v>1065</v>
      </c>
      <c r="C6632" s="2" t="s">
        <v>1065</v>
      </c>
      <c r="D6632" s="2"/>
    </row>
    <row r="6633" spans="1:4">
      <c r="A6633" s="3">
        <v>401</v>
      </c>
      <c r="B6633" s="3" t="s">
        <v>1065</v>
      </c>
      <c r="C6633" s="3" t="s">
        <v>7453</v>
      </c>
      <c r="D6633" s="3"/>
    </row>
    <row r="6634" spans="1:4">
      <c r="A6634" s="2">
        <v>401</v>
      </c>
      <c r="B6634" s="2" t="s">
        <v>1065</v>
      </c>
      <c r="C6634" s="2" t="s">
        <v>7454</v>
      </c>
      <c r="D6634" s="2"/>
    </row>
    <row r="6635" spans="1:4">
      <c r="A6635" s="3">
        <v>402</v>
      </c>
      <c r="B6635" s="3" t="s">
        <v>1120</v>
      </c>
      <c r="C6635" s="3" t="s">
        <v>7455</v>
      </c>
      <c r="D6635" s="3"/>
    </row>
    <row r="6636" spans="1:4">
      <c r="A6636" s="2">
        <v>402</v>
      </c>
      <c r="B6636" s="2" t="s">
        <v>1120</v>
      </c>
      <c r="C6636" s="2" t="s">
        <v>7456</v>
      </c>
      <c r="D6636" s="2"/>
    </row>
    <row r="6637" spans="1:4">
      <c r="A6637" s="3">
        <v>404</v>
      </c>
      <c r="B6637" s="3" t="s">
        <v>1116</v>
      </c>
      <c r="C6637" s="3" t="s">
        <v>7457</v>
      </c>
      <c r="D6637" s="3"/>
    </row>
    <row r="6638" spans="1:4">
      <c r="A6638" s="2">
        <v>404</v>
      </c>
      <c r="B6638" s="2" t="s">
        <v>1116</v>
      </c>
      <c r="C6638" s="2" t="s">
        <v>7458</v>
      </c>
      <c r="D6638" s="2"/>
    </row>
    <row r="6639" spans="1:4">
      <c r="A6639" s="3">
        <v>404</v>
      </c>
      <c r="B6639" s="3" t="s">
        <v>1116</v>
      </c>
      <c r="C6639" s="3" t="s">
        <v>7459</v>
      </c>
      <c r="D6639" s="3"/>
    </row>
    <row r="6640" spans="1:4">
      <c r="A6640" s="2">
        <v>404</v>
      </c>
      <c r="B6640" s="2" t="s">
        <v>1116</v>
      </c>
      <c r="C6640" s="2" t="s">
        <v>7460</v>
      </c>
      <c r="D6640" s="2"/>
    </row>
    <row r="6641" spans="1:4">
      <c r="A6641" s="3">
        <v>404</v>
      </c>
      <c r="B6641" s="3" t="s">
        <v>1116</v>
      </c>
      <c r="C6641" s="3" t="s">
        <v>7461</v>
      </c>
      <c r="D6641" s="3"/>
    </row>
    <row r="6642" spans="1:4">
      <c r="A6642" s="2">
        <v>404</v>
      </c>
      <c r="B6642" s="2" t="s">
        <v>1116</v>
      </c>
      <c r="C6642" s="2" t="s">
        <v>7462</v>
      </c>
      <c r="D6642" s="2"/>
    </row>
    <row r="6643" spans="1:4">
      <c r="A6643" s="3">
        <v>404</v>
      </c>
      <c r="B6643" s="3" t="s">
        <v>1116</v>
      </c>
      <c r="C6643" s="3" t="s">
        <v>7463</v>
      </c>
      <c r="D6643" s="3"/>
    </row>
    <row r="6644" spans="1:4">
      <c r="A6644" s="2">
        <v>404</v>
      </c>
      <c r="B6644" s="2" t="s">
        <v>1116</v>
      </c>
      <c r="C6644" s="2" t="s">
        <v>7464</v>
      </c>
      <c r="D6644" s="2"/>
    </row>
    <row r="6645" spans="1:4">
      <c r="A6645" s="3">
        <v>404</v>
      </c>
      <c r="B6645" s="3" t="s">
        <v>1116</v>
      </c>
      <c r="C6645" s="3" t="s">
        <v>7465</v>
      </c>
      <c r="D6645" s="3"/>
    </row>
    <row r="6646" spans="1:4">
      <c r="A6646" s="2">
        <v>404</v>
      </c>
      <c r="B6646" s="2" t="s">
        <v>1116</v>
      </c>
      <c r="C6646" s="2" t="s">
        <v>7466</v>
      </c>
      <c r="D6646" s="2"/>
    </row>
    <row r="6647" spans="1:4">
      <c r="A6647" s="3">
        <v>404</v>
      </c>
      <c r="B6647" s="3" t="s">
        <v>1116</v>
      </c>
      <c r="C6647" s="3" t="s">
        <v>7467</v>
      </c>
      <c r="D6647" s="3"/>
    </row>
    <row r="6648" spans="1:4">
      <c r="A6648" s="2">
        <v>404</v>
      </c>
      <c r="B6648" s="2" t="s">
        <v>1116</v>
      </c>
      <c r="C6648" s="2" t="s">
        <v>7468</v>
      </c>
      <c r="D6648" s="2"/>
    </row>
    <row r="6649" spans="1:4">
      <c r="A6649" s="3">
        <v>404</v>
      </c>
      <c r="B6649" s="3" t="s">
        <v>1116</v>
      </c>
      <c r="C6649" s="3" t="s">
        <v>7469</v>
      </c>
      <c r="D6649" s="3"/>
    </row>
    <row r="6650" spans="1:4">
      <c r="A6650" s="2">
        <v>404</v>
      </c>
      <c r="B6650" s="2" t="s">
        <v>1116</v>
      </c>
      <c r="C6650" s="2" t="s">
        <v>7470</v>
      </c>
      <c r="D6650" s="2"/>
    </row>
    <row r="6651" spans="1:4">
      <c r="A6651" s="3">
        <v>404</v>
      </c>
      <c r="B6651" s="3" t="s">
        <v>1116</v>
      </c>
      <c r="C6651" s="3" t="s">
        <v>7471</v>
      </c>
      <c r="D6651" s="3"/>
    </row>
    <row r="6652" spans="1:4">
      <c r="A6652" s="2">
        <v>404</v>
      </c>
      <c r="B6652" s="2" t="s">
        <v>1116</v>
      </c>
      <c r="C6652" s="2" t="s">
        <v>7472</v>
      </c>
      <c r="D6652" s="2"/>
    </row>
    <row r="6653" spans="1:4">
      <c r="A6653" s="3">
        <v>404</v>
      </c>
      <c r="B6653" s="3" t="s">
        <v>1116</v>
      </c>
      <c r="C6653" s="3" t="s">
        <v>7473</v>
      </c>
      <c r="D6653" s="3"/>
    </row>
    <row r="6654" spans="1:4">
      <c r="A6654" s="2">
        <v>404</v>
      </c>
      <c r="B6654" s="2" t="s">
        <v>1116</v>
      </c>
      <c r="C6654" s="2" t="s">
        <v>7474</v>
      </c>
      <c r="D6654" s="2"/>
    </row>
    <row r="6655" spans="1:4">
      <c r="A6655" s="3">
        <v>404</v>
      </c>
      <c r="B6655" s="3" t="s">
        <v>1116</v>
      </c>
      <c r="C6655" s="3" t="s">
        <v>7475</v>
      </c>
      <c r="D6655" s="3"/>
    </row>
    <row r="6656" spans="1:4">
      <c r="A6656" s="2">
        <v>404</v>
      </c>
      <c r="B6656" s="2" t="s">
        <v>1116</v>
      </c>
      <c r="C6656" s="2" t="s">
        <v>7476</v>
      </c>
      <c r="D6656" s="2"/>
    </row>
    <row r="6657" spans="1:4">
      <c r="A6657" s="3">
        <v>404</v>
      </c>
      <c r="B6657" s="3" t="s">
        <v>1116</v>
      </c>
      <c r="C6657" s="3">
        <f> −ϵ f∇pf+ ∇(ϵfτf)+ϵfρfg−Ffs, (16)</f>
        <v>0</v>
      </c>
      <c r="D6657" s="3"/>
    </row>
    <row r="6658" spans="1:4">
      <c r="A6658" s="2">
        <v>404</v>
      </c>
      <c r="B6658" s="2" t="s">
        <v>1116</v>
      </c>
      <c r="C6658" s="2" t="s">
        <v>7477</v>
      </c>
      <c r="D6658" s="2"/>
    </row>
    <row r="6659" spans="1:4">
      <c r="A6659" s="3">
        <v>404</v>
      </c>
      <c r="B6659" s="3" t="s">
        <v>1116</v>
      </c>
      <c r="C6659" s="3" t="s">
        <v>7478</v>
      </c>
      <c r="D6659" s="3"/>
    </row>
    <row r="6660" spans="1:4">
      <c r="A6660" s="2">
        <v>404</v>
      </c>
      <c r="B6660" s="2" t="s">
        <v>1116</v>
      </c>
      <c r="C6660" s="2" t="s">
        <v>7479</v>
      </c>
      <c r="D6660" s="2"/>
    </row>
    <row r="6661" spans="1:4">
      <c r="A6661" s="3">
        <v>404</v>
      </c>
      <c r="B6661" s="3" t="s">
        <v>1116</v>
      </c>
      <c r="C6661" s="3" t="s">
        <v>7480</v>
      </c>
      <c r="D6661" s="3"/>
    </row>
    <row r="6662" spans="1:4">
      <c r="A6662" s="2">
        <v>404</v>
      </c>
      <c r="B6662" s="2" t="s">
        <v>1116</v>
      </c>
      <c r="C6662" s="2" t="s">
        <v>7481</v>
      </c>
      <c r="D6662" s="2"/>
    </row>
    <row r="6663" spans="1:4">
      <c r="A6663" s="3">
        <v>404</v>
      </c>
      <c r="B6663" s="3" t="s">
        <v>1116</v>
      </c>
      <c r="C6663" s="3" t="s">
        <v>7482</v>
      </c>
      <c r="D6663" s="3"/>
    </row>
    <row r="6664" spans="1:4">
      <c r="A6664" s="2">
        <v>404</v>
      </c>
      <c r="B6664" s="2" t="s">
        <v>1116</v>
      </c>
      <c r="C6664" s="2" t="s">
        <v>7483</v>
      </c>
      <c r="D6664" s="2"/>
    </row>
    <row r="6665" spans="1:4">
      <c r="A6665" s="3">
        <v>404</v>
      </c>
      <c r="B6665" s="3" t="s">
        <v>1116</v>
      </c>
      <c r="C6665" s="3" t="s">
        <v>7484</v>
      </c>
      <c r="D6665" s="3"/>
    </row>
    <row r="6666" spans="1:4">
      <c r="A6666" s="2">
        <v>404</v>
      </c>
      <c r="B6666" s="2" t="s">
        <v>1116</v>
      </c>
      <c r="C6666" s="2" t="s">
        <v>7485</v>
      </c>
      <c r="D6666" s="2"/>
    </row>
    <row r="6667" spans="1:4">
      <c r="A6667" s="3">
        <v>404</v>
      </c>
      <c r="B6667" s="3" t="s">
        <v>1116</v>
      </c>
      <c r="C6667" s="3" t="s">
        <v>7486</v>
      </c>
      <c r="D6667" s="3"/>
    </row>
    <row r="6668" spans="1:4">
      <c r="A6668" s="2">
        <v>404</v>
      </c>
      <c r="B6668" s="2" t="s">
        <v>1116</v>
      </c>
      <c r="C6668" s="2" t="s">
        <v>7487</v>
      </c>
      <c r="D6668" s="2"/>
    </row>
    <row r="6669" spans="1:4">
      <c r="A6669" s="3">
        <v>404</v>
      </c>
      <c r="B6669" s="3" t="s">
        <v>1116</v>
      </c>
      <c r="C6669" s="3" t="s">
        <v>7488</v>
      </c>
      <c r="D6669" s="3"/>
    </row>
    <row r="6670" spans="1:4">
      <c r="A6670" s="2">
        <v>404</v>
      </c>
      <c r="B6670" s="2" t="s">
        <v>1116</v>
      </c>
      <c r="C6670" s="2" t="s">
        <v>7489</v>
      </c>
      <c r="D6670" s="2"/>
    </row>
    <row r="6671" spans="1:4">
      <c r="A6671" s="3">
        <v>404</v>
      </c>
      <c r="B6671" s="3" t="s">
        <v>1116</v>
      </c>
      <c r="C6671" s="3" t="s">
        <v>7490</v>
      </c>
      <c r="D6671" s="3"/>
    </row>
    <row r="6672" spans="1:4">
      <c r="A6672" s="2">
        <v>404</v>
      </c>
      <c r="B6672" s="2" t="s">
        <v>1116</v>
      </c>
      <c r="C6672" s="2" t="s">
        <v>7491</v>
      </c>
      <c r="D6672" s="2"/>
    </row>
    <row r="6673" spans="1:4">
      <c r="A6673" s="3">
        <v>404</v>
      </c>
      <c r="B6673" s="3" t="s">
        <v>1116</v>
      </c>
      <c r="C6673" s="3" t="s">
        <v>7492</v>
      </c>
      <c r="D6673" s="3"/>
    </row>
    <row r="6674" spans="1:4">
      <c r="A6674" s="2">
        <v>404</v>
      </c>
      <c r="B6674" s="2" t="s">
        <v>1116</v>
      </c>
      <c r="C6674" s="2" t="s">
        <v>7457</v>
      </c>
      <c r="D6674" s="2"/>
    </row>
    <row r="6675" spans="1:4">
      <c r="A6675" s="3">
        <v>404</v>
      </c>
      <c r="B6675" s="3" t="s">
        <v>1116</v>
      </c>
      <c r="C6675" s="3" t="s">
        <v>7493</v>
      </c>
      <c r="D6675" s="3"/>
    </row>
    <row r="6676" spans="1:4">
      <c r="A6676" s="2">
        <v>404</v>
      </c>
      <c r="B6676" s="2" t="s">
        <v>1116</v>
      </c>
      <c r="C6676" s="2" t="s">
        <v>7494</v>
      </c>
      <c r="D6676" s="2"/>
    </row>
    <row r="6677" spans="1:4">
      <c r="A6677" s="3">
        <v>404</v>
      </c>
      <c r="B6677" s="3" t="s">
        <v>1116</v>
      </c>
      <c r="C6677" s="3" t="s">
        <v>7495</v>
      </c>
      <c r="D6677" s="3"/>
    </row>
    <row r="6678" spans="1:4">
      <c r="A6678" s="2">
        <v>404</v>
      </c>
      <c r="B6678" s="2" t="s">
        <v>1116</v>
      </c>
      <c r="C6678" s="2" t="s">
        <v>7496</v>
      </c>
      <c r="D6678" s="2"/>
    </row>
    <row r="6679" spans="1:4">
      <c r="A6679" s="3">
        <v>404</v>
      </c>
      <c r="B6679" s="3" t="s">
        <v>1116</v>
      </c>
      <c r="C6679" s="3" t="s">
        <v>7497</v>
      </c>
      <c r="D6679" s="3"/>
    </row>
    <row r="6680" spans="1:4">
      <c r="A6680" s="2">
        <v>404</v>
      </c>
      <c r="B6680" s="2" t="s">
        <v>1116</v>
      </c>
      <c r="C6680" s="2" t="s">
        <v>7498</v>
      </c>
      <c r="D6680" s="2"/>
    </row>
    <row r="6681" spans="1:4">
      <c r="A6681" s="3">
        <v>404</v>
      </c>
      <c r="B6681" s="3" t="s">
        <v>1116</v>
      </c>
      <c r="C6681" s="3" t="s">
        <v>7499</v>
      </c>
      <c r="D6681" s="3"/>
    </row>
    <row r="6682" spans="1:4">
      <c r="A6682" s="2">
        <v>404</v>
      </c>
      <c r="B6682" s="2" t="s">
        <v>1116</v>
      </c>
      <c r="C6682" s="2" t="s">
        <v>7500</v>
      </c>
      <c r="D6682" s="2"/>
    </row>
    <row r="6683" spans="1:4">
      <c r="A6683" s="3">
        <v>404</v>
      </c>
      <c r="B6683" s="3" t="s">
        <v>1116</v>
      </c>
      <c r="C6683" s="3" t="s">
        <v>7501</v>
      </c>
      <c r="D6683" s="3"/>
    </row>
    <row r="6684" spans="1:4">
      <c r="A6684" s="2">
        <v>404</v>
      </c>
      <c r="B6684" s="2" t="s">
        <v>1116</v>
      </c>
      <c r="C6684" s="2" t="s">
        <v>7502</v>
      </c>
      <c r="D6684" s="2"/>
    </row>
    <row r="6685" spans="1:4">
      <c r="A6685" s="3">
        <v>404</v>
      </c>
      <c r="B6685" s="3" t="s">
        <v>1116</v>
      </c>
      <c r="C6685" s="3" t="s">
        <v>7503</v>
      </c>
      <c r="D6685" s="3"/>
    </row>
    <row r="6686" spans="1:4">
      <c r="A6686" s="2">
        <v>404</v>
      </c>
      <c r="B6686" s="2" t="s">
        <v>1116</v>
      </c>
      <c r="C6686" s="2" t="s">
        <v>7504</v>
      </c>
      <c r="D6686" s="2"/>
    </row>
    <row r="6687" spans="1:4">
      <c r="A6687" s="3">
        <v>408</v>
      </c>
      <c r="B6687" s="3" t="s">
        <v>1131</v>
      </c>
      <c r="C6687" s="3" t="s">
        <v>7505</v>
      </c>
      <c r="D6687" s="3"/>
    </row>
    <row r="6688" spans="1:4">
      <c r="A6688" s="2">
        <v>408</v>
      </c>
      <c r="B6688" s="2" t="s">
        <v>1131</v>
      </c>
      <c r="C6688" s="2" t="s">
        <v>7506</v>
      </c>
      <c r="D6688" s="2"/>
    </row>
    <row r="6689" spans="1:4">
      <c r="A6689" s="3">
        <v>408</v>
      </c>
      <c r="B6689" s="3" t="s">
        <v>1131</v>
      </c>
      <c r="C6689" s="3" t="s">
        <v>7507</v>
      </c>
      <c r="D6689" s="3"/>
    </row>
    <row r="6690" spans="1:4">
      <c r="A6690" s="2">
        <v>408</v>
      </c>
      <c r="B6690" s="2" t="s">
        <v>1131</v>
      </c>
      <c r="C6690" s="2" t="s">
        <v>7508</v>
      </c>
      <c r="D6690" s="2"/>
    </row>
    <row r="6691" spans="1:4">
      <c r="A6691" s="3">
        <v>408</v>
      </c>
      <c r="B6691" s="3" t="s">
        <v>1131</v>
      </c>
      <c r="C6691" s="3" t="s">
        <v>3813</v>
      </c>
      <c r="D6691" s="3"/>
    </row>
    <row r="6692" spans="1:4">
      <c r="A6692" s="2">
        <v>409</v>
      </c>
      <c r="B6692" s="2" t="s">
        <v>1126</v>
      </c>
      <c r="C6692" s="2" t="s">
        <v>7509</v>
      </c>
      <c r="D6692" s="2"/>
    </row>
    <row r="6693" spans="1:4">
      <c r="A6693" s="3">
        <v>409</v>
      </c>
      <c r="B6693" s="3" t="s">
        <v>1126</v>
      </c>
      <c r="C6693" s="3" t="s">
        <v>7510</v>
      </c>
      <c r="D6693" s="3"/>
    </row>
    <row r="6694" spans="1:4">
      <c r="A6694" s="2">
        <v>409</v>
      </c>
      <c r="B6694" s="2" t="s">
        <v>1126</v>
      </c>
      <c r="C6694" s="2">
        <f>6r2(dr/dt )2−3α2I2−4∫t</f>
        <v>0</v>
      </c>
      <c r="D6694" s="2"/>
    </row>
    <row r="6695" spans="1:4">
      <c r="A6695" s="3">
        <v>409</v>
      </c>
      <c r="B6695" s="3" t="s">
        <v>1126</v>
      </c>
      <c r="C6695" s="3" t="s">
        <v>7511</v>
      </c>
      <c r="D6695" s="3"/>
    </row>
    <row r="6696" spans="1:4">
      <c r="A6696" s="2">
        <v>409</v>
      </c>
      <c r="B6696" s="2" t="s">
        <v>1126</v>
      </c>
      <c r="C6696" s="2" t="s">
        <v>7512</v>
      </c>
      <c r="D6696" s="2"/>
    </row>
    <row r="6697" spans="1:4">
      <c r="A6697" s="3">
        <v>409</v>
      </c>
      <c r="B6697" s="3" t="s">
        <v>1126</v>
      </c>
      <c r="C6697" s="3" t="s">
        <v>7513</v>
      </c>
      <c r="D6697" s="3"/>
    </row>
    <row r="6698" spans="1:4">
      <c r="A6698" s="2">
        <v>409</v>
      </c>
      <c r="B6698" s="2" t="s">
        <v>1126</v>
      </c>
      <c r="C6698" s="2" t="s">
        <v>7514</v>
      </c>
      <c r="D6698" s="2"/>
    </row>
    <row r="6699" spans="1:4">
      <c r="A6699" s="3">
        <v>409</v>
      </c>
      <c r="B6699" s="3" t="s">
        <v>1126</v>
      </c>
      <c r="C6699" s="3" t="s">
        <v>7515</v>
      </c>
      <c r="D6699" s="3"/>
    </row>
    <row r="6700" spans="1:4">
      <c r="A6700" s="2">
        <v>409</v>
      </c>
      <c r="B6700" s="2" t="s">
        <v>1126</v>
      </c>
      <c r="C6700" s="2" t="s">
        <v>7516</v>
      </c>
      <c r="D6700" s="2"/>
    </row>
    <row r="6701" spans="1:4">
      <c r="A6701" s="3">
        <v>410</v>
      </c>
      <c r="B6701" s="3" t="s">
        <v>1123</v>
      </c>
      <c r="C6701" s="3">
        <f>6r2(dr/dt )2−3 (α′)2I2−4∫t</f>
        <v>0</v>
      </c>
      <c r="D6701" s="3"/>
    </row>
    <row r="6702" spans="1:4">
      <c r="A6702" s="2">
        <v>410</v>
      </c>
      <c r="B6702" s="2" t="s">
        <v>1123</v>
      </c>
      <c r="C6702" s="2" t="s">
        <v>7517</v>
      </c>
      <c r="D6702" s="2"/>
    </row>
    <row r="6703" spans="1:4">
      <c r="A6703" s="3">
        <v>410</v>
      </c>
      <c r="B6703" s="3" t="s">
        <v>1123</v>
      </c>
      <c r="C6703" s="3" t="s">
        <v>7518</v>
      </c>
      <c r="D6703" s="3"/>
    </row>
    <row r="6704" spans="1:4">
      <c r="A6704" s="2">
        <v>410</v>
      </c>
      <c r="B6704" s="2" t="s">
        <v>1123</v>
      </c>
      <c r="C6704" s="2" t="s">
        <v>7511</v>
      </c>
      <c r="D6704" s="2"/>
    </row>
    <row r="6705" spans="1:4">
      <c r="A6705" s="3">
        <v>410</v>
      </c>
      <c r="B6705" s="3" t="s">
        <v>1123</v>
      </c>
      <c r="C6705" s="3" t="s">
        <v>7512</v>
      </c>
      <c r="D6705" s="3"/>
    </row>
    <row r="6706" spans="1:4">
      <c r="A6706" s="2">
        <v>410</v>
      </c>
      <c r="B6706" s="2" t="s">
        <v>1123</v>
      </c>
      <c r="C6706" s="2" t="s">
        <v>7519</v>
      </c>
      <c r="D6706" s="2"/>
    </row>
    <row r="6707" spans="1:4">
      <c r="A6707" s="3">
        <v>410</v>
      </c>
      <c r="B6707" s="3" t="s">
        <v>1123</v>
      </c>
      <c r="C6707" s="3" t="s">
        <v>7520</v>
      </c>
      <c r="D6707" s="3"/>
    </row>
    <row r="6708" spans="1:4">
      <c r="A6708" s="2">
        <v>410</v>
      </c>
      <c r="B6708" s="2" t="s">
        <v>1123</v>
      </c>
      <c r="C6708" s="2" t="s">
        <v>7521</v>
      </c>
      <c r="D6708" s="2"/>
    </row>
    <row r="6709" spans="1:4">
      <c r="A6709" s="3">
        <v>410</v>
      </c>
      <c r="B6709" s="3" t="s">
        <v>1123</v>
      </c>
      <c r="C6709" s="3" t="s">
        <v>7522</v>
      </c>
      <c r="D6709" s="3"/>
    </row>
    <row r="6710" spans="1:4">
      <c r="A6710" s="2">
        <v>410</v>
      </c>
      <c r="B6710" s="2" t="s">
        <v>1123</v>
      </c>
      <c r="C6710" s="2" t="s">
        <v>7523</v>
      </c>
      <c r="D6710" s="2"/>
    </row>
    <row r="6711" spans="1:4">
      <c r="A6711" s="3">
        <v>410</v>
      </c>
      <c r="B6711" s="3" t="s">
        <v>1123</v>
      </c>
      <c r="C6711" s="3" t="s">
        <v>7524</v>
      </c>
      <c r="D6711" s="3"/>
    </row>
  </sheetData>
  <hyperlinks>
    <hyperlink ref="C345" r:id="rId1"/>
    <hyperlink ref="C356" r:id="rId2"/>
    <hyperlink ref="C411" r:id="rId3"/>
    <hyperlink ref="C445" r:id="rId4"/>
    <hyperlink ref="C448" r:id="rId5"/>
    <hyperlink ref="C456" r:id="rId6"/>
    <hyperlink ref="C457" r:id="rId7"/>
    <hyperlink ref="C2108" r:id="rId8"/>
    <hyperlink ref="C2176" r:id="rId9"/>
    <hyperlink ref="C2922" r:id="rId10"/>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9"/>
  <sheetViews>
    <sheetView workbookViewId="0">
      <pane ySplit="1" topLeftCell="A2" activePane="bottomLeft" state="frozen"/>
      <selection pane="bottomLeft"/>
    </sheetView>
  </sheetViews>
  <sheetFormatPr defaultRowHeight="15"/>
  <cols>
    <col min="1" max="1" width="25.7109375" customWidth="1"/>
    <col min="2" max="3" width="15.7109375" customWidth="1"/>
  </cols>
  <sheetData>
    <row r="1" spans="1:3">
      <c r="A1" s="1" t="s">
        <v>7525</v>
      </c>
      <c r="B1" s="1" t="s">
        <v>7526</v>
      </c>
      <c r="C1" s="1" t="s">
        <v>7527</v>
      </c>
    </row>
    <row r="2" spans="1:3">
      <c r="A2" s="2" t="s">
        <v>7528</v>
      </c>
      <c r="B2" s="2">
        <v>1498</v>
      </c>
      <c r="C2" s="2">
        <v>211</v>
      </c>
    </row>
    <row r="3" spans="1:3">
      <c r="A3" s="3" t="s">
        <v>7529</v>
      </c>
      <c r="B3" s="3">
        <v>957</v>
      </c>
      <c r="C3" s="3">
        <v>154</v>
      </c>
    </row>
    <row r="4" spans="1:3">
      <c r="A4" s="2" t="s">
        <v>7530</v>
      </c>
      <c r="B4" s="2">
        <v>865</v>
      </c>
      <c r="C4" s="2">
        <v>114</v>
      </c>
    </row>
    <row r="5" spans="1:3">
      <c r="A5" s="3" t="s">
        <v>7531</v>
      </c>
      <c r="B5" s="3">
        <v>618</v>
      </c>
      <c r="C5" s="3">
        <v>82</v>
      </c>
    </row>
    <row r="6" spans="1:3">
      <c r="A6" s="2" t="s">
        <v>7532</v>
      </c>
      <c r="B6" s="2">
        <v>556</v>
      </c>
      <c r="C6" s="2">
        <v>73</v>
      </c>
    </row>
    <row r="7" spans="1:3">
      <c r="A7" s="3" t="s">
        <v>7533</v>
      </c>
      <c r="B7" s="3">
        <v>407</v>
      </c>
      <c r="C7" s="3">
        <v>51</v>
      </c>
    </row>
    <row r="8" spans="1:3">
      <c r="A8" s="2" t="s">
        <v>7534</v>
      </c>
      <c r="B8" s="2">
        <v>341</v>
      </c>
      <c r="C8" s="2">
        <v>96</v>
      </c>
    </row>
    <row r="9" spans="1:3">
      <c r="A9" s="3" t="s">
        <v>7535</v>
      </c>
      <c r="B9" s="3">
        <v>319</v>
      </c>
      <c r="C9" s="3">
        <v>88</v>
      </c>
    </row>
    <row r="10" spans="1:3">
      <c r="A10" s="2" t="s">
        <v>7536</v>
      </c>
      <c r="B10" s="2">
        <v>269</v>
      </c>
      <c r="C10" s="2">
        <v>68</v>
      </c>
    </row>
    <row r="11" spans="1:3">
      <c r="A11" s="3" t="s">
        <v>7537</v>
      </c>
      <c r="B11" s="3">
        <v>224</v>
      </c>
      <c r="C11" s="3">
        <v>59</v>
      </c>
    </row>
    <row r="12" spans="1:3">
      <c r="A12" s="2" t="s">
        <v>7538</v>
      </c>
      <c r="B12" s="2">
        <v>218</v>
      </c>
      <c r="C12" s="2">
        <v>36</v>
      </c>
    </row>
    <row r="13" spans="1:3">
      <c r="A13" s="3" t="s">
        <v>7539</v>
      </c>
      <c r="B13" s="3">
        <v>196</v>
      </c>
      <c r="C13" s="3">
        <v>67</v>
      </c>
    </row>
    <row r="14" spans="1:3">
      <c r="A14" s="2" t="s">
        <v>7540</v>
      </c>
      <c r="B14" s="2">
        <v>168</v>
      </c>
      <c r="C14" s="2">
        <v>77</v>
      </c>
    </row>
    <row r="15" spans="1:3">
      <c r="A15" s="3" t="s">
        <v>7541</v>
      </c>
      <c r="B15" s="3">
        <v>151</v>
      </c>
      <c r="C15" s="3">
        <v>55</v>
      </c>
    </row>
    <row r="16" spans="1:3">
      <c r="A16" s="2" t="s">
        <v>7542</v>
      </c>
      <c r="B16" s="2">
        <v>136</v>
      </c>
      <c r="C16" s="2">
        <v>28</v>
      </c>
    </row>
    <row r="17" spans="1:3">
      <c r="A17" s="3" t="s">
        <v>7543</v>
      </c>
      <c r="B17" s="3">
        <v>126</v>
      </c>
      <c r="C17" s="3">
        <v>53</v>
      </c>
    </row>
    <row r="18" spans="1:3">
      <c r="A18" s="2" t="s">
        <v>7544</v>
      </c>
      <c r="B18" s="2">
        <v>117</v>
      </c>
      <c r="C18" s="2">
        <v>49</v>
      </c>
    </row>
    <row r="19" spans="1:3">
      <c r="A19" s="3" t="s">
        <v>7545</v>
      </c>
      <c r="B19" s="3">
        <v>113</v>
      </c>
      <c r="C19" s="3">
        <v>45</v>
      </c>
    </row>
    <row r="20" spans="1:3">
      <c r="A20" s="2" t="s">
        <v>7546</v>
      </c>
      <c r="B20" s="2">
        <v>89</v>
      </c>
      <c r="C20" s="2">
        <v>41</v>
      </c>
    </row>
    <row r="21" spans="1:3">
      <c r="A21" s="3" t="s">
        <v>7547</v>
      </c>
      <c r="B21" s="3">
        <v>75</v>
      </c>
      <c r="C21" s="3">
        <v>11</v>
      </c>
    </row>
    <row r="22" spans="1:3">
      <c r="A22" s="2" t="s">
        <v>7548</v>
      </c>
      <c r="B22" s="2">
        <v>74</v>
      </c>
      <c r="C22" s="2">
        <v>16</v>
      </c>
    </row>
    <row r="23" spans="1:3">
      <c r="A23" s="3" t="s">
        <v>7549</v>
      </c>
      <c r="B23" s="3">
        <v>66</v>
      </c>
      <c r="C23" s="3">
        <v>25</v>
      </c>
    </row>
    <row r="24" spans="1:3">
      <c r="A24" s="2" t="s">
        <v>7550</v>
      </c>
      <c r="B24" s="2">
        <v>64</v>
      </c>
      <c r="C24" s="2">
        <v>13</v>
      </c>
    </row>
    <row r="25" spans="1:3">
      <c r="A25" s="3" t="s">
        <v>7551</v>
      </c>
      <c r="B25" s="3">
        <v>64</v>
      </c>
      <c r="C25" s="3">
        <v>31</v>
      </c>
    </row>
    <row r="26" spans="1:3">
      <c r="A26" s="2" t="s">
        <v>7552</v>
      </c>
      <c r="B26" s="2">
        <v>53</v>
      </c>
      <c r="C26" s="2">
        <v>25</v>
      </c>
    </row>
    <row r="27" spans="1:3">
      <c r="A27" s="3" t="s">
        <v>7553</v>
      </c>
      <c r="B27" s="3">
        <v>48</v>
      </c>
      <c r="C27" s="3">
        <v>15</v>
      </c>
    </row>
    <row r="28" spans="1:3">
      <c r="A28" s="2" t="s">
        <v>7554</v>
      </c>
      <c r="B28" s="2">
        <v>44</v>
      </c>
      <c r="C28" s="2">
        <v>22</v>
      </c>
    </row>
    <row r="29" spans="1:3">
      <c r="A29" s="3" t="s">
        <v>7555</v>
      </c>
      <c r="B29" s="3">
        <v>41</v>
      </c>
      <c r="C29" s="3">
        <v>14</v>
      </c>
    </row>
    <row r="30" spans="1:3">
      <c r="A30" s="2" t="s">
        <v>7556</v>
      </c>
      <c r="B30" s="2">
        <v>37</v>
      </c>
      <c r="C30" s="2">
        <v>18</v>
      </c>
    </row>
    <row r="31" spans="1:3">
      <c r="A31" s="3" t="s">
        <v>7557</v>
      </c>
      <c r="B31" s="3">
        <v>36</v>
      </c>
      <c r="C31" s="3">
        <v>20</v>
      </c>
    </row>
    <row r="32" spans="1:3">
      <c r="A32" s="2" t="s">
        <v>7558</v>
      </c>
      <c r="B32" s="2">
        <v>31</v>
      </c>
      <c r="C32" s="2">
        <v>13</v>
      </c>
    </row>
    <row r="33" spans="1:3">
      <c r="A33" s="3" t="s">
        <v>7559</v>
      </c>
      <c r="B33" s="3">
        <v>31</v>
      </c>
      <c r="C33" s="3">
        <v>15</v>
      </c>
    </row>
    <row r="34" spans="1:3">
      <c r="A34" s="2" t="s">
        <v>7560</v>
      </c>
      <c r="B34" s="2">
        <v>30</v>
      </c>
      <c r="C34" s="2">
        <v>3</v>
      </c>
    </row>
    <row r="35" spans="1:3">
      <c r="A35" s="3" t="s">
        <v>7561</v>
      </c>
      <c r="B35" s="3">
        <v>27</v>
      </c>
      <c r="C35" s="3">
        <v>15</v>
      </c>
    </row>
    <row r="36" spans="1:3">
      <c r="A36" s="2" t="s">
        <v>7562</v>
      </c>
      <c r="B36" s="2">
        <v>26</v>
      </c>
      <c r="C36" s="2">
        <v>16</v>
      </c>
    </row>
    <row r="37" spans="1:3">
      <c r="A37" s="3" t="s">
        <v>7563</v>
      </c>
      <c r="B37" s="3">
        <v>25</v>
      </c>
      <c r="C37" s="3">
        <v>12</v>
      </c>
    </row>
    <row r="38" spans="1:3">
      <c r="A38" s="2" t="s">
        <v>7564</v>
      </c>
      <c r="B38" s="2">
        <v>23</v>
      </c>
      <c r="C38" s="2">
        <v>8</v>
      </c>
    </row>
    <row r="39" spans="1:3">
      <c r="A39" s="3" t="s">
        <v>7565</v>
      </c>
      <c r="B39" s="3">
        <v>22</v>
      </c>
      <c r="C39" s="3">
        <v>17</v>
      </c>
    </row>
    <row r="40" spans="1:3">
      <c r="A40" s="2" t="s">
        <v>7566</v>
      </c>
      <c r="B40" s="2">
        <v>20</v>
      </c>
      <c r="C40" s="2">
        <v>14</v>
      </c>
    </row>
    <row r="41" spans="1:3">
      <c r="A41" s="3" t="s">
        <v>7567</v>
      </c>
      <c r="B41" s="3">
        <v>19</v>
      </c>
      <c r="C41" s="3">
        <v>6</v>
      </c>
    </row>
    <row r="42" spans="1:3">
      <c r="A42" s="2" t="s">
        <v>7568</v>
      </c>
      <c r="B42" s="2">
        <v>19</v>
      </c>
      <c r="C42" s="2">
        <v>14</v>
      </c>
    </row>
    <row r="43" spans="1:3">
      <c r="A43" s="3" t="s">
        <v>7569</v>
      </c>
      <c r="B43" s="3">
        <v>18</v>
      </c>
      <c r="C43" s="3">
        <v>7</v>
      </c>
    </row>
    <row r="44" spans="1:3">
      <c r="A44" s="2" t="s">
        <v>7570</v>
      </c>
      <c r="B44" s="2">
        <v>15</v>
      </c>
      <c r="C44" s="2">
        <v>2</v>
      </c>
    </row>
    <row r="45" spans="1:3">
      <c r="A45" s="3" t="s">
        <v>7571</v>
      </c>
      <c r="B45" s="3">
        <v>14</v>
      </c>
      <c r="C45" s="3">
        <v>4</v>
      </c>
    </row>
    <row r="46" spans="1:3">
      <c r="A46" s="2" t="s">
        <v>7572</v>
      </c>
      <c r="B46" s="2">
        <v>12</v>
      </c>
      <c r="C46" s="2">
        <v>3</v>
      </c>
    </row>
    <row r="47" spans="1:3">
      <c r="A47" s="3" t="s">
        <v>7573</v>
      </c>
      <c r="B47" s="3">
        <v>10</v>
      </c>
      <c r="C47" s="3">
        <v>8</v>
      </c>
    </row>
    <row r="48" spans="1:3">
      <c r="A48" s="2" t="s">
        <v>7574</v>
      </c>
      <c r="B48" s="2">
        <v>10</v>
      </c>
      <c r="C48" s="2">
        <v>3</v>
      </c>
    </row>
    <row r="49" spans="1:3">
      <c r="A49" s="3" t="s">
        <v>7575</v>
      </c>
      <c r="B49" s="3">
        <v>9</v>
      </c>
      <c r="C49" s="3">
        <v>5</v>
      </c>
    </row>
    <row r="50" spans="1:3">
      <c r="A50" s="2" t="s">
        <v>7576</v>
      </c>
      <c r="B50" s="2">
        <v>9</v>
      </c>
      <c r="C50" s="2">
        <v>4</v>
      </c>
    </row>
    <row r="51" spans="1:3">
      <c r="A51" s="3" t="s">
        <v>7577</v>
      </c>
      <c r="B51" s="3">
        <v>7</v>
      </c>
      <c r="C51" s="3">
        <v>4</v>
      </c>
    </row>
    <row r="52" spans="1:3">
      <c r="A52" s="2" t="s">
        <v>7578</v>
      </c>
      <c r="B52" s="2">
        <v>7</v>
      </c>
      <c r="C52" s="2">
        <v>4</v>
      </c>
    </row>
    <row r="53" spans="1:3">
      <c r="A53" s="3" t="s">
        <v>7579</v>
      </c>
      <c r="B53" s="3">
        <v>6</v>
      </c>
      <c r="C53" s="3">
        <v>6</v>
      </c>
    </row>
    <row r="54" spans="1:3">
      <c r="A54" s="2" t="s">
        <v>7580</v>
      </c>
      <c r="B54" s="2">
        <v>5</v>
      </c>
      <c r="C54" s="2">
        <v>3</v>
      </c>
    </row>
    <row r="55" spans="1:3">
      <c r="A55" s="3" t="s">
        <v>7581</v>
      </c>
      <c r="B55" s="3">
        <v>5</v>
      </c>
      <c r="C55" s="3">
        <v>5</v>
      </c>
    </row>
    <row r="56" spans="1:3">
      <c r="A56" s="2" t="s">
        <v>7582</v>
      </c>
      <c r="B56" s="2">
        <v>4</v>
      </c>
      <c r="C56" s="2">
        <v>1</v>
      </c>
    </row>
    <row r="57" spans="1:3">
      <c r="A57" s="3" t="s">
        <v>7583</v>
      </c>
      <c r="B57" s="3">
        <v>4</v>
      </c>
      <c r="C57" s="3">
        <v>4</v>
      </c>
    </row>
    <row r="58" spans="1:3">
      <c r="A58" s="2" t="s">
        <v>7584</v>
      </c>
      <c r="B58" s="2">
        <v>3</v>
      </c>
      <c r="C58" s="2">
        <v>3</v>
      </c>
    </row>
    <row r="59" spans="1:3">
      <c r="A59" s="3" t="s">
        <v>7585</v>
      </c>
      <c r="B59" s="3">
        <v>3</v>
      </c>
      <c r="C59" s="3">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7"/>
  <sheetViews>
    <sheetView workbookViewId="0">
      <pane ySplit="1" topLeftCell="A2" activePane="bottomLeft" state="frozen"/>
      <selection pane="bottomLeft"/>
    </sheetView>
  </sheetViews>
  <sheetFormatPr defaultRowHeight="15"/>
  <cols>
    <col min="1" max="1" width="30.7109375" customWidth="1"/>
    <col min="2" max="2" width="15.7109375" customWidth="1"/>
  </cols>
  <sheetData>
    <row r="1" spans="1:2">
      <c r="A1" s="1" t="s">
        <v>7586</v>
      </c>
      <c r="B1" s="1" t="s">
        <v>7527</v>
      </c>
    </row>
    <row r="2" spans="1:2">
      <c r="A2" s="2" t="s">
        <v>21</v>
      </c>
      <c r="B2" s="2">
        <v>221</v>
      </c>
    </row>
    <row r="3" spans="1:2">
      <c r="A3" s="3" t="s">
        <v>142</v>
      </c>
      <c r="B3" s="3">
        <v>131</v>
      </c>
    </row>
    <row r="4" spans="1:2">
      <c r="A4" s="2" t="s">
        <v>726</v>
      </c>
      <c r="B4" s="2">
        <v>75</v>
      </c>
    </row>
    <row r="5" spans="1:2">
      <c r="A5" s="3" t="s">
        <v>453</v>
      </c>
      <c r="B5" s="3">
        <v>52</v>
      </c>
    </row>
    <row r="6" spans="1:2">
      <c r="A6" s="2" t="s">
        <v>898</v>
      </c>
      <c r="B6" s="2">
        <v>17</v>
      </c>
    </row>
    <row r="7" spans="1:2">
      <c r="A7" s="3" t="s">
        <v>901</v>
      </c>
      <c r="B7" s="3">
        <v>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21"/>
  <sheetViews>
    <sheetView workbookViewId="0"/>
  </sheetViews>
  <sheetFormatPr defaultRowHeight="15"/>
  <sheetData>
    <row r="1" spans="1:2">
      <c r="A1" s="1" t="s">
        <v>7587</v>
      </c>
    </row>
    <row r="2" spans="1:2">
      <c r="A2" s="1" t="s">
        <v>7588</v>
      </c>
      <c r="B2" s="1" t="s">
        <v>7527</v>
      </c>
    </row>
    <row r="3" spans="1:2">
      <c r="A3" s="3" t="s">
        <v>449</v>
      </c>
      <c r="B3" s="3">
        <v>304</v>
      </c>
    </row>
    <row r="4" spans="1:2">
      <c r="A4" s="2" t="s">
        <v>1134</v>
      </c>
      <c r="B4" s="2">
        <v>222</v>
      </c>
    </row>
    <row r="5" spans="1:2">
      <c r="A5" s="3" t="s">
        <v>679</v>
      </c>
      <c r="B5" s="3">
        <v>117</v>
      </c>
    </row>
    <row r="6" spans="1:2">
      <c r="A6" s="2" t="s">
        <v>7530</v>
      </c>
      <c r="B6" s="2">
        <v>116</v>
      </c>
    </row>
    <row r="7" spans="1:2">
      <c r="A7" s="3" t="s">
        <v>7589</v>
      </c>
      <c r="B7" s="3">
        <v>89</v>
      </c>
    </row>
    <row r="8" spans="1:2">
      <c r="A8" s="2" t="s">
        <v>225</v>
      </c>
      <c r="B8" s="2">
        <v>83</v>
      </c>
    </row>
    <row r="9" spans="1:2">
      <c r="A9" s="3" t="s">
        <v>7590</v>
      </c>
      <c r="B9" s="3">
        <v>75</v>
      </c>
    </row>
    <row r="10" spans="1:2">
      <c r="A10" s="2" t="s">
        <v>7591</v>
      </c>
      <c r="B10" s="2">
        <v>61</v>
      </c>
    </row>
    <row r="11" spans="1:2">
      <c r="A11" s="3" t="s">
        <v>7592</v>
      </c>
      <c r="B11" s="3">
        <v>55</v>
      </c>
    </row>
    <row r="12" spans="1:2">
      <c r="A12" s="2" t="s">
        <v>7545</v>
      </c>
      <c r="B12" s="2">
        <v>52</v>
      </c>
    </row>
    <row r="13" spans="1:2">
      <c r="A13" s="3" t="s">
        <v>726</v>
      </c>
      <c r="B13" s="3">
        <v>47</v>
      </c>
    </row>
    <row r="14" spans="1:2">
      <c r="A14" s="2" t="s">
        <v>7593</v>
      </c>
      <c r="B14" s="2">
        <v>36</v>
      </c>
    </row>
    <row r="15" spans="1:2">
      <c r="A15" s="3" t="s">
        <v>7594</v>
      </c>
      <c r="B15" s="3">
        <v>34</v>
      </c>
    </row>
    <row r="16" spans="1:2">
      <c r="A16" s="2" t="s">
        <v>7595</v>
      </c>
      <c r="B16" s="2">
        <v>24</v>
      </c>
    </row>
    <row r="17" spans="1:2">
      <c r="A17" s="3" t="s">
        <v>761</v>
      </c>
      <c r="B17" s="3">
        <v>23</v>
      </c>
    </row>
    <row r="18" spans="1:2">
      <c r="A18" s="2" t="s">
        <v>7596</v>
      </c>
      <c r="B18" s="2">
        <v>22</v>
      </c>
    </row>
    <row r="19" spans="1:2">
      <c r="A19" s="3" t="s">
        <v>7597</v>
      </c>
      <c r="B19" s="3">
        <v>21</v>
      </c>
    </row>
    <row r="20" spans="1:2">
      <c r="A20" s="2" t="s">
        <v>7598</v>
      </c>
      <c r="B20" s="2">
        <v>8</v>
      </c>
    </row>
    <row r="21" spans="1:2">
      <c r="A21" s="3" t="s">
        <v>7599</v>
      </c>
      <c r="B21" s="3">
        <v>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5199"/>
  <sheetViews>
    <sheetView workbookViewId="0">
      <pane ySplit="1" topLeftCell="A2" activePane="bottomLeft" state="frozen"/>
      <selection pane="bottomLeft"/>
    </sheetView>
  </sheetViews>
  <sheetFormatPr defaultRowHeight="15"/>
  <cols>
    <col min="1" max="1" width="10.7109375" customWidth="1"/>
    <col min="2" max="2" width="30.7109375" customWidth="1"/>
    <col min="3" max="3" width="10.7109375" customWidth="1"/>
    <col min="4" max="4" width="30.7109375" customWidth="1"/>
    <col min="5" max="6" width="20.7109375" customWidth="1"/>
    <col min="7" max="7" width="35.7109375" customWidth="1"/>
  </cols>
  <sheetData>
    <row r="1" spans="1:7">
      <c r="A1" s="1" t="s">
        <v>7600</v>
      </c>
      <c r="B1" s="1" t="s">
        <v>7601</v>
      </c>
      <c r="C1" s="1" t="s">
        <v>7602</v>
      </c>
      <c r="D1" s="1" t="s">
        <v>7603</v>
      </c>
      <c r="E1" s="1" t="s">
        <v>7604</v>
      </c>
      <c r="F1" s="1" t="s">
        <v>7605</v>
      </c>
      <c r="G1" s="1" t="s">
        <v>7606</v>
      </c>
    </row>
    <row r="2" spans="1:7">
      <c r="A2" s="2">
        <v>1</v>
      </c>
      <c r="B2" s="2" t="s">
        <v>109</v>
      </c>
      <c r="C2" s="2">
        <v>5</v>
      </c>
      <c r="D2" s="2" t="s">
        <v>122</v>
      </c>
      <c r="E2" s="2" t="s">
        <v>7607</v>
      </c>
      <c r="F2" s="2" t="s">
        <v>7608</v>
      </c>
      <c r="G2" s="2" t="s">
        <v>7609</v>
      </c>
    </row>
    <row r="3" spans="1:7">
      <c r="A3" s="3">
        <v>1</v>
      </c>
      <c r="B3" s="3" t="s">
        <v>109</v>
      </c>
      <c r="C3" s="3">
        <v>34</v>
      </c>
      <c r="D3" s="3" t="s">
        <v>160</v>
      </c>
      <c r="E3" s="3" t="s">
        <v>7607</v>
      </c>
      <c r="F3" s="3" t="s">
        <v>7608</v>
      </c>
      <c r="G3" s="3" t="s">
        <v>7609</v>
      </c>
    </row>
    <row r="4" spans="1:7">
      <c r="A4" s="2">
        <v>1</v>
      </c>
      <c r="B4" s="2" t="s">
        <v>109</v>
      </c>
      <c r="C4" s="2">
        <v>35</v>
      </c>
      <c r="D4" s="2" t="s">
        <v>155</v>
      </c>
      <c r="E4" s="2" t="s">
        <v>7607</v>
      </c>
      <c r="F4" s="2" t="s">
        <v>7608</v>
      </c>
      <c r="G4" s="2" t="s">
        <v>7609</v>
      </c>
    </row>
    <row r="5" spans="1:7">
      <c r="A5" s="3">
        <v>1</v>
      </c>
      <c r="B5" s="3" t="s">
        <v>109</v>
      </c>
      <c r="C5" s="3">
        <v>221</v>
      </c>
      <c r="D5" s="3" t="s">
        <v>813</v>
      </c>
      <c r="E5" s="3" t="s">
        <v>7607</v>
      </c>
      <c r="F5" s="3" t="s">
        <v>7608</v>
      </c>
      <c r="G5" s="3" t="s">
        <v>7609</v>
      </c>
    </row>
    <row r="6" spans="1:7">
      <c r="A6" s="2">
        <v>2</v>
      </c>
      <c r="B6" s="2" t="s">
        <v>113</v>
      </c>
      <c r="C6" s="2">
        <v>5</v>
      </c>
      <c r="D6" s="2" t="s">
        <v>122</v>
      </c>
      <c r="E6" s="2" t="s">
        <v>7610</v>
      </c>
      <c r="F6" s="2" t="s">
        <v>7611</v>
      </c>
      <c r="G6" s="2" t="s">
        <v>7612</v>
      </c>
    </row>
    <row r="7" spans="1:7">
      <c r="A7" s="3">
        <v>2</v>
      </c>
      <c r="B7" s="3" t="s">
        <v>113</v>
      </c>
      <c r="C7" s="3">
        <v>34</v>
      </c>
      <c r="D7" s="3" t="s">
        <v>160</v>
      </c>
      <c r="E7" s="3" t="s">
        <v>7613</v>
      </c>
      <c r="F7" s="3" t="s">
        <v>7611</v>
      </c>
      <c r="G7" s="3" t="s">
        <v>7614</v>
      </c>
    </row>
    <row r="8" spans="1:7">
      <c r="A8" s="2">
        <v>2</v>
      </c>
      <c r="B8" s="2" t="s">
        <v>113</v>
      </c>
      <c r="C8" s="2">
        <v>35</v>
      </c>
      <c r="D8" s="2" t="s">
        <v>155</v>
      </c>
      <c r="E8" s="2" t="s">
        <v>7613</v>
      </c>
      <c r="F8" s="2" t="s">
        <v>7611</v>
      </c>
      <c r="G8" s="2" t="s">
        <v>7615</v>
      </c>
    </row>
    <row r="9" spans="1:7">
      <c r="A9" s="3">
        <v>2</v>
      </c>
      <c r="B9" s="3" t="s">
        <v>113</v>
      </c>
      <c r="C9" s="3">
        <v>56</v>
      </c>
      <c r="D9" s="3" t="s">
        <v>12</v>
      </c>
      <c r="E9" s="3" t="s">
        <v>7616</v>
      </c>
      <c r="F9" s="3" t="s">
        <v>7611</v>
      </c>
      <c r="G9" s="3" t="s">
        <v>7617</v>
      </c>
    </row>
    <row r="10" spans="1:7">
      <c r="A10" s="2">
        <v>2</v>
      </c>
      <c r="B10" s="2" t="s">
        <v>113</v>
      </c>
      <c r="C10" s="2">
        <v>97</v>
      </c>
      <c r="D10" s="2" t="s">
        <v>457</v>
      </c>
      <c r="E10" s="2" t="s">
        <v>7618</v>
      </c>
      <c r="F10" s="2" t="s">
        <v>7611</v>
      </c>
      <c r="G10" s="2" t="s">
        <v>7619</v>
      </c>
    </row>
    <row r="11" spans="1:7">
      <c r="A11" s="3">
        <v>2</v>
      </c>
      <c r="B11" s="3" t="s">
        <v>113</v>
      </c>
      <c r="C11" s="3">
        <v>101</v>
      </c>
      <c r="D11" s="3" t="s">
        <v>395</v>
      </c>
      <c r="E11" s="3" t="s">
        <v>7620</v>
      </c>
      <c r="F11" s="3" t="s">
        <v>7611</v>
      </c>
      <c r="G11" s="3" t="s">
        <v>7621</v>
      </c>
    </row>
    <row r="12" spans="1:7">
      <c r="A12" s="2">
        <v>2</v>
      </c>
      <c r="B12" s="2" t="s">
        <v>113</v>
      </c>
      <c r="C12" s="2">
        <v>191</v>
      </c>
      <c r="D12" s="2" t="s">
        <v>719</v>
      </c>
      <c r="E12" s="2" t="s">
        <v>7618</v>
      </c>
      <c r="F12" s="2" t="s">
        <v>7611</v>
      </c>
      <c r="G12" s="2" t="s">
        <v>7619</v>
      </c>
    </row>
    <row r="13" spans="1:7">
      <c r="A13" s="3">
        <v>2</v>
      </c>
      <c r="B13" s="3" t="s">
        <v>113</v>
      </c>
      <c r="C13" s="3">
        <v>195</v>
      </c>
      <c r="D13" s="3" t="s">
        <v>734</v>
      </c>
      <c r="E13" s="3" t="s">
        <v>7618</v>
      </c>
      <c r="F13" s="3" t="s">
        <v>7611</v>
      </c>
      <c r="G13" s="3" t="s">
        <v>7619</v>
      </c>
    </row>
    <row r="14" spans="1:7">
      <c r="A14" s="2">
        <v>2</v>
      </c>
      <c r="B14" s="2" t="s">
        <v>113</v>
      </c>
      <c r="C14" s="2">
        <v>198</v>
      </c>
      <c r="D14" s="2" t="s">
        <v>698</v>
      </c>
      <c r="E14" s="2" t="s">
        <v>7620</v>
      </c>
      <c r="F14" s="2" t="s">
        <v>7611</v>
      </c>
      <c r="G14" s="2" t="s">
        <v>7622</v>
      </c>
    </row>
    <row r="15" spans="1:7">
      <c r="A15" s="3">
        <v>2</v>
      </c>
      <c r="B15" s="3" t="s">
        <v>113</v>
      </c>
      <c r="C15" s="3">
        <v>199</v>
      </c>
      <c r="D15" s="3" t="s">
        <v>702</v>
      </c>
      <c r="E15" s="3" t="s">
        <v>7618</v>
      </c>
      <c r="F15" s="3" t="s">
        <v>7611</v>
      </c>
      <c r="G15" s="3" t="s">
        <v>7619</v>
      </c>
    </row>
    <row r="16" spans="1:7">
      <c r="A16" s="2">
        <v>2</v>
      </c>
      <c r="B16" s="2" t="s">
        <v>113</v>
      </c>
      <c r="C16" s="2">
        <v>200</v>
      </c>
      <c r="D16" s="2" t="s">
        <v>707</v>
      </c>
      <c r="E16" s="2" t="s">
        <v>7620</v>
      </c>
      <c r="F16" s="2" t="s">
        <v>7611</v>
      </c>
      <c r="G16" s="2" t="s">
        <v>7621</v>
      </c>
    </row>
    <row r="17" spans="1:7">
      <c r="A17" s="3">
        <v>2</v>
      </c>
      <c r="B17" s="3" t="s">
        <v>113</v>
      </c>
      <c r="C17" s="3">
        <v>205</v>
      </c>
      <c r="D17" s="3" t="s">
        <v>746</v>
      </c>
      <c r="E17" s="3" t="s">
        <v>7620</v>
      </c>
      <c r="F17" s="3" t="s">
        <v>7611</v>
      </c>
      <c r="G17" s="3" t="s">
        <v>7622</v>
      </c>
    </row>
    <row r="18" spans="1:7">
      <c r="A18" s="2">
        <v>2</v>
      </c>
      <c r="B18" s="2" t="s">
        <v>113</v>
      </c>
      <c r="C18" s="2">
        <v>207</v>
      </c>
      <c r="D18" s="2" t="s">
        <v>749</v>
      </c>
      <c r="E18" s="2" t="s">
        <v>7623</v>
      </c>
      <c r="F18" s="2" t="s">
        <v>7611</v>
      </c>
      <c r="G18" s="2" t="s">
        <v>7624</v>
      </c>
    </row>
    <row r="19" spans="1:7">
      <c r="A19" s="3">
        <v>2</v>
      </c>
      <c r="B19" s="3" t="s">
        <v>113</v>
      </c>
      <c r="C19" s="3">
        <v>208</v>
      </c>
      <c r="D19" s="3" t="s">
        <v>754</v>
      </c>
      <c r="E19" s="3" t="s">
        <v>7620</v>
      </c>
      <c r="F19" s="3" t="s">
        <v>7611</v>
      </c>
      <c r="G19" s="3" t="s">
        <v>7622</v>
      </c>
    </row>
    <row r="20" spans="1:7">
      <c r="A20" s="2">
        <v>2</v>
      </c>
      <c r="B20" s="2" t="s">
        <v>113</v>
      </c>
      <c r="C20" s="2">
        <v>209</v>
      </c>
      <c r="D20" s="2" t="s">
        <v>758</v>
      </c>
      <c r="E20" s="2" t="s">
        <v>7618</v>
      </c>
      <c r="F20" s="2" t="s">
        <v>7608</v>
      </c>
      <c r="G20" s="2" t="s">
        <v>7617</v>
      </c>
    </row>
    <row r="21" spans="1:7">
      <c r="A21" s="3">
        <v>2</v>
      </c>
      <c r="B21" s="3" t="s">
        <v>113</v>
      </c>
      <c r="C21" s="3">
        <v>221</v>
      </c>
      <c r="D21" s="3" t="s">
        <v>813</v>
      </c>
      <c r="E21" s="3" t="s">
        <v>7613</v>
      </c>
      <c r="F21" s="3" t="s">
        <v>7611</v>
      </c>
      <c r="G21" s="3" t="s">
        <v>7614</v>
      </c>
    </row>
    <row r="22" spans="1:7">
      <c r="A22" s="2">
        <v>2</v>
      </c>
      <c r="B22" s="2" t="s">
        <v>113</v>
      </c>
      <c r="C22" s="2">
        <v>264</v>
      </c>
      <c r="D22" s="2" t="s">
        <v>775</v>
      </c>
      <c r="E22" s="2" t="s">
        <v>7618</v>
      </c>
      <c r="F22" s="2" t="s">
        <v>7611</v>
      </c>
      <c r="G22" s="2" t="s">
        <v>7617</v>
      </c>
    </row>
    <row r="23" spans="1:7">
      <c r="A23" s="3">
        <v>2</v>
      </c>
      <c r="B23" s="3" t="s">
        <v>113</v>
      </c>
      <c r="C23" s="3">
        <v>341</v>
      </c>
      <c r="D23" s="3" t="s">
        <v>1052</v>
      </c>
      <c r="E23" s="3" t="s">
        <v>7620</v>
      </c>
      <c r="F23" s="3" t="s">
        <v>7611</v>
      </c>
      <c r="G23" s="3" t="s">
        <v>7622</v>
      </c>
    </row>
    <row r="24" spans="1:7">
      <c r="A24" s="2">
        <v>2</v>
      </c>
      <c r="B24" s="2" t="s">
        <v>113</v>
      </c>
      <c r="C24" s="2">
        <v>343</v>
      </c>
      <c r="D24" s="2" t="s">
        <v>977</v>
      </c>
      <c r="E24" s="2" t="s">
        <v>7620</v>
      </c>
      <c r="F24" s="2" t="s">
        <v>7611</v>
      </c>
      <c r="G24" s="2" t="s">
        <v>7625</v>
      </c>
    </row>
    <row r="25" spans="1:7">
      <c r="A25" s="3">
        <v>3</v>
      </c>
      <c r="B25" s="3" t="s">
        <v>126</v>
      </c>
      <c r="C25" s="3">
        <v>5</v>
      </c>
      <c r="D25" s="3" t="s">
        <v>122</v>
      </c>
      <c r="E25" s="3" t="s">
        <v>7610</v>
      </c>
      <c r="F25" s="3" t="s">
        <v>7611</v>
      </c>
      <c r="G25" s="3" t="s">
        <v>7626</v>
      </c>
    </row>
    <row r="26" spans="1:7">
      <c r="A26" s="2">
        <v>3</v>
      </c>
      <c r="B26" s="2" t="s">
        <v>126</v>
      </c>
      <c r="C26" s="2">
        <v>34</v>
      </c>
      <c r="D26" s="2" t="s">
        <v>160</v>
      </c>
      <c r="E26" s="2" t="s">
        <v>7627</v>
      </c>
      <c r="F26" s="2" t="s">
        <v>7628</v>
      </c>
      <c r="G26" s="2" t="s">
        <v>7614</v>
      </c>
    </row>
    <row r="27" spans="1:7">
      <c r="A27" s="3">
        <v>3</v>
      </c>
      <c r="B27" s="3" t="s">
        <v>126</v>
      </c>
      <c r="C27" s="3">
        <v>35</v>
      </c>
      <c r="D27" s="3" t="s">
        <v>155</v>
      </c>
      <c r="E27" s="3" t="s">
        <v>7627</v>
      </c>
      <c r="F27" s="3" t="s">
        <v>7628</v>
      </c>
      <c r="G27" s="3" t="s">
        <v>7629</v>
      </c>
    </row>
    <row r="28" spans="1:7">
      <c r="A28" s="2">
        <v>3</v>
      </c>
      <c r="B28" s="2" t="s">
        <v>126</v>
      </c>
      <c r="C28" s="2">
        <v>56</v>
      </c>
      <c r="D28" s="2" t="s">
        <v>12</v>
      </c>
      <c r="E28" s="2" t="s">
        <v>7616</v>
      </c>
      <c r="F28" s="2" t="s">
        <v>7628</v>
      </c>
      <c r="G28" s="2" t="s">
        <v>7619</v>
      </c>
    </row>
    <row r="29" spans="1:7">
      <c r="A29" s="3">
        <v>3</v>
      </c>
      <c r="B29" s="3" t="s">
        <v>126</v>
      </c>
      <c r="C29" s="3">
        <v>97</v>
      </c>
      <c r="D29" s="3" t="s">
        <v>457</v>
      </c>
      <c r="E29" s="3" t="s">
        <v>7630</v>
      </c>
      <c r="F29" s="3" t="s">
        <v>7631</v>
      </c>
      <c r="G29" s="3" t="s">
        <v>7632</v>
      </c>
    </row>
    <row r="30" spans="1:7">
      <c r="A30" s="2">
        <v>3</v>
      </c>
      <c r="B30" s="2" t="s">
        <v>126</v>
      </c>
      <c r="C30" s="2">
        <v>101</v>
      </c>
      <c r="D30" s="2" t="s">
        <v>395</v>
      </c>
      <c r="E30" s="2" t="s">
        <v>7620</v>
      </c>
      <c r="F30" s="2" t="s">
        <v>7628</v>
      </c>
      <c r="G30" s="2" t="s">
        <v>7633</v>
      </c>
    </row>
    <row r="31" spans="1:7">
      <c r="A31" s="3">
        <v>3</v>
      </c>
      <c r="B31" s="3" t="s">
        <v>126</v>
      </c>
      <c r="C31" s="3">
        <v>191</v>
      </c>
      <c r="D31" s="3" t="s">
        <v>719</v>
      </c>
      <c r="E31" s="3" t="s">
        <v>7618</v>
      </c>
      <c r="F31" s="3" t="s">
        <v>7628</v>
      </c>
      <c r="G31" s="3" t="s">
        <v>7619</v>
      </c>
    </row>
    <row r="32" spans="1:7">
      <c r="A32" s="2">
        <v>3</v>
      </c>
      <c r="B32" s="2" t="s">
        <v>126</v>
      </c>
      <c r="C32" s="2">
        <v>195</v>
      </c>
      <c r="D32" s="2" t="s">
        <v>734</v>
      </c>
      <c r="E32" s="2" t="s">
        <v>7618</v>
      </c>
      <c r="F32" s="2" t="s">
        <v>7628</v>
      </c>
      <c r="G32" s="2" t="s">
        <v>7634</v>
      </c>
    </row>
    <row r="33" spans="1:7">
      <c r="A33" s="3">
        <v>3</v>
      </c>
      <c r="B33" s="3" t="s">
        <v>126</v>
      </c>
      <c r="C33" s="3">
        <v>198</v>
      </c>
      <c r="D33" s="3" t="s">
        <v>698</v>
      </c>
      <c r="E33" s="3" t="s">
        <v>7620</v>
      </c>
      <c r="F33" s="3" t="s">
        <v>7628</v>
      </c>
      <c r="G33" s="3" t="s">
        <v>7609</v>
      </c>
    </row>
    <row r="34" spans="1:7">
      <c r="A34" s="2">
        <v>3</v>
      </c>
      <c r="B34" s="2" t="s">
        <v>126</v>
      </c>
      <c r="C34" s="2">
        <v>199</v>
      </c>
      <c r="D34" s="2" t="s">
        <v>702</v>
      </c>
      <c r="E34" s="2" t="s">
        <v>7630</v>
      </c>
      <c r="F34" s="2" t="s">
        <v>7628</v>
      </c>
      <c r="G34" s="2" t="s">
        <v>7634</v>
      </c>
    </row>
    <row r="35" spans="1:7">
      <c r="A35" s="3">
        <v>3</v>
      </c>
      <c r="B35" s="3" t="s">
        <v>126</v>
      </c>
      <c r="C35" s="3">
        <v>200</v>
      </c>
      <c r="D35" s="3" t="s">
        <v>707</v>
      </c>
      <c r="E35" s="3" t="s">
        <v>7620</v>
      </c>
      <c r="F35" s="3" t="s">
        <v>7628</v>
      </c>
      <c r="G35" s="3" t="s">
        <v>7609</v>
      </c>
    </row>
    <row r="36" spans="1:7">
      <c r="A36" s="2">
        <v>3</v>
      </c>
      <c r="B36" s="2" t="s">
        <v>126</v>
      </c>
      <c r="C36" s="2">
        <v>205</v>
      </c>
      <c r="D36" s="2" t="s">
        <v>746</v>
      </c>
      <c r="E36" s="2" t="s">
        <v>7620</v>
      </c>
      <c r="F36" s="2" t="s">
        <v>7628</v>
      </c>
      <c r="G36" s="2" t="s">
        <v>7609</v>
      </c>
    </row>
    <row r="37" spans="1:7">
      <c r="A37" s="3">
        <v>3</v>
      </c>
      <c r="B37" s="3" t="s">
        <v>126</v>
      </c>
      <c r="C37" s="3">
        <v>207</v>
      </c>
      <c r="D37" s="3" t="s">
        <v>749</v>
      </c>
      <c r="E37" s="3" t="s">
        <v>7623</v>
      </c>
      <c r="F37" s="3" t="s">
        <v>7611</v>
      </c>
      <c r="G37" s="3" t="s">
        <v>7632</v>
      </c>
    </row>
    <row r="38" spans="1:7">
      <c r="A38" s="2">
        <v>3</v>
      </c>
      <c r="B38" s="2" t="s">
        <v>126</v>
      </c>
      <c r="C38" s="2">
        <v>208</v>
      </c>
      <c r="D38" s="2" t="s">
        <v>754</v>
      </c>
      <c r="E38" s="2" t="s">
        <v>7620</v>
      </c>
      <c r="F38" s="2" t="s">
        <v>7628</v>
      </c>
      <c r="G38" s="2" t="s">
        <v>7633</v>
      </c>
    </row>
    <row r="39" spans="1:7">
      <c r="A39" s="3">
        <v>3</v>
      </c>
      <c r="B39" s="3" t="s">
        <v>126</v>
      </c>
      <c r="C39" s="3">
        <v>209</v>
      </c>
      <c r="D39" s="3" t="s">
        <v>758</v>
      </c>
      <c r="E39" s="3" t="s">
        <v>7618</v>
      </c>
      <c r="F39" s="3" t="s">
        <v>7635</v>
      </c>
      <c r="G39" s="3" t="s">
        <v>7636</v>
      </c>
    </row>
    <row r="40" spans="1:7">
      <c r="A40" s="2">
        <v>3</v>
      </c>
      <c r="B40" s="2" t="s">
        <v>126</v>
      </c>
      <c r="C40" s="2">
        <v>221</v>
      </c>
      <c r="D40" s="2" t="s">
        <v>813</v>
      </c>
      <c r="E40" s="2" t="s">
        <v>7627</v>
      </c>
      <c r="F40" s="2" t="s">
        <v>7611</v>
      </c>
      <c r="G40" s="2" t="s">
        <v>7637</v>
      </c>
    </row>
    <row r="41" spans="1:7">
      <c r="A41" s="3">
        <v>3</v>
      </c>
      <c r="B41" s="3" t="s">
        <v>126</v>
      </c>
      <c r="C41" s="3">
        <v>264</v>
      </c>
      <c r="D41" s="3" t="s">
        <v>775</v>
      </c>
      <c r="E41" s="3" t="s">
        <v>7618</v>
      </c>
      <c r="F41" s="3" t="s">
        <v>7628</v>
      </c>
      <c r="G41" s="3" t="s">
        <v>7619</v>
      </c>
    </row>
    <row r="42" spans="1:7">
      <c r="A42" s="2">
        <v>3</v>
      </c>
      <c r="B42" s="2" t="s">
        <v>126</v>
      </c>
      <c r="C42" s="2">
        <v>312</v>
      </c>
      <c r="D42" s="2" t="s">
        <v>949</v>
      </c>
      <c r="E42" s="2" t="s">
        <v>7608</v>
      </c>
      <c r="F42" s="2" t="s">
        <v>7631</v>
      </c>
      <c r="G42" s="2" t="s">
        <v>7625</v>
      </c>
    </row>
    <row r="43" spans="1:7">
      <c r="A43" s="3">
        <v>3</v>
      </c>
      <c r="B43" s="3" t="s">
        <v>126</v>
      </c>
      <c r="C43" s="3">
        <v>341</v>
      </c>
      <c r="D43" s="3" t="s">
        <v>1052</v>
      </c>
      <c r="E43" s="3" t="s">
        <v>7620</v>
      </c>
      <c r="F43" s="3" t="s">
        <v>7611</v>
      </c>
      <c r="G43" s="3" t="s">
        <v>7622</v>
      </c>
    </row>
    <row r="44" spans="1:7">
      <c r="A44" s="2">
        <v>3</v>
      </c>
      <c r="B44" s="2" t="s">
        <v>126</v>
      </c>
      <c r="C44" s="2">
        <v>343</v>
      </c>
      <c r="D44" s="2" t="s">
        <v>977</v>
      </c>
      <c r="E44" s="2" t="s">
        <v>7620</v>
      </c>
      <c r="F44" s="2" t="s">
        <v>7628</v>
      </c>
      <c r="G44" s="2" t="s">
        <v>7622</v>
      </c>
    </row>
    <row r="45" spans="1:7">
      <c r="A45" s="3">
        <v>4</v>
      </c>
      <c r="B45" s="3" t="s">
        <v>118</v>
      </c>
      <c r="C45" s="3">
        <v>5</v>
      </c>
      <c r="D45" s="3" t="s">
        <v>122</v>
      </c>
      <c r="E45" s="3" t="s">
        <v>7616</v>
      </c>
      <c r="F45" s="3" t="s">
        <v>7611</v>
      </c>
      <c r="G45" s="3" t="s">
        <v>7617</v>
      </c>
    </row>
    <row r="46" spans="1:7">
      <c r="A46" s="2">
        <v>4</v>
      </c>
      <c r="B46" s="2" t="s">
        <v>118</v>
      </c>
      <c r="C46" s="2">
        <v>34</v>
      </c>
      <c r="D46" s="2" t="s">
        <v>160</v>
      </c>
      <c r="E46" s="2" t="s">
        <v>7638</v>
      </c>
      <c r="F46" s="2" t="s">
        <v>7611</v>
      </c>
      <c r="G46" s="2" t="s">
        <v>7639</v>
      </c>
    </row>
    <row r="47" spans="1:7">
      <c r="A47" s="3">
        <v>4</v>
      </c>
      <c r="B47" s="3" t="s">
        <v>118</v>
      </c>
      <c r="C47" s="3">
        <v>35</v>
      </c>
      <c r="D47" s="3" t="s">
        <v>155</v>
      </c>
      <c r="E47" s="3" t="s">
        <v>7638</v>
      </c>
      <c r="F47" s="3" t="s">
        <v>7611</v>
      </c>
      <c r="G47" s="3" t="s">
        <v>7639</v>
      </c>
    </row>
    <row r="48" spans="1:7">
      <c r="A48" s="2">
        <v>4</v>
      </c>
      <c r="B48" s="2" t="s">
        <v>118</v>
      </c>
      <c r="C48" s="2">
        <v>56</v>
      </c>
      <c r="D48" s="2" t="s">
        <v>12</v>
      </c>
      <c r="E48" s="2" t="s">
        <v>7616</v>
      </c>
      <c r="F48" s="2" t="s">
        <v>7611</v>
      </c>
      <c r="G48" s="2" t="s">
        <v>7609</v>
      </c>
    </row>
    <row r="49" spans="1:7">
      <c r="A49" s="3">
        <v>4</v>
      </c>
      <c r="B49" s="3" t="s">
        <v>118</v>
      </c>
      <c r="C49" s="3">
        <v>97</v>
      </c>
      <c r="D49" s="3" t="s">
        <v>457</v>
      </c>
      <c r="E49" s="3" t="s">
        <v>7620</v>
      </c>
      <c r="F49" s="3" t="s">
        <v>7611</v>
      </c>
      <c r="G49" s="3" t="s">
        <v>7625</v>
      </c>
    </row>
    <row r="50" spans="1:7">
      <c r="A50" s="2">
        <v>4</v>
      </c>
      <c r="B50" s="2" t="s">
        <v>118</v>
      </c>
      <c r="C50" s="2">
        <v>101</v>
      </c>
      <c r="D50" s="2" t="s">
        <v>395</v>
      </c>
      <c r="E50" s="2" t="s">
        <v>7620</v>
      </c>
      <c r="F50" s="2" t="s">
        <v>7611</v>
      </c>
      <c r="G50" s="2" t="s">
        <v>7625</v>
      </c>
    </row>
    <row r="51" spans="1:7">
      <c r="A51" s="3">
        <v>4</v>
      </c>
      <c r="B51" s="3" t="s">
        <v>118</v>
      </c>
      <c r="C51" s="3">
        <v>191</v>
      </c>
      <c r="D51" s="3" t="s">
        <v>719</v>
      </c>
      <c r="E51" s="3" t="s">
        <v>7620</v>
      </c>
      <c r="F51" s="3" t="s">
        <v>7611</v>
      </c>
      <c r="G51" s="3" t="s">
        <v>7625</v>
      </c>
    </row>
    <row r="52" spans="1:7">
      <c r="A52" s="2">
        <v>4</v>
      </c>
      <c r="B52" s="2" t="s">
        <v>118</v>
      </c>
      <c r="C52" s="2">
        <v>195</v>
      </c>
      <c r="D52" s="2" t="s">
        <v>734</v>
      </c>
      <c r="E52" s="2" t="s">
        <v>7620</v>
      </c>
      <c r="F52" s="2" t="s">
        <v>7611</v>
      </c>
      <c r="G52" s="2" t="s">
        <v>7625</v>
      </c>
    </row>
    <row r="53" spans="1:7">
      <c r="A53" s="3">
        <v>4</v>
      </c>
      <c r="B53" s="3" t="s">
        <v>118</v>
      </c>
      <c r="C53" s="3">
        <v>198</v>
      </c>
      <c r="D53" s="3" t="s">
        <v>698</v>
      </c>
      <c r="E53" s="3" t="s">
        <v>7620</v>
      </c>
      <c r="F53" s="3" t="s">
        <v>7611</v>
      </c>
      <c r="G53" s="3" t="s">
        <v>7625</v>
      </c>
    </row>
    <row r="54" spans="1:7">
      <c r="A54" s="2">
        <v>4</v>
      </c>
      <c r="B54" s="2" t="s">
        <v>118</v>
      </c>
      <c r="C54" s="2">
        <v>199</v>
      </c>
      <c r="D54" s="2" t="s">
        <v>702</v>
      </c>
      <c r="E54" s="2" t="s">
        <v>7620</v>
      </c>
      <c r="F54" s="2" t="s">
        <v>7611</v>
      </c>
      <c r="G54" s="2" t="s">
        <v>7625</v>
      </c>
    </row>
    <row r="55" spans="1:7">
      <c r="A55" s="3">
        <v>4</v>
      </c>
      <c r="B55" s="3" t="s">
        <v>118</v>
      </c>
      <c r="C55" s="3">
        <v>200</v>
      </c>
      <c r="D55" s="3" t="s">
        <v>707</v>
      </c>
      <c r="E55" s="3" t="s">
        <v>7620</v>
      </c>
      <c r="F55" s="3" t="s">
        <v>7611</v>
      </c>
      <c r="G55" s="3" t="s">
        <v>7625</v>
      </c>
    </row>
    <row r="56" spans="1:7">
      <c r="A56" s="2">
        <v>4</v>
      </c>
      <c r="B56" s="2" t="s">
        <v>118</v>
      </c>
      <c r="C56" s="2">
        <v>205</v>
      </c>
      <c r="D56" s="2" t="s">
        <v>746</v>
      </c>
      <c r="E56" s="2" t="s">
        <v>7620</v>
      </c>
      <c r="F56" s="2" t="s">
        <v>7611</v>
      </c>
      <c r="G56" s="2" t="s">
        <v>7625</v>
      </c>
    </row>
    <row r="57" spans="1:7">
      <c r="A57" s="3">
        <v>4</v>
      </c>
      <c r="B57" s="3" t="s">
        <v>118</v>
      </c>
      <c r="C57" s="3">
        <v>207</v>
      </c>
      <c r="D57" s="3" t="s">
        <v>749</v>
      </c>
      <c r="E57" s="3" t="s">
        <v>7640</v>
      </c>
      <c r="F57" s="3" t="s">
        <v>7611</v>
      </c>
      <c r="G57" s="3" t="s">
        <v>7609</v>
      </c>
    </row>
    <row r="58" spans="1:7">
      <c r="A58" s="2">
        <v>4</v>
      </c>
      <c r="B58" s="2" t="s">
        <v>118</v>
      </c>
      <c r="C58" s="2">
        <v>208</v>
      </c>
      <c r="D58" s="2" t="s">
        <v>754</v>
      </c>
      <c r="E58" s="2" t="s">
        <v>7620</v>
      </c>
      <c r="F58" s="2" t="s">
        <v>7611</v>
      </c>
      <c r="G58" s="2" t="s">
        <v>7625</v>
      </c>
    </row>
    <row r="59" spans="1:7">
      <c r="A59" s="3">
        <v>4</v>
      </c>
      <c r="B59" s="3" t="s">
        <v>118</v>
      </c>
      <c r="C59" s="3">
        <v>221</v>
      </c>
      <c r="D59" s="3" t="s">
        <v>813</v>
      </c>
      <c r="E59" s="3" t="s">
        <v>7638</v>
      </c>
      <c r="F59" s="3" t="s">
        <v>7611</v>
      </c>
      <c r="G59" s="3" t="s">
        <v>7639</v>
      </c>
    </row>
    <row r="60" spans="1:7">
      <c r="A60" s="2">
        <v>4</v>
      </c>
      <c r="B60" s="2" t="s">
        <v>118</v>
      </c>
      <c r="C60" s="2">
        <v>264</v>
      </c>
      <c r="D60" s="2" t="s">
        <v>775</v>
      </c>
      <c r="E60" s="2" t="s">
        <v>7620</v>
      </c>
      <c r="F60" s="2" t="s">
        <v>7611</v>
      </c>
      <c r="G60" s="2" t="s">
        <v>7625</v>
      </c>
    </row>
    <row r="61" spans="1:7">
      <c r="A61" s="3">
        <v>4</v>
      </c>
      <c r="B61" s="3" t="s">
        <v>118</v>
      </c>
      <c r="C61" s="3">
        <v>341</v>
      </c>
      <c r="D61" s="3" t="s">
        <v>1052</v>
      </c>
      <c r="E61" s="3" t="s">
        <v>7620</v>
      </c>
      <c r="F61" s="3" t="s">
        <v>7611</v>
      </c>
      <c r="G61" s="3" t="s">
        <v>7625</v>
      </c>
    </row>
    <row r="62" spans="1:7">
      <c r="A62" s="2">
        <v>4</v>
      </c>
      <c r="B62" s="2" t="s">
        <v>118</v>
      </c>
      <c r="C62" s="2">
        <v>343</v>
      </c>
      <c r="D62" s="2" t="s">
        <v>977</v>
      </c>
      <c r="E62" s="2" t="s">
        <v>7620</v>
      </c>
      <c r="F62" s="2" t="s">
        <v>7611</v>
      </c>
      <c r="G62" s="2" t="s">
        <v>7625</v>
      </c>
    </row>
    <row r="63" spans="1:7">
      <c r="A63" s="3">
        <v>5</v>
      </c>
      <c r="B63" s="3" t="s">
        <v>122</v>
      </c>
      <c r="C63" s="3">
        <v>6</v>
      </c>
      <c r="D63" s="3" t="s">
        <v>130</v>
      </c>
      <c r="E63" s="3" t="s">
        <v>7616</v>
      </c>
      <c r="F63" s="3" t="s">
        <v>7611</v>
      </c>
      <c r="G63" s="3" t="s">
        <v>7636</v>
      </c>
    </row>
    <row r="64" spans="1:7">
      <c r="A64" s="2">
        <v>5</v>
      </c>
      <c r="B64" s="2" t="s">
        <v>122</v>
      </c>
      <c r="C64" s="2">
        <v>7</v>
      </c>
      <c r="D64" s="2" t="s">
        <v>97</v>
      </c>
      <c r="E64" s="2" t="s">
        <v>7616</v>
      </c>
      <c r="F64" s="2" t="s">
        <v>7608</v>
      </c>
      <c r="G64" s="2" t="s">
        <v>7617</v>
      </c>
    </row>
    <row r="65" spans="1:7">
      <c r="A65" s="3">
        <v>5</v>
      </c>
      <c r="B65" s="3" t="s">
        <v>122</v>
      </c>
      <c r="C65" s="3">
        <v>8</v>
      </c>
      <c r="D65" s="3" t="s">
        <v>81</v>
      </c>
      <c r="E65" s="3" t="s">
        <v>7610</v>
      </c>
      <c r="F65" s="3" t="s">
        <v>7611</v>
      </c>
      <c r="G65" s="3" t="s">
        <v>7641</v>
      </c>
    </row>
    <row r="66" spans="1:7">
      <c r="A66" s="2">
        <v>5</v>
      </c>
      <c r="B66" s="2" t="s">
        <v>122</v>
      </c>
      <c r="C66" s="2">
        <v>9</v>
      </c>
      <c r="D66" s="2" t="s">
        <v>85</v>
      </c>
      <c r="E66" s="2" t="s">
        <v>7610</v>
      </c>
      <c r="F66" s="2" t="s">
        <v>7611</v>
      </c>
      <c r="G66" s="2" t="s">
        <v>7641</v>
      </c>
    </row>
    <row r="67" spans="1:7">
      <c r="A67" s="3">
        <v>5</v>
      </c>
      <c r="B67" s="3" t="s">
        <v>122</v>
      </c>
      <c r="C67" s="3">
        <v>10</v>
      </c>
      <c r="D67" s="3" t="s">
        <v>104</v>
      </c>
      <c r="E67" s="3" t="s">
        <v>7610</v>
      </c>
      <c r="F67" s="3" t="s">
        <v>7611</v>
      </c>
      <c r="G67" s="3" t="s">
        <v>7637</v>
      </c>
    </row>
    <row r="68" spans="1:7">
      <c r="A68" s="2">
        <v>5</v>
      </c>
      <c r="B68" s="2" t="s">
        <v>122</v>
      </c>
      <c r="C68" s="2">
        <v>11</v>
      </c>
      <c r="D68" s="2" t="s">
        <v>44</v>
      </c>
      <c r="E68" s="2" t="s">
        <v>7610</v>
      </c>
      <c r="F68" s="2" t="s">
        <v>7611</v>
      </c>
      <c r="G68" s="2" t="s">
        <v>7642</v>
      </c>
    </row>
    <row r="69" spans="1:7">
      <c r="A69" s="3">
        <v>5</v>
      </c>
      <c r="B69" s="3" t="s">
        <v>122</v>
      </c>
      <c r="C69" s="3">
        <v>12</v>
      </c>
      <c r="D69" s="3" t="s">
        <v>48</v>
      </c>
      <c r="E69" s="3" t="s">
        <v>7610</v>
      </c>
      <c r="F69" s="3" t="s">
        <v>7611</v>
      </c>
      <c r="G69" s="3" t="s">
        <v>7641</v>
      </c>
    </row>
    <row r="70" spans="1:7">
      <c r="A70" s="2">
        <v>5</v>
      </c>
      <c r="B70" s="2" t="s">
        <v>122</v>
      </c>
      <c r="C70" s="2">
        <v>13</v>
      </c>
      <c r="D70" s="2" t="s">
        <v>50</v>
      </c>
      <c r="E70" s="2" t="s">
        <v>7610</v>
      </c>
      <c r="F70" s="2" t="s">
        <v>7611</v>
      </c>
      <c r="G70" s="2" t="s">
        <v>7626</v>
      </c>
    </row>
    <row r="71" spans="1:7">
      <c r="A71" s="3">
        <v>5</v>
      </c>
      <c r="B71" s="3" t="s">
        <v>122</v>
      </c>
      <c r="C71" s="3">
        <v>14</v>
      </c>
      <c r="D71" s="3" t="s">
        <v>53</v>
      </c>
      <c r="E71" s="3" t="s">
        <v>7610</v>
      </c>
      <c r="F71" s="3" t="s">
        <v>7611</v>
      </c>
      <c r="G71" s="3" t="s">
        <v>7612</v>
      </c>
    </row>
    <row r="72" spans="1:7">
      <c r="A72" s="2">
        <v>5</v>
      </c>
      <c r="B72" s="2" t="s">
        <v>122</v>
      </c>
      <c r="C72" s="2">
        <v>15</v>
      </c>
      <c r="D72" s="2" t="s">
        <v>67</v>
      </c>
      <c r="E72" s="2" t="s">
        <v>7616</v>
      </c>
      <c r="F72" s="2" t="s">
        <v>7611</v>
      </c>
      <c r="G72" s="2" t="s">
        <v>7619</v>
      </c>
    </row>
    <row r="73" spans="1:7">
      <c r="A73" s="3">
        <v>5</v>
      </c>
      <c r="B73" s="3" t="s">
        <v>122</v>
      </c>
      <c r="C73" s="3">
        <v>16</v>
      </c>
      <c r="D73" s="3" t="s">
        <v>72</v>
      </c>
      <c r="E73" s="3" t="s">
        <v>7616</v>
      </c>
      <c r="F73" s="3" t="s">
        <v>7611</v>
      </c>
      <c r="G73" s="3" t="s">
        <v>7634</v>
      </c>
    </row>
    <row r="74" spans="1:7">
      <c r="A74" s="2">
        <v>5</v>
      </c>
      <c r="B74" s="2" t="s">
        <v>122</v>
      </c>
      <c r="C74" s="2">
        <v>17</v>
      </c>
      <c r="D74" s="2" t="s">
        <v>76</v>
      </c>
      <c r="E74" s="2" t="s">
        <v>7643</v>
      </c>
      <c r="F74" s="2" t="s">
        <v>7608</v>
      </c>
      <c r="G74" s="2" t="s">
        <v>7625</v>
      </c>
    </row>
    <row r="75" spans="1:7">
      <c r="A75" s="3">
        <v>5</v>
      </c>
      <c r="B75" s="3" t="s">
        <v>122</v>
      </c>
      <c r="C75" s="3">
        <v>18</v>
      </c>
      <c r="D75" s="3" t="s">
        <v>17</v>
      </c>
      <c r="E75" s="3" t="s">
        <v>7610</v>
      </c>
      <c r="F75" s="3" t="s">
        <v>7611</v>
      </c>
      <c r="G75" s="3" t="s">
        <v>7641</v>
      </c>
    </row>
    <row r="76" spans="1:7">
      <c r="A76" s="2">
        <v>5</v>
      </c>
      <c r="B76" s="2" t="s">
        <v>122</v>
      </c>
      <c r="C76" s="2">
        <v>19</v>
      </c>
      <c r="D76" s="2" t="s">
        <v>32</v>
      </c>
      <c r="E76" s="2" t="s">
        <v>7610</v>
      </c>
      <c r="F76" s="2" t="s">
        <v>7611</v>
      </c>
      <c r="G76" s="2" t="s">
        <v>7644</v>
      </c>
    </row>
    <row r="77" spans="1:7">
      <c r="A77" s="3">
        <v>5</v>
      </c>
      <c r="B77" s="3" t="s">
        <v>122</v>
      </c>
      <c r="C77" s="3">
        <v>20</v>
      </c>
      <c r="D77" s="3" t="s">
        <v>141</v>
      </c>
      <c r="E77" s="3" t="s">
        <v>7616</v>
      </c>
      <c r="F77" s="3" t="s">
        <v>7608</v>
      </c>
      <c r="G77" s="3" t="s">
        <v>7633</v>
      </c>
    </row>
    <row r="78" spans="1:7">
      <c r="A78" s="2">
        <v>5</v>
      </c>
      <c r="B78" s="2" t="s">
        <v>122</v>
      </c>
      <c r="C78" s="2">
        <v>21</v>
      </c>
      <c r="D78" s="2" t="s">
        <v>228</v>
      </c>
      <c r="E78" s="2" t="s">
        <v>7616</v>
      </c>
      <c r="F78" s="2" t="s">
        <v>7608</v>
      </c>
      <c r="G78" s="2" t="s">
        <v>7609</v>
      </c>
    </row>
    <row r="79" spans="1:7">
      <c r="A79" s="3">
        <v>5</v>
      </c>
      <c r="B79" s="3" t="s">
        <v>122</v>
      </c>
      <c r="C79" s="3">
        <v>22</v>
      </c>
      <c r="D79" s="3" t="s">
        <v>192</v>
      </c>
      <c r="E79" s="3" t="s">
        <v>7610</v>
      </c>
      <c r="F79" s="3" t="s">
        <v>7611</v>
      </c>
      <c r="G79" s="3" t="s">
        <v>7644</v>
      </c>
    </row>
    <row r="80" spans="1:7">
      <c r="A80" s="2">
        <v>5</v>
      </c>
      <c r="B80" s="2" t="s">
        <v>122</v>
      </c>
      <c r="C80" s="2">
        <v>23</v>
      </c>
      <c r="D80" s="2" t="s">
        <v>192</v>
      </c>
      <c r="E80" s="2" t="s">
        <v>7610</v>
      </c>
      <c r="F80" s="2" t="s">
        <v>7611</v>
      </c>
      <c r="G80" s="2" t="s">
        <v>7644</v>
      </c>
    </row>
    <row r="81" spans="1:7">
      <c r="A81" s="3">
        <v>5</v>
      </c>
      <c r="B81" s="3" t="s">
        <v>122</v>
      </c>
      <c r="C81" s="3">
        <v>24</v>
      </c>
      <c r="D81" s="3" t="s">
        <v>172</v>
      </c>
      <c r="E81" s="3" t="s">
        <v>7610</v>
      </c>
      <c r="F81" s="3" t="s">
        <v>7611</v>
      </c>
      <c r="G81" s="3" t="s">
        <v>7624</v>
      </c>
    </row>
    <row r="82" spans="1:7">
      <c r="A82" s="2">
        <v>5</v>
      </c>
      <c r="B82" s="2" t="s">
        <v>122</v>
      </c>
      <c r="C82" s="2">
        <v>25</v>
      </c>
      <c r="D82" s="2" t="s">
        <v>180</v>
      </c>
      <c r="E82" s="2" t="s">
        <v>7610</v>
      </c>
      <c r="F82" s="2" t="s">
        <v>7611</v>
      </c>
      <c r="G82" s="2" t="s">
        <v>7632</v>
      </c>
    </row>
    <row r="83" spans="1:7">
      <c r="A83" s="3">
        <v>5</v>
      </c>
      <c r="B83" s="3" t="s">
        <v>122</v>
      </c>
      <c r="C83" s="3">
        <v>27</v>
      </c>
      <c r="D83" s="3" t="s">
        <v>226</v>
      </c>
      <c r="E83" s="3" t="s">
        <v>7616</v>
      </c>
      <c r="F83" s="3" t="s">
        <v>7608</v>
      </c>
      <c r="G83" s="3" t="s">
        <v>7633</v>
      </c>
    </row>
    <row r="84" spans="1:7">
      <c r="A84" s="2">
        <v>5</v>
      </c>
      <c r="B84" s="2" t="s">
        <v>122</v>
      </c>
      <c r="C84" s="2">
        <v>28</v>
      </c>
      <c r="D84" s="2" t="s">
        <v>175</v>
      </c>
      <c r="E84" s="2" t="s">
        <v>7610</v>
      </c>
      <c r="F84" s="2" t="s">
        <v>7611</v>
      </c>
      <c r="G84" s="2" t="s">
        <v>7612</v>
      </c>
    </row>
    <row r="85" spans="1:7">
      <c r="A85" s="3">
        <v>5</v>
      </c>
      <c r="B85" s="3" t="s">
        <v>122</v>
      </c>
      <c r="C85" s="3">
        <v>29</v>
      </c>
      <c r="D85" s="3" t="s">
        <v>184</v>
      </c>
      <c r="E85" s="3" t="s">
        <v>7610</v>
      </c>
      <c r="F85" s="3" t="s">
        <v>7611</v>
      </c>
      <c r="G85" s="3" t="s">
        <v>7632</v>
      </c>
    </row>
    <row r="86" spans="1:7">
      <c r="A86" s="2">
        <v>5</v>
      </c>
      <c r="B86" s="2" t="s">
        <v>122</v>
      </c>
      <c r="C86" s="2">
        <v>30</v>
      </c>
      <c r="D86" s="2" t="s">
        <v>209</v>
      </c>
      <c r="E86" s="2" t="s">
        <v>7610</v>
      </c>
      <c r="F86" s="2" t="s">
        <v>7611</v>
      </c>
      <c r="G86" s="2" t="s">
        <v>7632</v>
      </c>
    </row>
    <row r="87" spans="1:7">
      <c r="A87" s="3">
        <v>5</v>
      </c>
      <c r="B87" s="3" t="s">
        <v>122</v>
      </c>
      <c r="C87" s="3">
        <v>31</v>
      </c>
      <c r="D87" s="3" t="s">
        <v>207</v>
      </c>
      <c r="E87" s="3" t="s">
        <v>7616</v>
      </c>
      <c r="F87" s="3" t="s">
        <v>7611</v>
      </c>
      <c r="G87" s="3" t="s">
        <v>7619</v>
      </c>
    </row>
    <row r="88" spans="1:7">
      <c r="A88" s="2">
        <v>5</v>
      </c>
      <c r="B88" s="2" t="s">
        <v>122</v>
      </c>
      <c r="C88" s="2">
        <v>32</v>
      </c>
      <c r="D88" s="2" t="s">
        <v>164</v>
      </c>
      <c r="E88" s="2" t="s">
        <v>7610</v>
      </c>
      <c r="F88" s="2" t="s">
        <v>7611</v>
      </c>
      <c r="G88" s="2" t="s">
        <v>7612</v>
      </c>
    </row>
    <row r="89" spans="1:7">
      <c r="A89" s="3">
        <v>5</v>
      </c>
      <c r="B89" s="3" t="s">
        <v>122</v>
      </c>
      <c r="C89" s="3">
        <v>33</v>
      </c>
      <c r="D89" s="3" t="s">
        <v>23</v>
      </c>
      <c r="E89" s="3" t="s">
        <v>7616</v>
      </c>
      <c r="F89" s="3" t="s">
        <v>7611</v>
      </c>
      <c r="G89" s="3" t="s">
        <v>7619</v>
      </c>
    </row>
    <row r="90" spans="1:7">
      <c r="A90" s="2">
        <v>5</v>
      </c>
      <c r="B90" s="2" t="s">
        <v>122</v>
      </c>
      <c r="C90" s="2">
        <v>34</v>
      </c>
      <c r="D90" s="2" t="s">
        <v>160</v>
      </c>
      <c r="E90" s="2" t="s">
        <v>7610</v>
      </c>
      <c r="F90" s="2" t="s">
        <v>7611</v>
      </c>
      <c r="G90" s="2" t="s">
        <v>7644</v>
      </c>
    </row>
    <row r="91" spans="1:7">
      <c r="A91" s="3">
        <v>5</v>
      </c>
      <c r="B91" s="3" t="s">
        <v>122</v>
      </c>
      <c r="C91" s="3">
        <v>35</v>
      </c>
      <c r="D91" s="3" t="s">
        <v>155</v>
      </c>
      <c r="E91" s="3" t="s">
        <v>7610</v>
      </c>
      <c r="F91" s="3" t="s">
        <v>7611</v>
      </c>
      <c r="G91" s="3" t="s">
        <v>7612</v>
      </c>
    </row>
    <row r="92" spans="1:7">
      <c r="A92" s="2">
        <v>5</v>
      </c>
      <c r="B92" s="2" t="s">
        <v>122</v>
      </c>
      <c r="C92" s="2">
        <v>36</v>
      </c>
      <c r="D92" s="2" t="s">
        <v>94</v>
      </c>
      <c r="E92" s="2" t="s">
        <v>7616</v>
      </c>
      <c r="F92" s="2" t="s">
        <v>7611</v>
      </c>
      <c r="G92" s="2" t="s">
        <v>7619</v>
      </c>
    </row>
    <row r="93" spans="1:7">
      <c r="A93" s="3">
        <v>5</v>
      </c>
      <c r="B93" s="3" t="s">
        <v>122</v>
      </c>
      <c r="C93" s="3">
        <v>39</v>
      </c>
      <c r="D93" s="3" t="s">
        <v>133</v>
      </c>
      <c r="E93" s="3" t="s">
        <v>7616</v>
      </c>
      <c r="F93" s="3" t="s">
        <v>7611</v>
      </c>
      <c r="G93" s="3" t="s">
        <v>7609</v>
      </c>
    </row>
    <row r="94" spans="1:7">
      <c r="A94" s="2">
        <v>5</v>
      </c>
      <c r="B94" s="2" t="s">
        <v>122</v>
      </c>
      <c r="C94" s="2">
        <v>40</v>
      </c>
      <c r="D94" s="2" t="s">
        <v>188</v>
      </c>
      <c r="E94" s="2" t="s">
        <v>7607</v>
      </c>
      <c r="F94" s="2" t="s">
        <v>7611</v>
      </c>
      <c r="G94" s="2" t="s">
        <v>7634</v>
      </c>
    </row>
    <row r="95" spans="1:7">
      <c r="A95" s="3">
        <v>5</v>
      </c>
      <c r="B95" s="3" t="s">
        <v>122</v>
      </c>
      <c r="C95" s="3">
        <v>41</v>
      </c>
      <c r="D95" s="3" t="s">
        <v>56</v>
      </c>
      <c r="E95" s="3" t="s">
        <v>7610</v>
      </c>
      <c r="F95" s="3" t="s">
        <v>7611</v>
      </c>
      <c r="G95" s="3" t="s">
        <v>7632</v>
      </c>
    </row>
    <row r="96" spans="1:7">
      <c r="A96" s="2">
        <v>5</v>
      </c>
      <c r="B96" s="2" t="s">
        <v>122</v>
      </c>
      <c r="C96" s="2">
        <v>42</v>
      </c>
      <c r="D96" s="2" t="s">
        <v>62</v>
      </c>
      <c r="E96" s="2" t="s">
        <v>7610</v>
      </c>
      <c r="F96" s="2" t="s">
        <v>7611</v>
      </c>
      <c r="G96" s="2" t="s">
        <v>7612</v>
      </c>
    </row>
    <row r="97" spans="1:7">
      <c r="A97" s="3">
        <v>5</v>
      </c>
      <c r="B97" s="3" t="s">
        <v>122</v>
      </c>
      <c r="C97" s="3">
        <v>43</v>
      </c>
      <c r="D97" s="3" t="s">
        <v>205</v>
      </c>
      <c r="E97" s="3" t="s">
        <v>7616</v>
      </c>
      <c r="F97" s="3" t="s">
        <v>7611</v>
      </c>
      <c r="G97" s="3" t="s">
        <v>7619</v>
      </c>
    </row>
    <row r="98" spans="1:7">
      <c r="A98" s="2">
        <v>5</v>
      </c>
      <c r="B98" s="2" t="s">
        <v>122</v>
      </c>
      <c r="C98" s="2">
        <v>44</v>
      </c>
      <c r="D98" s="2" t="s">
        <v>137</v>
      </c>
      <c r="E98" s="2" t="s">
        <v>7610</v>
      </c>
      <c r="F98" s="2" t="s">
        <v>7611</v>
      </c>
      <c r="G98" s="2" t="s">
        <v>7632</v>
      </c>
    </row>
    <row r="99" spans="1:7">
      <c r="A99" s="3">
        <v>5</v>
      </c>
      <c r="B99" s="3" t="s">
        <v>122</v>
      </c>
      <c r="C99" s="3">
        <v>45</v>
      </c>
      <c r="D99" s="3" t="s">
        <v>197</v>
      </c>
      <c r="E99" s="3" t="s">
        <v>7616</v>
      </c>
      <c r="F99" s="3" t="s">
        <v>7611</v>
      </c>
      <c r="G99" s="3" t="s">
        <v>7636</v>
      </c>
    </row>
    <row r="100" spans="1:7">
      <c r="A100" s="2">
        <v>5</v>
      </c>
      <c r="B100" s="2" t="s">
        <v>122</v>
      </c>
      <c r="C100" s="2">
        <v>46</v>
      </c>
      <c r="D100" s="2" t="s">
        <v>89</v>
      </c>
      <c r="E100" s="2" t="s">
        <v>7610</v>
      </c>
      <c r="F100" s="2" t="s">
        <v>7611</v>
      </c>
      <c r="G100" s="2" t="s">
        <v>7644</v>
      </c>
    </row>
    <row r="101" spans="1:7">
      <c r="A101" s="3">
        <v>5</v>
      </c>
      <c r="B101" s="3" t="s">
        <v>122</v>
      </c>
      <c r="C101" s="3">
        <v>47</v>
      </c>
      <c r="D101" s="3" t="s">
        <v>100</v>
      </c>
      <c r="E101" s="3" t="s">
        <v>7616</v>
      </c>
      <c r="F101" s="3" t="s">
        <v>7611</v>
      </c>
      <c r="G101" s="3" t="s">
        <v>7619</v>
      </c>
    </row>
    <row r="102" spans="1:7">
      <c r="A102" s="2">
        <v>5</v>
      </c>
      <c r="B102" s="2" t="s">
        <v>122</v>
      </c>
      <c r="C102" s="2">
        <v>48</v>
      </c>
      <c r="D102" s="2" t="s">
        <v>167</v>
      </c>
      <c r="E102" s="2" t="s">
        <v>7616</v>
      </c>
      <c r="F102" s="2" t="s">
        <v>7611</v>
      </c>
      <c r="G102" s="2" t="s">
        <v>7639</v>
      </c>
    </row>
    <row r="103" spans="1:7">
      <c r="A103" s="3">
        <v>5</v>
      </c>
      <c r="B103" s="3" t="s">
        <v>122</v>
      </c>
      <c r="C103" s="3">
        <v>49</v>
      </c>
      <c r="D103" s="3" t="s">
        <v>158</v>
      </c>
      <c r="E103" s="3" t="s">
        <v>7616</v>
      </c>
      <c r="F103" s="3" t="s">
        <v>7608</v>
      </c>
      <c r="G103" s="3" t="s">
        <v>7609</v>
      </c>
    </row>
    <row r="104" spans="1:7">
      <c r="A104" s="2">
        <v>5</v>
      </c>
      <c r="B104" s="2" t="s">
        <v>122</v>
      </c>
      <c r="C104" s="2">
        <v>50</v>
      </c>
      <c r="D104" s="2" t="s">
        <v>212</v>
      </c>
      <c r="E104" s="2" t="s">
        <v>7610</v>
      </c>
      <c r="F104" s="2" t="s">
        <v>7611</v>
      </c>
      <c r="G104" s="2" t="s">
        <v>7632</v>
      </c>
    </row>
    <row r="105" spans="1:7">
      <c r="A105" s="3">
        <v>5</v>
      </c>
      <c r="B105" s="3" t="s">
        <v>122</v>
      </c>
      <c r="C105" s="3">
        <v>51</v>
      </c>
      <c r="D105" s="3" t="s">
        <v>144</v>
      </c>
      <c r="E105" s="3" t="s">
        <v>7610</v>
      </c>
      <c r="F105" s="3" t="s">
        <v>7611</v>
      </c>
      <c r="G105" s="3" t="s">
        <v>7642</v>
      </c>
    </row>
    <row r="106" spans="1:7">
      <c r="A106" s="2">
        <v>5</v>
      </c>
      <c r="B106" s="2" t="s">
        <v>122</v>
      </c>
      <c r="C106" s="2">
        <v>52</v>
      </c>
      <c r="D106" s="2" t="s">
        <v>149</v>
      </c>
      <c r="E106" s="2" t="s">
        <v>7610</v>
      </c>
      <c r="F106" s="2" t="s">
        <v>7611</v>
      </c>
      <c r="G106" s="2" t="s">
        <v>7624</v>
      </c>
    </row>
    <row r="107" spans="1:7">
      <c r="A107" s="3">
        <v>5</v>
      </c>
      <c r="B107" s="3" t="s">
        <v>122</v>
      </c>
      <c r="C107" s="3">
        <v>53</v>
      </c>
      <c r="D107" s="3" t="s">
        <v>215</v>
      </c>
      <c r="E107" s="3" t="s">
        <v>7607</v>
      </c>
      <c r="F107" s="3" t="s">
        <v>7611</v>
      </c>
      <c r="G107" s="3" t="s">
        <v>7619</v>
      </c>
    </row>
    <row r="108" spans="1:7">
      <c r="A108" s="2">
        <v>5</v>
      </c>
      <c r="B108" s="2" t="s">
        <v>122</v>
      </c>
      <c r="C108" s="2">
        <v>55</v>
      </c>
      <c r="D108" s="2" t="s">
        <v>218</v>
      </c>
      <c r="E108" s="2" t="s">
        <v>7610</v>
      </c>
      <c r="F108" s="2" t="s">
        <v>7611</v>
      </c>
      <c r="G108" s="2" t="s">
        <v>7612</v>
      </c>
    </row>
    <row r="109" spans="1:7">
      <c r="A109" s="3">
        <v>5</v>
      </c>
      <c r="B109" s="3" t="s">
        <v>122</v>
      </c>
      <c r="C109" s="3">
        <v>56</v>
      </c>
      <c r="D109" s="3" t="s">
        <v>12</v>
      </c>
      <c r="E109" s="3" t="s">
        <v>7616</v>
      </c>
      <c r="F109" s="3" t="s">
        <v>7611</v>
      </c>
      <c r="G109" s="3" t="s">
        <v>7636</v>
      </c>
    </row>
    <row r="110" spans="1:7">
      <c r="A110" s="2">
        <v>5</v>
      </c>
      <c r="B110" s="2" t="s">
        <v>122</v>
      </c>
      <c r="C110" s="2">
        <v>57</v>
      </c>
      <c r="D110" s="2" t="s">
        <v>39</v>
      </c>
      <c r="E110" s="2" t="s">
        <v>7610</v>
      </c>
      <c r="F110" s="2" t="s">
        <v>7611</v>
      </c>
      <c r="G110" s="2" t="s">
        <v>7644</v>
      </c>
    </row>
    <row r="111" spans="1:7">
      <c r="A111" s="3">
        <v>5</v>
      </c>
      <c r="B111" s="3" t="s">
        <v>122</v>
      </c>
      <c r="C111" s="3">
        <v>58</v>
      </c>
      <c r="D111" s="3" t="s">
        <v>152</v>
      </c>
      <c r="E111" s="3" t="s">
        <v>7610</v>
      </c>
      <c r="F111" s="3" t="s">
        <v>7611</v>
      </c>
      <c r="G111" s="3" t="s">
        <v>7612</v>
      </c>
    </row>
    <row r="112" spans="1:7">
      <c r="A112" s="2">
        <v>5</v>
      </c>
      <c r="B112" s="2" t="s">
        <v>122</v>
      </c>
      <c r="C112" s="2">
        <v>59</v>
      </c>
      <c r="D112" s="2" t="s">
        <v>28</v>
      </c>
      <c r="E112" s="2" t="s">
        <v>7616</v>
      </c>
      <c r="F112" s="2" t="s">
        <v>7611</v>
      </c>
      <c r="G112" s="2" t="s">
        <v>7617</v>
      </c>
    </row>
    <row r="113" spans="1:7">
      <c r="A113" s="3">
        <v>5</v>
      </c>
      <c r="B113" s="3" t="s">
        <v>122</v>
      </c>
      <c r="C113" s="3">
        <v>60</v>
      </c>
      <c r="D113" s="3" t="s">
        <v>285</v>
      </c>
      <c r="E113" s="3" t="s">
        <v>7620</v>
      </c>
      <c r="F113" s="3" t="s">
        <v>7611</v>
      </c>
      <c r="G113" s="3" t="s">
        <v>7617</v>
      </c>
    </row>
    <row r="114" spans="1:7">
      <c r="A114" s="2">
        <v>5</v>
      </c>
      <c r="B114" s="2" t="s">
        <v>122</v>
      </c>
      <c r="C114" s="2">
        <v>61</v>
      </c>
      <c r="D114" s="2" t="s">
        <v>273</v>
      </c>
      <c r="E114" s="2" t="s">
        <v>7620</v>
      </c>
      <c r="F114" s="2" t="s">
        <v>7611</v>
      </c>
      <c r="G114" s="2" t="s">
        <v>7622</v>
      </c>
    </row>
    <row r="115" spans="1:7">
      <c r="A115" s="3">
        <v>5</v>
      </c>
      <c r="B115" s="3" t="s">
        <v>122</v>
      </c>
      <c r="C115" s="3">
        <v>62</v>
      </c>
      <c r="D115" s="3" t="s">
        <v>280</v>
      </c>
      <c r="E115" s="3" t="s">
        <v>7618</v>
      </c>
      <c r="F115" s="3" t="s">
        <v>7611</v>
      </c>
      <c r="G115" s="3" t="s">
        <v>7632</v>
      </c>
    </row>
    <row r="116" spans="1:7">
      <c r="A116" s="2">
        <v>5</v>
      </c>
      <c r="B116" s="2" t="s">
        <v>122</v>
      </c>
      <c r="C116" s="2">
        <v>63</v>
      </c>
      <c r="D116" s="2" t="s">
        <v>265</v>
      </c>
      <c r="E116" s="2" t="s">
        <v>7630</v>
      </c>
      <c r="F116" s="2" t="s">
        <v>7611</v>
      </c>
      <c r="G116" s="2" t="s">
        <v>7632</v>
      </c>
    </row>
    <row r="117" spans="1:7">
      <c r="A117" s="3">
        <v>5</v>
      </c>
      <c r="B117" s="3" t="s">
        <v>122</v>
      </c>
      <c r="C117" s="3">
        <v>64</v>
      </c>
      <c r="D117" s="3" t="s">
        <v>283</v>
      </c>
      <c r="E117" s="3" t="s">
        <v>7618</v>
      </c>
      <c r="F117" s="3" t="s">
        <v>7611</v>
      </c>
      <c r="G117" s="3" t="s">
        <v>7639</v>
      </c>
    </row>
    <row r="118" spans="1:7">
      <c r="A118" s="2">
        <v>5</v>
      </c>
      <c r="B118" s="2" t="s">
        <v>122</v>
      </c>
      <c r="C118" s="2">
        <v>65</v>
      </c>
      <c r="D118" s="2" t="s">
        <v>243</v>
      </c>
      <c r="E118" s="2" t="s">
        <v>7620</v>
      </c>
      <c r="F118" s="2" t="s">
        <v>7611</v>
      </c>
      <c r="G118" s="2" t="s">
        <v>7617</v>
      </c>
    </row>
    <row r="119" spans="1:7">
      <c r="A119" s="3">
        <v>5</v>
      </c>
      <c r="B119" s="3" t="s">
        <v>122</v>
      </c>
      <c r="C119" s="3">
        <v>66</v>
      </c>
      <c r="D119" s="3" t="s">
        <v>249</v>
      </c>
      <c r="E119" s="3" t="s">
        <v>7618</v>
      </c>
      <c r="F119" s="3" t="s">
        <v>7611</v>
      </c>
      <c r="G119" s="3" t="s">
        <v>7619</v>
      </c>
    </row>
    <row r="120" spans="1:7">
      <c r="A120" s="2">
        <v>5</v>
      </c>
      <c r="B120" s="2" t="s">
        <v>122</v>
      </c>
      <c r="C120" s="2">
        <v>67</v>
      </c>
      <c r="D120" s="2" t="s">
        <v>252</v>
      </c>
      <c r="E120" s="2" t="s">
        <v>7618</v>
      </c>
      <c r="F120" s="2" t="s">
        <v>7611</v>
      </c>
      <c r="G120" s="2" t="s">
        <v>7634</v>
      </c>
    </row>
    <row r="121" spans="1:7">
      <c r="A121" s="3">
        <v>5</v>
      </c>
      <c r="B121" s="3" t="s">
        <v>122</v>
      </c>
      <c r="C121" s="3">
        <v>68</v>
      </c>
      <c r="D121" s="3" t="s">
        <v>254</v>
      </c>
      <c r="E121" s="3" t="s">
        <v>7630</v>
      </c>
      <c r="F121" s="3" t="s">
        <v>7608</v>
      </c>
      <c r="G121" s="3" t="s">
        <v>7617</v>
      </c>
    </row>
    <row r="122" spans="1:7">
      <c r="A122" s="2">
        <v>5</v>
      </c>
      <c r="B122" s="2" t="s">
        <v>122</v>
      </c>
      <c r="C122" s="2">
        <v>69</v>
      </c>
      <c r="D122" s="2" t="s">
        <v>259</v>
      </c>
      <c r="E122" s="2" t="s">
        <v>7630</v>
      </c>
      <c r="F122" s="2" t="s">
        <v>7611</v>
      </c>
      <c r="G122" s="2" t="s">
        <v>7619</v>
      </c>
    </row>
    <row r="123" spans="1:7">
      <c r="A123" s="3">
        <v>5</v>
      </c>
      <c r="B123" s="3" t="s">
        <v>122</v>
      </c>
      <c r="C123" s="3">
        <v>70</v>
      </c>
      <c r="D123" s="3" t="s">
        <v>262</v>
      </c>
      <c r="E123" s="3" t="s">
        <v>7630</v>
      </c>
      <c r="F123" s="3" t="s">
        <v>7611</v>
      </c>
      <c r="G123" s="3" t="s">
        <v>7639</v>
      </c>
    </row>
    <row r="124" spans="1:7">
      <c r="A124" s="2">
        <v>5</v>
      </c>
      <c r="B124" s="2" t="s">
        <v>122</v>
      </c>
      <c r="C124" s="2">
        <v>71</v>
      </c>
      <c r="D124" s="2" t="s">
        <v>235</v>
      </c>
      <c r="E124" s="2" t="s">
        <v>7618</v>
      </c>
      <c r="F124" s="2" t="s">
        <v>7611</v>
      </c>
      <c r="G124" s="2" t="s">
        <v>7619</v>
      </c>
    </row>
    <row r="125" spans="1:7">
      <c r="A125" s="3">
        <v>5</v>
      </c>
      <c r="B125" s="3" t="s">
        <v>122</v>
      </c>
      <c r="C125" s="3">
        <v>72</v>
      </c>
      <c r="D125" s="3" t="s">
        <v>238</v>
      </c>
      <c r="E125" s="3" t="s">
        <v>7618</v>
      </c>
      <c r="F125" s="3" t="s">
        <v>7611</v>
      </c>
      <c r="G125" s="3" t="s">
        <v>7619</v>
      </c>
    </row>
    <row r="126" spans="1:7">
      <c r="A126" s="2">
        <v>5</v>
      </c>
      <c r="B126" s="2" t="s">
        <v>122</v>
      </c>
      <c r="C126" s="2">
        <v>73</v>
      </c>
      <c r="D126" s="2" t="s">
        <v>240</v>
      </c>
      <c r="E126" s="2" t="s">
        <v>7620</v>
      </c>
      <c r="F126" s="2" t="s">
        <v>7611</v>
      </c>
      <c r="G126" s="2" t="s">
        <v>7633</v>
      </c>
    </row>
    <row r="127" spans="1:7">
      <c r="A127" s="3">
        <v>5</v>
      </c>
      <c r="B127" s="3" t="s">
        <v>122</v>
      </c>
      <c r="C127" s="3">
        <v>74</v>
      </c>
      <c r="D127" s="3" t="s">
        <v>293</v>
      </c>
      <c r="E127" s="3" t="s">
        <v>7620</v>
      </c>
      <c r="F127" s="3" t="s">
        <v>7611</v>
      </c>
      <c r="G127" s="3" t="s">
        <v>7609</v>
      </c>
    </row>
    <row r="128" spans="1:7">
      <c r="A128" s="2">
        <v>5</v>
      </c>
      <c r="B128" s="2" t="s">
        <v>122</v>
      </c>
      <c r="C128" s="2">
        <v>75</v>
      </c>
      <c r="D128" s="2" t="s">
        <v>230</v>
      </c>
      <c r="E128" s="2" t="s">
        <v>7618</v>
      </c>
      <c r="F128" s="2" t="s">
        <v>7608</v>
      </c>
      <c r="G128" s="2" t="s">
        <v>7636</v>
      </c>
    </row>
    <row r="129" spans="1:7">
      <c r="A129" s="3">
        <v>5</v>
      </c>
      <c r="B129" s="3" t="s">
        <v>122</v>
      </c>
      <c r="C129" s="3">
        <v>76</v>
      </c>
      <c r="D129" s="3" t="s">
        <v>268</v>
      </c>
      <c r="E129" s="3" t="s">
        <v>7630</v>
      </c>
      <c r="F129" s="3" t="s">
        <v>7611</v>
      </c>
      <c r="G129" s="3" t="s">
        <v>7639</v>
      </c>
    </row>
    <row r="130" spans="1:7">
      <c r="A130" s="2">
        <v>5</v>
      </c>
      <c r="B130" s="2" t="s">
        <v>122</v>
      </c>
      <c r="C130" s="2">
        <v>77</v>
      </c>
      <c r="D130" s="2" t="s">
        <v>297</v>
      </c>
      <c r="E130" s="2" t="s">
        <v>7618</v>
      </c>
      <c r="F130" s="2" t="s">
        <v>7611</v>
      </c>
      <c r="G130" s="2" t="s">
        <v>7619</v>
      </c>
    </row>
    <row r="131" spans="1:7">
      <c r="A131" s="3">
        <v>5</v>
      </c>
      <c r="B131" s="3" t="s">
        <v>122</v>
      </c>
      <c r="C131" s="3">
        <v>78</v>
      </c>
      <c r="D131" s="3" t="s">
        <v>301</v>
      </c>
      <c r="E131" s="3" t="s">
        <v>7620</v>
      </c>
      <c r="F131" s="3" t="s">
        <v>7611</v>
      </c>
      <c r="G131" s="3" t="s">
        <v>7621</v>
      </c>
    </row>
    <row r="132" spans="1:7">
      <c r="A132" s="2">
        <v>5</v>
      </c>
      <c r="B132" s="2" t="s">
        <v>122</v>
      </c>
      <c r="C132" s="2">
        <v>79</v>
      </c>
      <c r="D132" s="2" t="s">
        <v>246</v>
      </c>
      <c r="E132" s="2" t="s">
        <v>7620</v>
      </c>
      <c r="F132" s="2" t="s">
        <v>7611</v>
      </c>
      <c r="G132" s="2" t="s">
        <v>7636</v>
      </c>
    </row>
    <row r="133" spans="1:7">
      <c r="A133" s="3">
        <v>5</v>
      </c>
      <c r="B133" s="3" t="s">
        <v>122</v>
      </c>
      <c r="C133" s="3">
        <v>80</v>
      </c>
      <c r="D133" s="3" t="s">
        <v>289</v>
      </c>
      <c r="E133" s="3" t="s">
        <v>7620</v>
      </c>
      <c r="F133" s="3" t="s">
        <v>7611</v>
      </c>
      <c r="G133" s="3" t="s">
        <v>7622</v>
      </c>
    </row>
    <row r="134" spans="1:7">
      <c r="A134" s="2">
        <v>5</v>
      </c>
      <c r="B134" s="2" t="s">
        <v>122</v>
      </c>
      <c r="C134" s="2">
        <v>81</v>
      </c>
      <c r="D134" s="2" t="s">
        <v>308</v>
      </c>
      <c r="E134" s="2" t="s">
        <v>7620</v>
      </c>
      <c r="F134" s="2" t="s">
        <v>7611</v>
      </c>
      <c r="G134" s="2" t="s">
        <v>7633</v>
      </c>
    </row>
    <row r="135" spans="1:7">
      <c r="A135" s="3">
        <v>5</v>
      </c>
      <c r="B135" s="3" t="s">
        <v>122</v>
      </c>
      <c r="C135" s="3">
        <v>82</v>
      </c>
      <c r="D135" s="3" t="s">
        <v>277</v>
      </c>
      <c r="E135" s="3" t="s">
        <v>7618</v>
      </c>
      <c r="F135" s="3" t="s">
        <v>7611</v>
      </c>
      <c r="G135" s="3" t="s">
        <v>7634</v>
      </c>
    </row>
    <row r="136" spans="1:7">
      <c r="A136" s="2">
        <v>5</v>
      </c>
      <c r="B136" s="2" t="s">
        <v>122</v>
      </c>
      <c r="C136" s="2">
        <v>83</v>
      </c>
      <c r="D136" s="2" t="s">
        <v>304</v>
      </c>
      <c r="E136" s="2" t="s">
        <v>7620</v>
      </c>
      <c r="F136" s="2" t="s">
        <v>7611</v>
      </c>
      <c r="G136" s="2" t="s">
        <v>7633</v>
      </c>
    </row>
    <row r="137" spans="1:7">
      <c r="A137" s="3">
        <v>5</v>
      </c>
      <c r="B137" s="3" t="s">
        <v>122</v>
      </c>
      <c r="C137" s="3">
        <v>85</v>
      </c>
      <c r="D137" s="3" t="s">
        <v>334</v>
      </c>
      <c r="E137" s="3" t="s">
        <v>7620</v>
      </c>
      <c r="F137" s="3" t="s">
        <v>7611</v>
      </c>
      <c r="G137" s="3" t="s">
        <v>7633</v>
      </c>
    </row>
    <row r="138" spans="1:7">
      <c r="A138" s="2">
        <v>5</v>
      </c>
      <c r="B138" s="2" t="s">
        <v>122</v>
      </c>
      <c r="C138" s="2">
        <v>86</v>
      </c>
      <c r="D138" s="2" t="s">
        <v>322</v>
      </c>
      <c r="E138" s="2" t="s">
        <v>7618</v>
      </c>
      <c r="F138" s="2" t="s">
        <v>7608</v>
      </c>
      <c r="G138" s="2" t="s">
        <v>7609</v>
      </c>
    </row>
    <row r="139" spans="1:7">
      <c r="A139" s="3">
        <v>5</v>
      </c>
      <c r="B139" s="3" t="s">
        <v>122</v>
      </c>
      <c r="C139" s="3">
        <v>88</v>
      </c>
      <c r="D139" s="3" t="s">
        <v>312</v>
      </c>
      <c r="E139" s="3" t="s">
        <v>7618</v>
      </c>
      <c r="F139" s="3" t="s">
        <v>7611</v>
      </c>
      <c r="G139" s="3" t="s">
        <v>7634</v>
      </c>
    </row>
    <row r="140" spans="1:7">
      <c r="A140" s="2">
        <v>5</v>
      </c>
      <c r="B140" s="2" t="s">
        <v>122</v>
      </c>
      <c r="C140" s="2">
        <v>89</v>
      </c>
      <c r="D140" s="2" t="s">
        <v>339</v>
      </c>
      <c r="E140" s="2" t="s">
        <v>7618</v>
      </c>
      <c r="F140" s="2" t="s">
        <v>7608</v>
      </c>
      <c r="G140" s="2" t="s">
        <v>7636</v>
      </c>
    </row>
    <row r="141" spans="1:7">
      <c r="A141" s="3">
        <v>5</v>
      </c>
      <c r="B141" s="3" t="s">
        <v>122</v>
      </c>
      <c r="C141" s="3">
        <v>91</v>
      </c>
      <c r="D141" s="3" t="s">
        <v>326</v>
      </c>
      <c r="E141" s="3" t="s">
        <v>7630</v>
      </c>
      <c r="F141" s="3" t="s">
        <v>7611</v>
      </c>
      <c r="G141" s="3" t="s">
        <v>7639</v>
      </c>
    </row>
    <row r="142" spans="1:7">
      <c r="A142" s="2">
        <v>5</v>
      </c>
      <c r="B142" s="2" t="s">
        <v>122</v>
      </c>
      <c r="C142" s="2">
        <v>92</v>
      </c>
      <c r="D142" s="2" t="s">
        <v>330</v>
      </c>
      <c r="E142" s="2" t="s">
        <v>7618</v>
      </c>
      <c r="F142" s="2" t="s">
        <v>7611</v>
      </c>
      <c r="G142" s="2" t="s">
        <v>7634</v>
      </c>
    </row>
    <row r="143" spans="1:7">
      <c r="A143" s="3">
        <v>5</v>
      </c>
      <c r="B143" s="3" t="s">
        <v>122</v>
      </c>
      <c r="C143" s="3">
        <v>93</v>
      </c>
      <c r="D143" s="3" t="s">
        <v>351</v>
      </c>
      <c r="E143" s="3" t="s">
        <v>7620</v>
      </c>
      <c r="F143" s="3" t="s">
        <v>7608</v>
      </c>
      <c r="G143" s="3" t="s">
        <v>7625</v>
      </c>
    </row>
    <row r="144" spans="1:7">
      <c r="A144" s="2">
        <v>5</v>
      </c>
      <c r="B144" s="2" t="s">
        <v>122</v>
      </c>
      <c r="C144" s="2">
        <v>94</v>
      </c>
      <c r="D144" s="2" t="s">
        <v>316</v>
      </c>
      <c r="E144" s="2" t="s">
        <v>7618</v>
      </c>
      <c r="F144" s="2" t="s">
        <v>7608</v>
      </c>
      <c r="G144" s="2" t="s">
        <v>7636</v>
      </c>
    </row>
    <row r="145" spans="1:7">
      <c r="A145" s="3">
        <v>5</v>
      </c>
      <c r="B145" s="3" t="s">
        <v>122</v>
      </c>
      <c r="C145" s="3">
        <v>95</v>
      </c>
      <c r="D145" s="3" t="s">
        <v>342</v>
      </c>
      <c r="E145" s="3" t="s">
        <v>7620</v>
      </c>
      <c r="F145" s="3" t="s">
        <v>7611</v>
      </c>
      <c r="G145" s="3" t="s">
        <v>7633</v>
      </c>
    </row>
    <row r="146" spans="1:7">
      <c r="A146" s="2">
        <v>5</v>
      </c>
      <c r="B146" s="2" t="s">
        <v>122</v>
      </c>
      <c r="C146" s="2">
        <v>96</v>
      </c>
      <c r="D146" s="2" t="s">
        <v>359</v>
      </c>
      <c r="E146" s="2" t="s">
        <v>7630</v>
      </c>
      <c r="F146" s="2" t="s">
        <v>7611</v>
      </c>
      <c r="G146" s="2" t="s">
        <v>7639</v>
      </c>
    </row>
    <row r="147" spans="1:7">
      <c r="A147" s="3">
        <v>5</v>
      </c>
      <c r="B147" s="3" t="s">
        <v>122</v>
      </c>
      <c r="C147" s="3">
        <v>97</v>
      </c>
      <c r="D147" s="3" t="s">
        <v>457</v>
      </c>
      <c r="E147" s="3" t="s">
        <v>7630</v>
      </c>
      <c r="F147" s="3" t="s">
        <v>7611</v>
      </c>
      <c r="G147" s="3" t="s">
        <v>7619</v>
      </c>
    </row>
    <row r="148" spans="1:7">
      <c r="A148" s="2">
        <v>5</v>
      </c>
      <c r="B148" s="2" t="s">
        <v>122</v>
      </c>
      <c r="C148" s="2">
        <v>98</v>
      </c>
      <c r="D148" s="2" t="s">
        <v>440</v>
      </c>
      <c r="E148" s="2" t="s">
        <v>7620</v>
      </c>
      <c r="F148" s="2" t="s">
        <v>7611</v>
      </c>
      <c r="G148" s="2" t="s">
        <v>7625</v>
      </c>
    </row>
    <row r="149" spans="1:7">
      <c r="A149" s="3">
        <v>5</v>
      </c>
      <c r="B149" s="3" t="s">
        <v>122</v>
      </c>
      <c r="C149" s="3">
        <v>99</v>
      </c>
      <c r="D149" s="3" t="s">
        <v>446</v>
      </c>
      <c r="E149" s="3" t="s">
        <v>7620</v>
      </c>
      <c r="F149" s="3" t="s">
        <v>7611</v>
      </c>
      <c r="G149" s="3" t="s">
        <v>7625</v>
      </c>
    </row>
    <row r="150" spans="1:7">
      <c r="A150" s="2">
        <v>5</v>
      </c>
      <c r="B150" s="2" t="s">
        <v>122</v>
      </c>
      <c r="C150" s="2">
        <v>101</v>
      </c>
      <c r="D150" s="2" t="s">
        <v>395</v>
      </c>
      <c r="E150" s="2" t="s">
        <v>7620</v>
      </c>
      <c r="F150" s="2" t="s">
        <v>7611</v>
      </c>
      <c r="G150" s="2" t="s">
        <v>7621</v>
      </c>
    </row>
    <row r="151" spans="1:7">
      <c r="A151" s="3">
        <v>5</v>
      </c>
      <c r="B151" s="3" t="s">
        <v>122</v>
      </c>
      <c r="C151" s="3">
        <v>102</v>
      </c>
      <c r="D151" s="3" t="s">
        <v>540</v>
      </c>
      <c r="E151" s="3" t="s">
        <v>7620</v>
      </c>
      <c r="F151" s="3" t="s">
        <v>7611</v>
      </c>
      <c r="G151" s="3" t="s">
        <v>7622</v>
      </c>
    </row>
    <row r="152" spans="1:7">
      <c r="A152" s="2">
        <v>5</v>
      </c>
      <c r="B152" s="2" t="s">
        <v>122</v>
      </c>
      <c r="C152" s="2">
        <v>103</v>
      </c>
      <c r="D152" s="2" t="s">
        <v>384</v>
      </c>
      <c r="E152" s="2" t="s">
        <v>7620</v>
      </c>
      <c r="F152" s="2" t="s">
        <v>7608</v>
      </c>
      <c r="G152" s="2" t="s">
        <v>7625</v>
      </c>
    </row>
    <row r="153" spans="1:7">
      <c r="A153" s="3">
        <v>5</v>
      </c>
      <c r="B153" s="3" t="s">
        <v>122</v>
      </c>
      <c r="C153" s="3">
        <v>104</v>
      </c>
      <c r="D153" s="3" t="s">
        <v>493</v>
      </c>
      <c r="E153" s="3" t="s">
        <v>7620</v>
      </c>
      <c r="F153" s="3" t="s">
        <v>7611</v>
      </c>
      <c r="G153" s="3" t="s">
        <v>7633</v>
      </c>
    </row>
    <row r="154" spans="1:7">
      <c r="A154" s="2">
        <v>5</v>
      </c>
      <c r="B154" s="2" t="s">
        <v>122</v>
      </c>
      <c r="C154" s="2">
        <v>105</v>
      </c>
      <c r="D154" s="2" t="s">
        <v>582</v>
      </c>
      <c r="E154" s="2" t="s">
        <v>7620</v>
      </c>
      <c r="F154" s="2" t="s">
        <v>7611</v>
      </c>
      <c r="G154" s="2" t="s">
        <v>7633</v>
      </c>
    </row>
    <row r="155" spans="1:7">
      <c r="A155" s="3">
        <v>5</v>
      </c>
      <c r="B155" s="3" t="s">
        <v>122</v>
      </c>
      <c r="C155" s="3">
        <v>106</v>
      </c>
      <c r="D155" s="3" t="s">
        <v>404</v>
      </c>
      <c r="E155" s="3" t="s">
        <v>7620</v>
      </c>
      <c r="F155" s="3" t="s">
        <v>7608</v>
      </c>
      <c r="G155" s="3" t="s">
        <v>7625</v>
      </c>
    </row>
    <row r="156" spans="1:7">
      <c r="A156" s="2">
        <v>5</v>
      </c>
      <c r="B156" s="2" t="s">
        <v>122</v>
      </c>
      <c r="C156" s="2">
        <v>107</v>
      </c>
      <c r="D156" s="2" t="s">
        <v>536</v>
      </c>
      <c r="E156" s="2" t="s">
        <v>7618</v>
      </c>
      <c r="F156" s="2" t="s">
        <v>7611</v>
      </c>
      <c r="G156" s="2" t="s">
        <v>7636</v>
      </c>
    </row>
    <row r="157" spans="1:7">
      <c r="A157" s="3">
        <v>5</v>
      </c>
      <c r="B157" s="3" t="s">
        <v>122</v>
      </c>
      <c r="C157" s="3">
        <v>108</v>
      </c>
      <c r="D157" s="3" t="s">
        <v>548</v>
      </c>
      <c r="E157" s="3" t="s">
        <v>7618</v>
      </c>
      <c r="F157" s="3" t="s">
        <v>7611</v>
      </c>
      <c r="G157" s="3" t="s">
        <v>7619</v>
      </c>
    </row>
    <row r="158" spans="1:7">
      <c r="A158" s="2">
        <v>5</v>
      </c>
      <c r="B158" s="2" t="s">
        <v>122</v>
      </c>
      <c r="C158" s="2">
        <v>109</v>
      </c>
      <c r="D158" s="2" t="s">
        <v>489</v>
      </c>
      <c r="E158" s="2" t="s">
        <v>7618</v>
      </c>
      <c r="F158" s="2" t="s">
        <v>7608</v>
      </c>
      <c r="G158" s="2" t="s">
        <v>7633</v>
      </c>
    </row>
    <row r="159" spans="1:7">
      <c r="A159" s="3">
        <v>5</v>
      </c>
      <c r="B159" s="3" t="s">
        <v>122</v>
      </c>
      <c r="C159" s="3">
        <v>111</v>
      </c>
      <c r="D159" s="3" t="s">
        <v>407</v>
      </c>
      <c r="E159" s="3" t="s">
        <v>7618</v>
      </c>
      <c r="F159" s="3" t="s">
        <v>7608</v>
      </c>
      <c r="G159" s="3" t="s">
        <v>7636</v>
      </c>
    </row>
    <row r="160" spans="1:7">
      <c r="A160" s="2">
        <v>5</v>
      </c>
      <c r="B160" s="2" t="s">
        <v>122</v>
      </c>
      <c r="C160" s="2">
        <v>112</v>
      </c>
      <c r="D160" s="2" t="s">
        <v>517</v>
      </c>
      <c r="E160" s="2" t="s">
        <v>7620</v>
      </c>
      <c r="F160" s="2" t="s">
        <v>7611</v>
      </c>
      <c r="G160" s="2" t="s">
        <v>7609</v>
      </c>
    </row>
    <row r="161" spans="1:7">
      <c r="A161" s="3">
        <v>5</v>
      </c>
      <c r="B161" s="3" t="s">
        <v>122</v>
      </c>
      <c r="C161" s="3">
        <v>113</v>
      </c>
      <c r="D161" s="3" t="s">
        <v>595</v>
      </c>
      <c r="E161" s="3" t="s">
        <v>7620</v>
      </c>
      <c r="F161" s="3" t="s">
        <v>7611</v>
      </c>
      <c r="G161" s="3" t="s">
        <v>7633</v>
      </c>
    </row>
    <row r="162" spans="1:7">
      <c r="A162" s="2">
        <v>5</v>
      </c>
      <c r="B162" s="2" t="s">
        <v>122</v>
      </c>
      <c r="C162" s="2">
        <v>114</v>
      </c>
      <c r="D162" s="2" t="s">
        <v>461</v>
      </c>
      <c r="E162" s="2" t="s">
        <v>7620</v>
      </c>
      <c r="F162" s="2" t="s">
        <v>7611</v>
      </c>
      <c r="G162" s="2" t="s">
        <v>7633</v>
      </c>
    </row>
    <row r="163" spans="1:7">
      <c r="A163" s="3">
        <v>5</v>
      </c>
      <c r="B163" s="3" t="s">
        <v>122</v>
      </c>
      <c r="C163" s="3">
        <v>115</v>
      </c>
      <c r="D163" s="3" t="s">
        <v>476</v>
      </c>
      <c r="E163" s="3" t="s">
        <v>7620</v>
      </c>
      <c r="F163" s="3" t="s">
        <v>7611</v>
      </c>
      <c r="G163" s="3" t="s">
        <v>7622</v>
      </c>
    </row>
    <row r="164" spans="1:7">
      <c r="A164" s="2">
        <v>5</v>
      </c>
      <c r="B164" s="2" t="s">
        <v>122</v>
      </c>
      <c r="C164" s="2">
        <v>116</v>
      </c>
      <c r="D164" s="2" t="s">
        <v>584</v>
      </c>
      <c r="E164" s="2" t="s">
        <v>7620</v>
      </c>
      <c r="F164" s="2" t="s">
        <v>7611</v>
      </c>
      <c r="G164" s="2" t="s">
        <v>7622</v>
      </c>
    </row>
    <row r="165" spans="1:7">
      <c r="A165" s="3">
        <v>5</v>
      </c>
      <c r="B165" s="3" t="s">
        <v>122</v>
      </c>
      <c r="C165" s="3">
        <v>117</v>
      </c>
      <c r="D165" s="3" t="s">
        <v>528</v>
      </c>
      <c r="E165" s="3" t="s">
        <v>7620</v>
      </c>
      <c r="F165" s="3" t="s">
        <v>7611</v>
      </c>
      <c r="G165" s="3" t="s">
        <v>7633</v>
      </c>
    </row>
    <row r="166" spans="1:7">
      <c r="A166" s="2">
        <v>5</v>
      </c>
      <c r="B166" s="2" t="s">
        <v>122</v>
      </c>
      <c r="C166" s="2">
        <v>118</v>
      </c>
      <c r="D166" s="2" t="s">
        <v>514</v>
      </c>
      <c r="E166" s="2" t="s">
        <v>7620</v>
      </c>
      <c r="F166" s="2" t="s">
        <v>7611</v>
      </c>
      <c r="G166" s="2" t="s">
        <v>7609</v>
      </c>
    </row>
    <row r="167" spans="1:7">
      <c r="A167" s="3">
        <v>5</v>
      </c>
      <c r="B167" s="3" t="s">
        <v>122</v>
      </c>
      <c r="C167" s="3">
        <v>119</v>
      </c>
      <c r="D167" s="3" t="s">
        <v>367</v>
      </c>
      <c r="E167" s="3" t="s">
        <v>7620</v>
      </c>
      <c r="F167" s="3" t="s">
        <v>7611</v>
      </c>
      <c r="G167" s="3" t="s">
        <v>7633</v>
      </c>
    </row>
    <row r="168" spans="1:7">
      <c r="A168" s="2">
        <v>5</v>
      </c>
      <c r="B168" s="2" t="s">
        <v>122</v>
      </c>
      <c r="C168" s="2">
        <v>120</v>
      </c>
      <c r="D168" s="2" t="s">
        <v>465</v>
      </c>
      <c r="E168" s="2" t="s">
        <v>7620</v>
      </c>
      <c r="F168" s="2" t="s">
        <v>7611</v>
      </c>
      <c r="G168" s="2" t="s">
        <v>7622</v>
      </c>
    </row>
    <row r="169" spans="1:7">
      <c r="A169" s="3">
        <v>5</v>
      </c>
      <c r="B169" s="3" t="s">
        <v>122</v>
      </c>
      <c r="C169" s="3">
        <v>121</v>
      </c>
      <c r="D169" s="3" t="s">
        <v>510</v>
      </c>
      <c r="E169" s="3" t="s">
        <v>7620</v>
      </c>
      <c r="F169" s="3" t="s">
        <v>7611</v>
      </c>
      <c r="G169" s="3" t="s">
        <v>7622</v>
      </c>
    </row>
    <row r="170" spans="1:7">
      <c r="A170" s="2">
        <v>5</v>
      </c>
      <c r="B170" s="2" t="s">
        <v>122</v>
      </c>
      <c r="C170" s="2">
        <v>122</v>
      </c>
      <c r="D170" s="2" t="s">
        <v>391</v>
      </c>
      <c r="E170" s="2" t="s">
        <v>7618</v>
      </c>
      <c r="F170" s="2" t="s">
        <v>7611</v>
      </c>
      <c r="G170" s="2" t="s">
        <v>7619</v>
      </c>
    </row>
    <row r="171" spans="1:7">
      <c r="A171" s="3">
        <v>5</v>
      </c>
      <c r="B171" s="3" t="s">
        <v>122</v>
      </c>
      <c r="C171" s="3">
        <v>123</v>
      </c>
      <c r="D171" s="3" t="s">
        <v>571</v>
      </c>
      <c r="E171" s="3" t="s">
        <v>7620</v>
      </c>
      <c r="F171" s="3" t="s">
        <v>7611</v>
      </c>
      <c r="G171" s="3" t="s">
        <v>7621</v>
      </c>
    </row>
    <row r="172" spans="1:7">
      <c r="A172" s="2">
        <v>5</v>
      </c>
      <c r="B172" s="2" t="s">
        <v>122</v>
      </c>
      <c r="C172" s="2">
        <v>124</v>
      </c>
      <c r="D172" s="2" t="s">
        <v>524</v>
      </c>
      <c r="E172" s="2" t="s">
        <v>7620</v>
      </c>
      <c r="F172" s="2" t="s">
        <v>7611</v>
      </c>
      <c r="G172" s="2" t="s">
        <v>7609</v>
      </c>
    </row>
    <row r="173" spans="1:7">
      <c r="A173" s="3">
        <v>5</v>
      </c>
      <c r="B173" s="3" t="s">
        <v>122</v>
      </c>
      <c r="C173" s="3">
        <v>125</v>
      </c>
      <c r="D173" s="3" t="s">
        <v>565</v>
      </c>
      <c r="E173" s="3" t="s">
        <v>7620</v>
      </c>
      <c r="F173" s="3" t="s">
        <v>7611</v>
      </c>
      <c r="G173" s="3" t="s">
        <v>7622</v>
      </c>
    </row>
    <row r="174" spans="1:7">
      <c r="A174" s="2">
        <v>5</v>
      </c>
      <c r="B174" s="2" t="s">
        <v>122</v>
      </c>
      <c r="C174" s="2">
        <v>126</v>
      </c>
      <c r="D174" s="2" t="s">
        <v>410</v>
      </c>
      <c r="E174" s="2" t="s">
        <v>7620</v>
      </c>
      <c r="F174" s="2" t="s">
        <v>7608</v>
      </c>
      <c r="G174" s="2" t="s">
        <v>7622</v>
      </c>
    </row>
    <row r="175" spans="1:7">
      <c r="A175" s="3">
        <v>5</v>
      </c>
      <c r="B175" s="3" t="s">
        <v>122</v>
      </c>
      <c r="C175" s="3">
        <v>127</v>
      </c>
      <c r="D175" s="3" t="s">
        <v>575</v>
      </c>
      <c r="E175" s="3" t="s">
        <v>7620</v>
      </c>
      <c r="F175" s="3" t="s">
        <v>7611</v>
      </c>
      <c r="G175" s="3" t="s">
        <v>7633</v>
      </c>
    </row>
    <row r="176" spans="1:7">
      <c r="A176" s="2">
        <v>5</v>
      </c>
      <c r="B176" s="2" t="s">
        <v>122</v>
      </c>
      <c r="C176" s="2">
        <v>128</v>
      </c>
      <c r="D176" s="2" t="s">
        <v>355</v>
      </c>
      <c r="E176" s="2" t="s">
        <v>7620</v>
      </c>
      <c r="F176" s="2" t="s">
        <v>7611</v>
      </c>
      <c r="G176" s="2" t="s">
        <v>7633</v>
      </c>
    </row>
    <row r="177" spans="1:7">
      <c r="A177" s="3">
        <v>5</v>
      </c>
      <c r="B177" s="3" t="s">
        <v>122</v>
      </c>
      <c r="C177" s="3">
        <v>129</v>
      </c>
      <c r="D177" s="3" t="s">
        <v>499</v>
      </c>
      <c r="E177" s="3" t="s">
        <v>7620</v>
      </c>
      <c r="F177" s="3" t="s">
        <v>7611</v>
      </c>
      <c r="G177" s="3" t="s">
        <v>7621</v>
      </c>
    </row>
    <row r="178" spans="1:7">
      <c r="A178" s="2">
        <v>5</v>
      </c>
      <c r="B178" s="2" t="s">
        <v>122</v>
      </c>
      <c r="C178" s="2">
        <v>130</v>
      </c>
      <c r="D178" s="2" t="s">
        <v>504</v>
      </c>
      <c r="E178" s="2" t="s">
        <v>7618</v>
      </c>
      <c r="F178" s="2" t="s">
        <v>7611</v>
      </c>
      <c r="G178" s="2" t="s">
        <v>7619</v>
      </c>
    </row>
    <row r="179" spans="1:7">
      <c r="A179" s="3">
        <v>5</v>
      </c>
      <c r="B179" s="3" t="s">
        <v>122</v>
      </c>
      <c r="C179" s="3">
        <v>131</v>
      </c>
      <c r="D179" s="3" t="s">
        <v>577</v>
      </c>
      <c r="E179" s="3" t="s">
        <v>7620</v>
      </c>
      <c r="F179" s="3" t="s">
        <v>7611</v>
      </c>
      <c r="G179" s="3" t="s">
        <v>7633</v>
      </c>
    </row>
    <row r="180" spans="1:7">
      <c r="A180" s="2">
        <v>5</v>
      </c>
      <c r="B180" s="2" t="s">
        <v>122</v>
      </c>
      <c r="C180" s="2">
        <v>133</v>
      </c>
      <c r="D180" s="2" t="s">
        <v>212</v>
      </c>
      <c r="E180" s="2" t="s">
        <v>7618</v>
      </c>
      <c r="F180" s="2" t="s">
        <v>7608</v>
      </c>
      <c r="G180" s="2" t="s">
        <v>7617</v>
      </c>
    </row>
    <row r="181" spans="1:7">
      <c r="A181" s="3">
        <v>5</v>
      </c>
      <c r="B181" s="3" t="s">
        <v>122</v>
      </c>
      <c r="C181" s="3">
        <v>134</v>
      </c>
      <c r="D181" s="3" t="s">
        <v>591</v>
      </c>
      <c r="E181" s="3" t="s">
        <v>7618</v>
      </c>
      <c r="F181" s="3" t="s">
        <v>7611</v>
      </c>
      <c r="G181" s="3" t="s">
        <v>7639</v>
      </c>
    </row>
    <row r="182" spans="1:7">
      <c r="A182" s="2">
        <v>5</v>
      </c>
      <c r="B182" s="2" t="s">
        <v>122</v>
      </c>
      <c r="C182" s="2">
        <v>135</v>
      </c>
      <c r="D182" s="2" t="s">
        <v>469</v>
      </c>
      <c r="E182" s="2" t="s">
        <v>7620</v>
      </c>
      <c r="F182" s="2" t="s">
        <v>7611</v>
      </c>
      <c r="G182" s="2" t="s">
        <v>7633</v>
      </c>
    </row>
    <row r="183" spans="1:7">
      <c r="A183" s="3">
        <v>5</v>
      </c>
      <c r="B183" s="3" t="s">
        <v>122</v>
      </c>
      <c r="C183" s="3">
        <v>136</v>
      </c>
      <c r="D183" s="3" t="s">
        <v>413</v>
      </c>
      <c r="E183" s="3" t="s">
        <v>7618</v>
      </c>
      <c r="F183" s="3" t="s">
        <v>7611</v>
      </c>
      <c r="G183" s="3" t="s">
        <v>7636</v>
      </c>
    </row>
    <row r="184" spans="1:7">
      <c r="A184" s="2">
        <v>5</v>
      </c>
      <c r="B184" s="2" t="s">
        <v>122</v>
      </c>
      <c r="C184" s="2">
        <v>137</v>
      </c>
      <c r="D184" s="2" t="s">
        <v>546</v>
      </c>
      <c r="E184" s="2" t="s">
        <v>7620</v>
      </c>
      <c r="F184" s="2" t="s">
        <v>7611</v>
      </c>
      <c r="G184" s="2" t="s">
        <v>7625</v>
      </c>
    </row>
    <row r="185" spans="1:7">
      <c r="A185" s="3">
        <v>5</v>
      </c>
      <c r="B185" s="3" t="s">
        <v>122</v>
      </c>
      <c r="C185" s="3">
        <v>138</v>
      </c>
      <c r="D185" s="3" t="s">
        <v>561</v>
      </c>
      <c r="E185" s="3" t="s">
        <v>7620</v>
      </c>
      <c r="F185" s="3" t="s">
        <v>7611</v>
      </c>
      <c r="G185" s="3" t="s">
        <v>7621</v>
      </c>
    </row>
    <row r="186" spans="1:7">
      <c r="A186" s="2">
        <v>5</v>
      </c>
      <c r="B186" s="2" t="s">
        <v>122</v>
      </c>
      <c r="C186" s="2">
        <v>139</v>
      </c>
      <c r="D186" s="2" t="s">
        <v>531</v>
      </c>
      <c r="E186" s="2" t="s">
        <v>7618</v>
      </c>
      <c r="F186" s="2" t="s">
        <v>7611</v>
      </c>
      <c r="G186" s="2" t="s">
        <v>7636</v>
      </c>
    </row>
    <row r="187" spans="1:7">
      <c r="A187" s="3">
        <v>5</v>
      </c>
      <c r="B187" s="3" t="s">
        <v>122</v>
      </c>
      <c r="C187" s="3">
        <v>140</v>
      </c>
      <c r="D187" s="3" t="s">
        <v>580</v>
      </c>
      <c r="E187" s="3" t="s">
        <v>7620</v>
      </c>
      <c r="F187" s="3" t="s">
        <v>7611</v>
      </c>
      <c r="G187" s="3" t="s">
        <v>7622</v>
      </c>
    </row>
    <row r="188" spans="1:7">
      <c r="A188" s="2">
        <v>5</v>
      </c>
      <c r="B188" s="2" t="s">
        <v>122</v>
      </c>
      <c r="C188" s="2">
        <v>141</v>
      </c>
      <c r="D188" s="2" t="s">
        <v>480</v>
      </c>
      <c r="E188" s="2" t="s">
        <v>7616</v>
      </c>
      <c r="F188" s="2" t="s">
        <v>7611</v>
      </c>
      <c r="G188" s="2" t="s">
        <v>7634</v>
      </c>
    </row>
    <row r="189" spans="1:7">
      <c r="A189" s="3">
        <v>5</v>
      </c>
      <c r="B189" s="3" t="s">
        <v>122</v>
      </c>
      <c r="C189" s="3">
        <v>142</v>
      </c>
      <c r="D189" s="3" t="s">
        <v>543</v>
      </c>
      <c r="E189" s="3" t="s">
        <v>7620</v>
      </c>
      <c r="F189" s="3" t="s">
        <v>7611</v>
      </c>
      <c r="G189" s="3" t="s">
        <v>7609</v>
      </c>
    </row>
    <row r="190" spans="1:7">
      <c r="A190" s="2">
        <v>5</v>
      </c>
      <c r="B190" s="2" t="s">
        <v>122</v>
      </c>
      <c r="C190" s="2">
        <v>143</v>
      </c>
      <c r="D190" s="2" t="s">
        <v>371</v>
      </c>
      <c r="E190" s="2" t="s">
        <v>7618</v>
      </c>
      <c r="F190" s="2" t="s">
        <v>7611</v>
      </c>
      <c r="G190" s="2" t="s">
        <v>7639</v>
      </c>
    </row>
    <row r="191" spans="1:7">
      <c r="A191" s="3">
        <v>5</v>
      </c>
      <c r="B191" s="3" t="s">
        <v>122</v>
      </c>
      <c r="C191" s="3">
        <v>144</v>
      </c>
      <c r="D191" s="3" t="s">
        <v>375</v>
      </c>
      <c r="E191" s="3" t="s">
        <v>7618</v>
      </c>
      <c r="F191" s="3" t="s">
        <v>7611</v>
      </c>
      <c r="G191" s="3" t="s">
        <v>7617</v>
      </c>
    </row>
    <row r="192" spans="1:7">
      <c r="A192" s="2">
        <v>5</v>
      </c>
      <c r="B192" s="2" t="s">
        <v>122</v>
      </c>
      <c r="C192" s="2">
        <v>145</v>
      </c>
      <c r="D192" s="2" t="s">
        <v>431</v>
      </c>
      <c r="E192" s="2" t="s">
        <v>7618</v>
      </c>
      <c r="F192" s="2" t="s">
        <v>7608</v>
      </c>
      <c r="G192" s="2" t="s">
        <v>7619</v>
      </c>
    </row>
    <row r="193" spans="1:7">
      <c r="A193" s="3">
        <v>5</v>
      </c>
      <c r="B193" s="3" t="s">
        <v>122</v>
      </c>
      <c r="C193" s="3">
        <v>146</v>
      </c>
      <c r="D193" s="3" t="s">
        <v>416</v>
      </c>
      <c r="E193" s="3" t="s">
        <v>7620</v>
      </c>
      <c r="F193" s="3" t="s">
        <v>7611</v>
      </c>
      <c r="G193" s="3" t="s">
        <v>7621</v>
      </c>
    </row>
    <row r="194" spans="1:7">
      <c r="A194" s="2">
        <v>5</v>
      </c>
      <c r="B194" s="2" t="s">
        <v>122</v>
      </c>
      <c r="C194" s="2">
        <v>147</v>
      </c>
      <c r="D194" s="2" t="s">
        <v>454</v>
      </c>
      <c r="E194" s="2" t="s">
        <v>7618</v>
      </c>
      <c r="F194" s="2" t="s">
        <v>7608</v>
      </c>
      <c r="G194" s="2" t="s">
        <v>7633</v>
      </c>
    </row>
    <row r="195" spans="1:7">
      <c r="A195" s="3">
        <v>5</v>
      </c>
      <c r="B195" s="3" t="s">
        <v>122</v>
      </c>
      <c r="C195" s="3">
        <v>148</v>
      </c>
      <c r="D195" s="3" t="s">
        <v>420</v>
      </c>
      <c r="E195" s="3" t="s">
        <v>7630</v>
      </c>
      <c r="F195" s="3" t="s">
        <v>7611</v>
      </c>
      <c r="G195" s="3" t="s">
        <v>7639</v>
      </c>
    </row>
    <row r="196" spans="1:7">
      <c r="A196" s="2">
        <v>5</v>
      </c>
      <c r="B196" s="2" t="s">
        <v>122</v>
      </c>
      <c r="C196" s="2">
        <v>149</v>
      </c>
      <c r="D196" s="2" t="s">
        <v>443</v>
      </c>
      <c r="E196" s="2" t="s">
        <v>7620</v>
      </c>
      <c r="F196" s="2" t="s">
        <v>7611</v>
      </c>
      <c r="G196" s="2" t="s">
        <v>7622</v>
      </c>
    </row>
    <row r="197" spans="1:7">
      <c r="A197" s="3">
        <v>5</v>
      </c>
      <c r="B197" s="3" t="s">
        <v>122</v>
      </c>
      <c r="C197" s="3">
        <v>150</v>
      </c>
      <c r="D197" s="3" t="s">
        <v>379</v>
      </c>
      <c r="E197" s="3" t="s">
        <v>7618</v>
      </c>
      <c r="F197" s="3" t="s">
        <v>7611</v>
      </c>
      <c r="G197" s="3" t="s">
        <v>7619</v>
      </c>
    </row>
    <row r="198" spans="1:7">
      <c r="A198" s="2">
        <v>5</v>
      </c>
      <c r="B198" s="2" t="s">
        <v>122</v>
      </c>
      <c r="C198" s="2">
        <v>151</v>
      </c>
      <c r="D198" s="2" t="s">
        <v>601</v>
      </c>
      <c r="E198" s="2" t="s">
        <v>7620</v>
      </c>
      <c r="F198" s="2" t="s">
        <v>7608</v>
      </c>
      <c r="G198" s="2" t="s">
        <v>7625</v>
      </c>
    </row>
    <row r="199" spans="1:7">
      <c r="A199" s="3">
        <v>5</v>
      </c>
      <c r="B199" s="3" t="s">
        <v>122</v>
      </c>
      <c r="C199" s="3">
        <v>152</v>
      </c>
      <c r="D199" s="3" t="s">
        <v>508</v>
      </c>
      <c r="E199" s="3" t="s">
        <v>7620</v>
      </c>
      <c r="F199" s="3" t="s">
        <v>7611</v>
      </c>
      <c r="G199" s="3" t="s">
        <v>7633</v>
      </c>
    </row>
    <row r="200" spans="1:7">
      <c r="A200" s="2">
        <v>5</v>
      </c>
      <c r="B200" s="2" t="s">
        <v>122</v>
      </c>
      <c r="C200" s="2">
        <v>153</v>
      </c>
      <c r="D200" s="2" t="s">
        <v>435</v>
      </c>
      <c r="E200" s="2" t="s">
        <v>7620</v>
      </c>
      <c r="F200" s="2" t="s">
        <v>7611</v>
      </c>
      <c r="G200" s="2" t="s">
        <v>7609</v>
      </c>
    </row>
    <row r="201" spans="1:7">
      <c r="A201" s="3">
        <v>5</v>
      </c>
      <c r="B201" s="3" t="s">
        <v>122</v>
      </c>
      <c r="C201" s="3">
        <v>154</v>
      </c>
      <c r="D201" s="3" t="s">
        <v>589</v>
      </c>
      <c r="E201" s="3" t="s">
        <v>7620</v>
      </c>
      <c r="F201" s="3" t="s">
        <v>7611</v>
      </c>
      <c r="G201" s="3" t="s">
        <v>7633</v>
      </c>
    </row>
    <row r="202" spans="1:7">
      <c r="A202" s="2">
        <v>5</v>
      </c>
      <c r="B202" s="2" t="s">
        <v>122</v>
      </c>
      <c r="C202" s="2">
        <v>155</v>
      </c>
      <c r="D202" s="2" t="s">
        <v>400</v>
      </c>
      <c r="E202" s="2" t="s">
        <v>7618</v>
      </c>
      <c r="F202" s="2" t="s">
        <v>7611</v>
      </c>
      <c r="G202" s="2" t="s">
        <v>7639</v>
      </c>
    </row>
    <row r="203" spans="1:7">
      <c r="A203" s="3">
        <v>5</v>
      </c>
      <c r="B203" s="3" t="s">
        <v>122</v>
      </c>
      <c r="C203" s="3">
        <v>156</v>
      </c>
      <c r="D203" s="3" t="s">
        <v>560</v>
      </c>
      <c r="E203" s="3" t="s">
        <v>7618</v>
      </c>
      <c r="F203" s="3" t="s">
        <v>7611</v>
      </c>
      <c r="G203" s="3" t="s">
        <v>7634</v>
      </c>
    </row>
    <row r="204" spans="1:7">
      <c r="A204" s="2">
        <v>5</v>
      </c>
      <c r="B204" s="2" t="s">
        <v>122</v>
      </c>
      <c r="C204" s="2">
        <v>157</v>
      </c>
      <c r="D204" s="2" t="s">
        <v>556</v>
      </c>
      <c r="E204" s="2" t="s">
        <v>7618</v>
      </c>
      <c r="F204" s="2" t="s">
        <v>7611</v>
      </c>
      <c r="G204" s="2" t="s">
        <v>7634</v>
      </c>
    </row>
    <row r="205" spans="1:7">
      <c r="A205" s="3">
        <v>5</v>
      </c>
      <c r="B205" s="3" t="s">
        <v>122</v>
      </c>
      <c r="C205" s="3">
        <v>158</v>
      </c>
      <c r="D205" s="3" t="s">
        <v>521</v>
      </c>
      <c r="E205" s="3" t="s">
        <v>7618</v>
      </c>
      <c r="F205" s="3" t="s">
        <v>7611</v>
      </c>
      <c r="G205" s="3" t="s">
        <v>7634</v>
      </c>
    </row>
    <row r="206" spans="1:7">
      <c r="A206" s="2">
        <v>5</v>
      </c>
      <c r="B206" s="2" t="s">
        <v>122</v>
      </c>
      <c r="C206" s="2">
        <v>159</v>
      </c>
      <c r="D206" s="2" t="s">
        <v>598</v>
      </c>
      <c r="E206" s="2" t="s">
        <v>7620</v>
      </c>
      <c r="F206" s="2" t="s">
        <v>7611</v>
      </c>
      <c r="G206" s="2" t="s">
        <v>7609</v>
      </c>
    </row>
    <row r="207" spans="1:7">
      <c r="A207" s="3">
        <v>5</v>
      </c>
      <c r="B207" s="3" t="s">
        <v>122</v>
      </c>
      <c r="C207" s="3">
        <v>160</v>
      </c>
      <c r="D207" s="3" t="s">
        <v>425</v>
      </c>
      <c r="E207" s="3" t="s">
        <v>7618</v>
      </c>
      <c r="F207" s="3" t="s">
        <v>7611</v>
      </c>
      <c r="G207" s="3" t="s">
        <v>7619</v>
      </c>
    </row>
    <row r="208" spans="1:7">
      <c r="A208" s="2">
        <v>5</v>
      </c>
      <c r="B208" s="2" t="s">
        <v>122</v>
      </c>
      <c r="C208" s="2">
        <v>162</v>
      </c>
      <c r="D208" s="2" t="s">
        <v>473</v>
      </c>
      <c r="E208" s="2" t="s">
        <v>7620</v>
      </c>
      <c r="F208" s="2" t="s">
        <v>7611</v>
      </c>
      <c r="G208" s="2" t="s">
        <v>7633</v>
      </c>
    </row>
    <row r="209" spans="1:7">
      <c r="A209" s="3">
        <v>5</v>
      </c>
      <c r="B209" s="3" t="s">
        <v>122</v>
      </c>
      <c r="C209" s="3">
        <v>163</v>
      </c>
      <c r="D209" s="3" t="s">
        <v>587</v>
      </c>
      <c r="E209" s="3" t="s">
        <v>7620</v>
      </c>
      <c r="F209" s="3" t="s">
        <v>7611</v>
      </c>
      <c r="G209" s="3" t="s">
        <v>7625</v>
      </c>
    </row>
    <row r="210" spans="1:7">
      <c r="A210" s="2">
        <v>5</v>
      </c>
      <c r="B210" s="2" t="s">
        <v>122</v>
      </c>
      <c r="C210" s="2">
        <v>164</v>
      </c>
      <c r="D210" s="2" t="s">
        <v>552</v>
      </c>
      <c r="E210" s="2" t="s">
        <v>7620</v>
      </c>
      <c r="F210" s="2" t="s">
        <v>7611</v>
      </c>
      <c r="G210" s="2" t="s">
        <v>7622</v>
      </c>
    </row>
    <row r="211" spans="1:7">
      <c r="A211" s="3">
        <v>5</v>
      </c>
      <c r="B211" s="3" t="s">
        <v>122</v>
      </c>
      <c r="C211" s="3">
        <v>165</v>
      </c>
      <c r="D211" s="3" t="s">
        <v>568</v>
      </c>
      <c r="E211" s="3" t="s">
        <v>7618</v>
      </c>
      <c r="F211" s="3" t="s">
        <v>7608</v>
      </c>
      <c r="G211" s="3" t="s">
        <v>7609</v>
      </c>
    </row>
    <row r="212" spans="1:7">
      <c r="A212" s="2">
        <v>5</v>
      </c>
      <c r="B212" s="2" t="s">
        <v>122</v>
      </c>
      <c r="C212" s="2">
        <v>166</v>
      </c>
      <c r="D212" s="2" t="s">
        <v>483</v>
      </c>
      <c r="E212" s="2" t="s">
        <v>7618</v>
      </c>
      <c r="F212" s="2" t="s">
        <v>7611</v>
      </c>
      <c r="G212" s="2" t="s">
        <v>7636</v>
      </c>
    </row>
    <row r="213" spans="1:7">
      <c r="A213" s="3">
        <v>5</v>
      </c>
      <c r="B213" s="3" t="s">
        <v>122</v>
      </c>
      <c r="C213" s="3">
        <v>167</v>
      </c>
      <c r="D213" s="3" t="s">
        <v>469</v>
      </c>
      <c r="E213" s="3" t="s">
        <v>7620</v>
      </c>
      <c r="F213" s="3" t="s">
        <v>7611</v>
      </c>
      <c r="G213" s="3" t="s">
        <v>7621</v>
      </c>
    </row>
    <row r="214" spans="1:7">
      <c r="A214" s="2">
        <v>5</v>
      </c>
      <c r="B214" s="2" t="s">
        <v>122</v>
      </c>
      <c r="C214" s="2">
        <v>168</v>
      </c>
      <c r="D214" s="2" t="s">
        <v>626</v>
      </c>
      <c r="E214" s="2" t="s">
        <v>7618</v>
      </c>
      <c r="F214" s="2" t="s">
        <v>7611</v>
      </c>
      <c r="G214" s="2" t="s">
        <v>7636</v>
      </c>
    </row>
    <row r="215" spans="1:7">
      <c r="A215" s="3">
        <v>5</v>
      </c>
      <c r="B215" s="3" t="s">
        <v>122</v>
      </c>
      <c r="C215" s="3">
        <v>169</v>
      </c>
      <c r="D215" s="3" t="s">
        <v>616</v>
      </c>
      <c r="E215" s="3" t="s">
        <v>7645</v>
      </c>
      <c r="F215" s="3" t="s">
        <v>7611</v>
      </c>
      <c r="G215" s="3" t="s">
        <v>7625</v>
      </c>
    </row>
    <row r="216" spans="1:7">
      <c r="A216" s="2">
        <v>5</v>
      </c>
      <c r="B216" s="2" t="s">
        <v>122</v>
      </c>
      <c r="C216" s="2">
        <v>171</v>
      </c>
      <c r="D216" s="2" t="s">
        <v>622</v>
      </c>
      <c r="E216" s="2" t="s">
        <v>7645</v>
      </c>
      <c r="F216" s="2" t="s">
        <v>7611</v>
      </c>
      <c r="G216" s="2" t="s">
        <v>7625</v>
      </c>
    </row>
    <row r="217" spans="1:7">
      <c r="A217" s="3">
        <v>5</v>
      </c>
      <c r="B217" s="3" t="s">
        <v>122</v>
      </c>
      <c r="C217" s="3">
        <v>172</v>
      </c>
      <c r="D217" s="3" t="s">
        <v>630</v>
      </c>
      <c r="E217" s="3" t="s">
        <v>7645</v>
      </c>
      <c r="F217" s="3" t="s">
        <v>7611</v>
      </c>
      <c r="G217" s="3" t="s">
        <v>7625</v>
      </c>
    </row>
    <row r="218" spans="1:7">
      <c r="A218" s="2">
        <v>5</v>
      </c>
      <c r="B218" s="2" t="s">
        <v>122</v>
      </c>
      <c r="C218" s="2">
        <v>173</v>
      </c>
      <c r="D218" s="2" t="s">
        <v>633</v>
      </c>
      <c r="E218" s="2" t="s">
        <v>7645</v>
      </c>
      <c r="F218" s="2" t="s">
        <v>7611</v>
      </c>
      <c r="G218" s="2" t="s">
        <v>7625</v>
      </c>
    </row>
    <row r="219" spans="1:7">
      <c r="A219" s="3">
        <v>5</v>
      </c>
      <c r="B219" s="3" t="s">
        <v>122</v>
      </c>
      <c r="C219" s="3">
        <v>175</v>
      </c>
      <c r="D219" s="3" t="s">
        <v>636</v>
      </c>
      <c r="E219" s="3" t="s">
        <v>7645</v>
      </c>
      <c r="F219" s="3" t="s">
        <v>7611</v>
      </c>
      <c r="G219" s="3" t="s">
        <v>7625</v>
      </c>
    </row>
    <row r="220" spans="1:7">
      <c r="A220" s="2">
        <v>5</v>
      </c>
      <c r="B220" s="2" t="s">
        <v>122</v>
      </c>
      <c r="C220" s="2">
        <v>176</v>
      </c>
      <c r="D220" s="2" t="s">
        <v>609</v>
      </c>
      <c r="E220" s="2" t="s">
        <v>7645</v>
      </c>
      <c r="F220" s="2" t="s">
        <v>7611</v>
      </c>
      <c r="G220" s="2" t="s">
        <v>7625</v>
      </c>
    </row>
    <row r="221" spans="1:7">
      <c r="A221" s="3">
        <v>5</v>
      </c>
      <c r="B221" s="3" t="s">
        <v>122</v>
      </c>
      <c r="C221" s="3">
        <v>178</v>
      </c>
      <c r="D221" s="3" t="s">
        <v>640</v>
      </c>
      <c r="E221" s="3" t="s">
        <v>7610</v>
      </c>
      <c r="F221" s="3" t="s">
        <v>7611</v>
      </c>
      <c r="G221" s="3" t="s">
        <v>7641</v>
      </c>
    </row>
    <row r="222" spans="1:7">
      <c r="A222" s="2">
        <v>5</v>
      </c>
      <c r="B222" s="2" t="s">
        <v>122</v>
      </c>
      <c r="C222" s="2">
        <v>183</v>
      </c>
      <c r="D222" s="2" t="s">
        <v>660</v>
      </c>
      <c r="E222" s="2" t="s">
        <v>7618</v>
      </c>
      <c r="F222" s="2" t="s">
        <v>7611</v>
      </c>
      <c r="G222" s="2" t="s">
        <v>7634</v>
      </c>
    </row>
    <row r="223" spans="1:7">
      <c r="A223" s="3">
        <v>5</v>
      </c>
      <c r="B223" s="3" t="s">
        <v>122</v>
      </c>
      <c r="C223" s="3">
        <v>184</v>
      </c>
      <c r="D223" s="3" t="s">
        <v>662</v>
      </c>
      <c r="E223" s="3" t="s">
        <v>7618</v>
      </c>
      <c r="F223" s="3" t="s">
        <v>7611</v>
      </c>
      <c r="G223" s="3" t="s">
        <v>7619</v>
      </c>
    </row>
    <row r="224" spans="1:7">
      <c r="A224" s="2">
        <v>5</v>
      </c>
      <c r="B224" s="2" t="s">
        <v>122</v>
      </c>
      <c r="C224" s="2">
        <v>185</v>
      </c>
      <c r="D224" s="2" t="s">
        <v>667</v>
      </c>
      <c r="E224" s="2" t="s">
        <v>7618</v>
      </c>
      <c r="F224" s="2" t="s">
        <v>7611</v>
      </c>
      <c r="G224" s="2" t="s">
        <v>7636</v>
      </c>
    </row>
    <row r="225" spans="1:7">
      <c r="A225" s="3">
        <v>5</v>
      </c>
      <c r="B225" s="3" t="s">
        <v>122</v>
      </c>
      <c r="C225" s="3">
        <v>186</v>
      </c>
      <c r="D225" s="3" t="s">
        <v>469</v>
      </c>
      <c r="E225" s="3" t="s">
        <v>7620</v>
      </c>
      <c r="F225" s="3" t="s">
        <v>7611</v>
      </c>
      <c r="G225" s="3" t="s">
        <v>7633</v>
      </c>
    </row>
    <row r="226" spans="1:7">
      <c r="A226" s="2">
        <v>5</v>
      </c>
      <c r="B226" s="2" t="s">
        <v>122</v>
      </c>
      <c r="C226" s="2">
        <v>191</v>
      </c>
      <c r="D226" s="2" t="s">
        <v>719</v>
      </c>
      <c r="E226" s="2" t="s">
        <v>7618</v>
      </c>
      <c r="F226" s="2" t="s">
        <v>7611</v>
      </c>
      <c r="G226" s="2" t="s">
        <v>7617</v>
      </c>
    </row>
    <row r="227" spans="1:7">
      <c r="A227" s="3">
        <v>5</v>
      </c>
      <c r="B227" s="3" t="s">
        <v>122</v>
      </c>
      <c r="C227" s="3">
        <v>195</v>
      </c>
      <c r="D227" s="3" t="s">
        <v>734</v>
      </c>
      <c r="E227" s="3" t="s">
        <v>7618</v>
      </c>
      <c r="F227" s="3" t="s">
        <v>7611</v>
      </c>
      <c r="G227" s="3" t="s">
        <v>7636</v>
      </c>
    </row>
    <row r="228" spans="1:7">
      <c r="A228" s="2">
        <v>5</v>
      </c>
      <c r="B228" s="2" t="s">
        <v>122</v>
      </c>
      <c r="C228" s="2">
        <v>198</v>
      </c>
      <c r="D228" s="2" t="s">
        <v>698</v>
      </c>
      <c r="E228" s="2" t="s">
        <v>7646</v>
      </c>
      <c r="F228" s="2" t="s">
        <v>7611</v>
      </c>
      <c r="G228" s="2" t="s">
        <v>7619</v>
      </c>
    </row>
    <row r="229" spans="1:7">
      <c r="A229" s="3">
        <v>5</v>
      </c>
      <c r="B229" s="3" t="s">
        <v>122</v>
      </c>
      <c r="C229" s="3">
        <v>199</v>
      </c>
      <c r="D229" s="3" t="s">
        <v>702</v>
      </c>
      <c r="E229" s="3" t="s">
        <v>7630</v>
      </c>
      <c r="F229" s="3" t="s">
        <v>7611</v>
      </c>
      <c r="G229" s="3" t="s">
        <v>7636</v>
      </c>
    </row>
    <row r="230" spans="1:7">
      <c r="A230" s="2">
        <v>5</v>
      </c>
      <c r="B230" s="2" t="s">
        <v>122</v>
      </c>
      <c r="C230" s="2">
        <v>200</v>
      </c>
      <c r="D230" s="2" t="s">
        <v>707</v>
      </c>
      <c r="E230" s="2" t="s">
        <v>7646</v>
      </c>
      <c r="F230" s="2" t="s">
        <v>7611</v>
      </c>
      <c r="G230" s="2" t="s">
        <v>7619</v>
      </c>
    </row>
    <row r="231" spans="1:7">
      <c r="A231" s="3">
        <v>5</v>
      </c>
      <c r="B231" s="3" t="s">
        <v>122</v>
      </c>
      <c r="C231" s="3">
        <v>204</v>
      </c>
      <c r="D231" s="3" t="s">
        <v>685</v>
      </c>
      <c r="E231" s="3" t="s">
        <v>7647</v>
      </c>
      <c r="F231" s="3" t="s">
        <v>7611</v>
      </c>
      <c r="G231" s="3" t="s">
        <v>7625</v>
      </c>
    </row>
    <row r="232" spans="1:7">
      <c r="A232" s="2">
        <v>5</v>
      </c>
      <c r="B232" s="2" t="s">
        <v>122</v>
      </c>
      <c r="C232" s="2">
        <v>205</v>
      </c>
      <c r="D232" s="2" t="s">
        <v>746</v>
      </c>
      <c r="E232" s="2" t="s">
        <v>7620</v>
      </c>
      <c r="F232" s="2" t="s">
        <v>7611</v>
      </c>
      <c r="G232" s="2" t="s">
        <v>7622</v>
      </c>
    </row>
    <row r="233" spans="1:7">
      <c r="A233" s="3">
        <v>5</v>
      </c>
      <c r="B233" s="3" t="s">
        <v>122</v>
      </c>
      <c r="C233" s="3">
        <v>207</v>
      </c>
      <c r="D233" s="3" t="s">
        <v>749</v>
      </c>
      <c r="E233" s="3" t="s">
        <v>7618</v>
      </c>
      <c r="F233" s="3" t="s">
        <v>7611</v>
      </c>
      <c r="G233" s="3" t="s">
        <v>7619</v>
      </c>
    </row>
    <row r="234" spans="1:7">
      <c r="A234" s="2">
        <v>5</v>
      </c>
      <c r="B234" s="2" t="s">
        <v>122</v>
      </c>
      <c r="C234" s="2">
        <v>208</v>
      </c>
      <c r="D234" s="2" t="s">
        <v>754</v>
      </c>
      <c r="E234" s="2" t="s">
        <v>7620</v>
      </c>
      <c r="F234" s="2" t="s">
        <v>7611</v>
      </c>
      <c r="G234" s="2" t="s">
        <v>7621</v>
      </c>
    </row>
    <row r="235" spans="1:7">
      <c r="A235" s="3">
        <v>5</v>
      </c>
      <c r="B235" s="3" t="s">
        <v>122</v>
      </c>
      <c r="C235" s="3">
        <v>209</v>
      </c>
      <c r="D235" s="3" t="s">
        <v>758</v>
      </c>
      <c r="E235" s="3" t="s">
        <v>7618</v>
      </c>
      <c r="F235" s="3" t="s">
        <v>7608</v>
      </c>
      <c r="G235" s="3" t="s">
        <v>7609</v>
      </c>
    </row>
    <row r="236" spans="1:7">
      <c r="A236" s="2">
        <v>5</v>
      </c>
      <c r="B236" s="2" t="s">
        <v>122</v>
      </c>
      <c r="C236" s="2">
        <v>214</v>
      </c>
      <c r="D236" s="2" t="s">
        <v>870</v>
      </c>
      <c r="E236" s="2" t="s">
        <v>7620</v>
      </c>
      <c r="F236" s="2" t="s">
        <v>7611</v>
      </c>
      <c r="G236" s="2" t="s">
        <v>7633</v>
      </c>
    </row>
    <row r="237" spans="1:7">
      <c r="A237" s="3">
        <v>5</v>
      </c>
      <c r="B237" s="3" t="s">
        <v>122</v>
      </c>
      <c r="C237" s="3">
        <v>215</v>
      </c>
      <c r="D237" s="3" t="s">
        <v>844</v>
      </c>
      <c r="E237" s="3" t="s">
        <v>7610</v>
      </c>
      <c r="F237" s="3" t="s">
        <v>7611</v>
      </c>
      <c r="G237" s="3" t="s">
        <v>7612</v>
      </c>
    </row>
    <row r="238" spans="1:7">
      <c r="A238" s="2">
        <v>5</v>
      </c>
      <c r="B238" s="2" t="s">
        <v>122</v>
      </c>
      <c r="C238" s="2">
        <v>216</v>
      </c>
      <c r="D238" s="2"/>
      <c r="E238" s="2" t="s">
        <v>7610</v>
      </c>
      <c r="F238" s="2" t="s">
        <v>7611</v>
      </c>
      <c r="G238" s="2" t="s">
        <v>7626</v>
      </c>
    </row>
    <row r="239" spans="1:7">
      <c r="A239" s="3">
        <v>5</v>
      </c>
      <c r="B239" s="3" t="s">
        <v>122</v>
      </c>
      <c r="C239" s="3">
        <v>217</v>
      </c>
      <c r="D239" s="3" t="s">
        <v>795</v>
      </c>
      <c r="E239" s="3" t="s">
        <v>7610</v>
      </c>
      <c r="F239" s="3" t="s">
        <v>7611</v>
      </c>
      <c r="G239" s="3" t="s">
        <v>7644</v>
      </c>
    </row>
    <row r="240" spans="1:7">
      <c r="A240" s="2">
        <v>5</v>
      </c>
      <c r="B240" s="2" t="s">
        <v>122</v>
      </c>
      <c r="C240" s="2">
        <v>218</v>
      </c>
      <c r="D240" s="2" t="s">
        <v>789</v>
      </c>
      <c r="E240" s="2" t="s">
        <v>7610</v>
      </c>
      <c r="F240" s="2" t="s">
        <v>7611</v>
      </c>
      <c r="G240" s="2" t="s">
        <v>7644</v>
      </c>
    </row>
    <row r="241" spans="1:7">
      <c r="A241" s="3">
        <v>5</v>
      </c>
      <c r="B241" s="3" t="s">
        <v>122</v>
      </c>
      <c r="C241" s="3">
        <v>219</v>
      </c>
      <c r="D241" s="3" t="s">
        <v>822</v>
      </c>
      <c r="E241" s="3" t="s">
        <v>7610</v>
      </c>
      <c r="F241" s="3" t="s">
        <v>7611</v>
      </c>
      <c r="G241" s="3" t="s">
        <v>7626</v>
      </c>
    </row>
    <row r="242" spans="1:7">
      <c r="A242" s="2">
        <v>5</v>
      </c>
      <c r="B242" s="2" t="s">
        <v>122</v>
      </c>
      <c r="C242" s="2">
        <v>220</v>
      </c>
      <c r="D242" s="2" t="s">
        <v>810</v>
      </c>
      <c r="E242" s="2" t="s">
        <v>7610</v>
      </c>
      <c r="F242" s="2" t="s">
        <v>7611</v>
      </c>
      <c r="G242" s="2" t="s">
        <v>7644</v>
      </c>
    </row>
    <row r="243" spans="1:7">
      <c r="A243" s="3">
        <v>5</v>
      </c>
      <c r="B243" s="3" t="s">
        <v>122</v>
      </c>
      <c r="C243" s="3">
        <v>221</v>
      </c>
      <c r="D243" s="3" t="s">
        <v>813</v>
      </c>
      <c r="E243" s="3" t="s">
        <v>7610</v>
      </c>
      <c r="F243" s="3" t="s">
        <v>7611</v>
      </c>
      <c r="G243" s="3" t="s">
        <v>7644</v>
      </c>
    </row>
    <row r="244" spans="1:7">
      <c r="A244" s="2">
        <v>5</v>
      </c>
      <c r="B244" s="2" t="s">
        <v>122</v>
      </c>
      <c r="C244" s="2">
        <v>222</v>
      </c>
      <c r="D244" s="2" t="s">
        <v>864</v>
      </c>
      <c r="E244" s="2" t="s">
        <v>7616</v>
      </c>
      <c r="F244" s="2" t="s">
        <v>7611</v>
      </c>
      <c r="G244" s="2" t="s">
        <v>7632</v>
      </c>
    </row>
    <row r="245" spans="1:7">
      <c r="A245" s="3">
        <v>5</v>
      </c>
      <c r="B245" s="3" t="s">
        <v>122</v>
      </c>
      <c r="C245" s="3">
        <v>230</v>
      </c>
      <c r="D245" s="3" t="s">
        <v>920</v>
      </c>
      <c r="E245" s="3" t="s">
        <v>7620</v>
      </c>
      <c r="F245" s="3" t="s">
        <v>7608</v>
      </c>
      <c r="G245" s="3" t="s">
        <v>7633</v>
      </c>
    </row>
    <row r="246" spans="1:7">
      <c r="A246" s="2">
        <v>5</v>
      </c>
      <c r="B246" s="2" t="s">
        <v>122</v>
      </c>
      <c r="C246" s="2">
        <v>231</v>
      </c>
      <c r="D246" s="2" t="s">
        <v>923</v>
      </c>
      <c r="E246" s="2" t="s">
        <v>7618</v>
      </c>
      <c r="F246" s="2" t="s">
        <v>7611</v>
      </c>
      <c r="G246" s="2" t="s">
        <v>7634</v>
      </c>
    </row>
    <row r="247" spans="1:7">
      <c r="A247" s="3">
        <v>5</v>
      </c>
      <c r="B247" s="3" t="s">
        <v>122</v>
      </c>
      <c r="C247" s="3">
        <v>232</v>
      </c>
      <c r="D247" s="3" t="s">
        <v>933</v>
      </c>
      <c r="E247" s="3" t="s">
        <v>7618</v>
      </c>
      <c r="F247" s="3" t="s">
        <v>7608</v>
      </c>
      <c r="G247" s="3" t="s">
        <v>7636</v>
      </c>
    </row>
    <row r="248" spans="1:7">
      <c r="A248" s="2">
        <v>5</v>
      </c>
      <c r="B248" s="2" t="s">
        <v>122</v>
      </c>
      <c r="C248" s="2">
        <v>233</v>
      </c>
      <c r="D248" s="2" t="s">
        <v>937</v>
      </c>
      <c r="E248" s="2" t="s">
        <v>7620</v>
      </c>
      <c r="F248" s="2" t="s">
        <v>7611</v>
      </c>
      <c r="G248" s="2" t="s">
        <v>7621</v>
      </c>
    </row>
    <row r="249" spans="1:7">
      <c r="A249" s="3">
        <v>5</v>
      </c>
      <c r="B249" s="3" t="s">
        <v>122</v>
      </c>
      <c r="C249" s="3">
        <v>234</v>
      </c>
      <c r="D249" s="3" t="s">
        <v>936</v>
      </c>
      <c r="E249" s="3" t="s">
        <v>7620</v>
      </c>
      <c r="F249" s="3" t="s">
        <v>7608</v>
      </c>
      <c r="G249" s="3" t="s">
        <v>7621</v>
      </c>
    </row>
    <row r="250" spans="1:7">
      <c r="A250" s="2">
        <v>5</v>
      </c>
      <c r="B250" s="2" t="s">
        <v>122</v>
      </c>
      <c r="C250" s="2">
        <v>235</v>
      </c>
      <c r="D250" s="2" t="s">
        <v>896</v>
      </c>
      <c r="E250" s="2" t="s">
        <v>7620</v>
      </c>
      <c r="F250" s="2" t="s">
        <v>7608</v>
      </c>
      <c r="G250" s="2" t="s">
        <v>7625</v>
      </c>
    </row>
    <row r="251" spans="1:7">
      <c r="A251" s="3">
        <v>5</v>
      </c>
      <c r="B251" s="3" t="s">
        <v>122</v>
      </c>
      <c r="C251" s="3">
        <v>236</v>
      </c>
      <c r="D251" s="3" t="s">
        <v>928</v>
      </c>
      <c r="E251" s="3" t="s">
        <v>7620</v>
      </c>
      <c r="F251" s="3" t="s">
        <v>7608</v>
      </c>
      <c r="G251" s="3" t="s">
        <v>7622</v>
      </c>
    </row>
    <row r="252" spans="1:7">
      <c r="A252" s="2">
        <v>5</v>
      </c>
      <c r="B252" s="2" t="s">
        <v>122</v>
      </c>
      <c r="C252" s="2">
        <v>237</v>
      </c>
      <c r="D252" s="2" t="s">
        <v>944</v>
      </c>
      <c r="E252" s="2" t="s">
        <v>7620</v>
      </c>
      <c r="F252" s="2" t="s">
        <v>7608</v>
      </c>
      <c r="G252" s="2" t="s">
        <v>7621</v>
      </c>
    </row>
    <row r="253" spans="1:7">
      <c r="A253" s="3">
        <v>5</v>
      </c>
      <c r="B253" s="3" t="s">
        <v>122</v>
      </c>
      <c r="C253" s="3">
        <v>238</v>
      </c>
      <c r="D253" s="3" t="s">
        <v>947</v>
      </c>
      <c r="E253" s="3" t="s">
        <v>7620</v>
      </c>
      <c r="F253" s="3" t="s">
        <v>7608</v>
      </c>
      <c r="G253" s="3" t="s">
        <v>7621</v>
      </c>
    </row>
    <row r="254" spans="1:7">
      <c r="A254" s="2">
        <v>5</v>
      </c>
      <c r="B254" s="2" t="s">
        <v>122</v>
      </c>
      <c r="C254" s="2">
        <v>239</v>
      </c>
      <c r="D254" s="2" t="s">
        <v>945</v>
      </c>
      <c r="E254" s="2" t="s">
        <v>7620</v>
      </c>
      <c r="F254" s="2" t="s">
        <v>7608</v>
      </c>
      <c r="G254" s="2" t="s">
        <v>7625</v>
      </c>
    </row>
    <row r="255" spans="1:7">
      <c r="A255" s="3">
        <v>5</v>
      </c>
      <c r="B255" s="3" t="s">
        <v>122</v>
      </c>
      <c r="C255" s="3">
        <v>240</v>
      </c>
      <c r="D255" s="3" t="s">
        <v>946</v>
      </c>
      <c r="E255" s="3" t="s">
        <v>7620</v>
      </c>
      <c r="F255" s="3" t="s">
        <v>7608</v>
      </c>
      <c r="G255" s="3" t="s">
        <v>7625</v>
      </c>
    </row>
    <row r="256" spans="1:7">
      <c r="A256" s="2">
        <v>5</v>
      </c>
      <c r="B256" s="2" t="s">
        <v>122</v>
      </c>
      <c r="C256" s="2">
        <v>241</v>
      </c>
      <c r="D256" s="2" t="s">
        <v>890</v>
      </c>
      <c r="E256" s="2" t="s">
        <v>7620</v>
      </c>
      <c r="F256" s="2" t="s">
        <v>7608</v>
      </c>
      <c r="G256" s="2" t="s">
        <v>7625</v>
      </c>
    </row>
    <row r="257" spans="1:7">
      <c r="A257" s="3">
        <v>5</v>
      </c>
      <c r="B257" s="3" t="s">
        <v>122</v>
      </c>
      <c r="C257" s="3">
        <v>243</v>
      </c>
      <c r="D257" s="3" t="s">
        <v>941</v>
      </c>
      <c r="E257" s="3" t="s">
        <v>7618</v>
      </c>
      <c r="F257" s="3" t="s">
        <v>7608</v>
      </c>
      <c r="G257" s="3" t="s">
        <v>7617</v>
      </c>
    </row>
    <row r="258" spans="1:7">
      <c r="A258" s="2">
        <v>5</v>
      </c>
      <c r="B258" s="2" t="s">
        <v>122</v>
      </c>
      <c r="C258" s="2">
        <v>244</v>
      </c>
      <c r="D258" s="2" t="s">
        <v>891</v>
      </c>
      <c r="E258" s="2" t="s">
        <v>7620</v>
      </c>
      <c r="F258" s="2" t="s">
        <v>7608</v>
      </c>
      <c r="G258" s="2" t="s">
        <v>7625</v>
      </c>
    </row>
    <row r="259" spans="1:7">
      <c r="A259" s="3">
        <v>5</v>
      </c>
      <c r="B259" s="3" t="s">
        <v>122</v>
      </c>
      <c r="C259" s="3">
        <v>245</v>
      </c>
      <c r="D259" s="3" t="s">
        <v>892</v>
      </c>
      <c r="E259" s="3" t="s">
        <v>7620</v>
      </c>
      <c r="F259" s="3" t="s">
        <v>7608</v>
      </c>
      <c r="G259" s="3" t="s">
        <v>7625</v>
      </c>
    </row>
    <row r="260" spans="1:7">
      <c r="A260" s="2">
        <v>5</v>
      </c>
      <c r="B260" s="2" t="s">
        <v>122</v>
      </c>
      <c r="C260" s="2">
        <v>249</v>
      </c>
      <c r="D260" s="2" t="s">
        <v>927</v>
      </c>
      <c r="E260" s="2" t="s">
        <v>7620</v>
      </c>
      <c r="F260" s="2" t="s">
        <v>7608</v>
      </c>
      <c r="G260" s="2" t="s">
        <v>7625</v>
      </c>
    </row>
    <row r="261" spans="1:7">
      <c r="A261" s="3">
        <v>5</v>
      </c>
      <c r="B261" s="3" t="s">
        <v>122</v>
      </c>
      <c r="C261" s="3">
        <v>250</v>
      </c>
      <c r="D261" s="3" t="s">
        <v>926</v>
      </c>
      <c r="E261" s="3" t="s">
        <v>7620</v>
      </c>
      <c r="F261" s="3" t="s">
        <v>7608</v>
      </c>
      <c r="G261" s="3" t="s">
        <v>7621</v>
      </c>
    </row>
    <row r="262" spans="1:7">
      <c r="A262" s="2">
        <v>5</v>
      </c>
      <c r="B262" s="2" t="s">
        <v>122</v>
      </c>
      <c r="C262" s="2">
        <v>251</v>
      </c>
      <c r="D262" s="2" t="s">
        <v>819</v>
      </c>
      <c r="E262" s="2" t="s">
        <v>7620</v>
      </c>
      <c r="F262" s="2" t="s">
        <v>7611</v>
      </c>
      <c r="G262" s="2" t="s">
        <v>7621</v>
      </c>
    </row>
    <row r="263" spans="1:7">
      <c r="A263" s="3">
        <v>5</v>
      </c>
      <c r="B263" s="3" t="s">
        <v>122</v>
      </c>
      <c r="C263" s="3">
        <v>254</v>
      </c>
      <c r="D263" s="3" t="s">
        <v>837</v>
      </c>
      <c r="E263" s="3" t="s">
        <v>7610</v>
      </c>
      <c r="F263" s="3" t="s">
        <v>7611</v>
      </c>
      <c r="G263" s="3" t="s">
        <v>7612</v>
      </c>
    </row>
    <row r="264" spans="1:7">
      <c r="A264" s="2">
        <v>5</v>
      </c>
      <c r="B264" s="2" t="s">
        <v>122</v>
      </c>
      <c r="C264" s="2">
        <v>256</v>
      </c>
      <c r="D264" s="2" t="s">
        <v>785</v>
      </c>
      <c r="E264" s="2" t="s">
        <v>7618</v>
      </c>
      <c r="F264" s="2" t="s">
        <v>7611</v>
      </c>
      <c r="G264" s="2" t="s">
        <v>7617</v>
      </c>
    </row>
    <row r="265" spans="1:7">
      <c r="A265" s="3">
        <v>5</v>
      </c>
      <c r="B265" s="3" t="s">
        <v>122</v>
      </c>
      <c r="C265" s="3">
        <v>257</v>
      </c>
      <c r="D265" s="3" t="s">
        <v>876</v>
      </c>
      <c r="E265" s="3" t="s">
        <v>7620</v>
      </c>
      <c r="F265" s="3" t="s">
        <v>7611</v>
      </c>
      <c r="G265" s="3" t="s">
        <v>7633</v>
      </c>
    </row>
    <row r="266" spans="1:7">
      <c r="A266" s="2">
        <v>5</v>
      </c>
      <c r="B266" s="2" t="s">
        <v>122</v>
      </c>
      <c r="C266" s="2">
        <v>258</v>
      </c>
      <c r="D266" s="2" t="s">
        <v>882</v>
      </c>
      <c r="E266" s="2" t="s">
        <v>7618</v>
      </c>
      <c r="F266" s="2" t="s">
        <v>7608</v>
      </c>
      <c r="G266" s="2" t="s">
        <v>7619</v>
      </c>
    </row>
    <row r="267" spans="1:7">
      <c r="A267" s="3">
        <v>5</v>
      </c>
      <c r="B267" s="3" t="s">
        <v>122</v>
      </c>
      <c r="C267" s="3">
        <v>262</v>
      </c>
      <c r="D267" s="3" t="s">
        <v>355</v>
      </c>
      <c r="E267" s="3" t="s">
        <v>7610</v>
      </c>
      <c r="F267" s="3" t="s">
        <v>7611</v>
      </c>
      <c r="G267" s="3" t="s">
        <v>7626</v>
      </c>
    </row>
    <row r="268" spans="1:7">
      <c r="A268" s="2">
        <v>5</v>
      </c>
      <c r="B268" s="2" t="s">
        <v>122</v>
      </c>
      <c r="C268" s="2">
        <v>264</v>
      </c>
      <c r="D268" s="2" t="s">
        <v>775</v>
      </c>
      <c r="E268" s="2" t="s">
        <v>7618</v>
      </c>
      <c r="F268" s="2" t="s">
        <v>7611</v>
      </c>
      <c r="G268" s="2" t="s">
        <v>7617</v>
      </c>
    </row>
    <row r="269" spans="1:7">
      <c r="A269" s="3">
        <v>5</v>
      </c>
      <c r="B269" s="3" t="s">
        <v>122</v>
      </c>
      <c r="C269" s="3">
        <v>265</v>
      </c>
      <c r="D269" s="3" t="s">
        <v>860</v>
      </c>
      <c r="E269" s="3" t="s">
        <v>7620</v>
      </c>
      <c r="F269" s="3" t="s">
        <v>7611</v>
      </c>
      <c r="G269" s="3" t="s">
        <v>7621</v>
      </c>
    </row>
    <row r="270" spans="1:7">
      <c r="A270" s="2">
        <v>5</v>
      </c>
      <c r="B270" s="2" t="s">
        <v>122</v>
      </c>
      <c r="C270" s="2">
        <v>266</v>
      </c>
      <c r="D270" s="2" t="s">
        <v>826</v>
      </c>
      <c r="E270" s="2" t="s">
        <v>7610</v>
      </c>
      <c r="F270" s="2" t="s">
        <v>7611</v>
      </c>
      <c r="G270" s="2" t="s">
        <v>7626</v>
      </c>
    </row>
    <row r="271" spans="1:7">
      <c r="A271" s="3">
        <v>5</v>
      </c>
      <c r="B271" s="3" t="s">
        <v>122</v>
      </c>
      <c r="C271" s="3">
        <v>267</v>
      </c>
      <c r="D271" s="3" t="s">
        <v>801</v>
      </c>
      <c r="E271" s="3" t="s">
        <v>7618</v>
      </c>
      <c r="F271" s="3" t="s">
        <v>7611</v>
      </c>
      <c r="G271" s="3" t="s">
        <v>7619</v>
      </c>
    </row>
    <row r="272" spans="1:7">
      <c r="A272" s="2">
        <v>5</v>
      </c>
      <c r="B272" s="2" t="s">
        <v>122</v>
      </c>
      <c r="C272" s="2">
        <v>268</v>
      </c>
      <c r="D272" s="2" t="s">
        <v>934</v>
      </c>
      <c r="E272" s="2" t="s">
        <v>7620</v>
      </c>
      <c r="F272" s="2" t="s">
        <v>7608</v>
      </c>
      <c r="G272" s="2" t="s">
        <v>7625</v>
      </c>
    </row>
    <row r="273" spans="1:7">
      <c r="A273" s="3">
        <v>5</v>
      </c>
      <c r="B273" s="3" t="s">
        <v>122</v>
      </c>
      <c r="C273" s="3">
        <v>269</v>
      </c>
      <c r="D273" s="3" t="s">
        <v>825</v>
      </c>
      <c r="E273" s="3" t="s">
        <v>7618</v>
      </c>
      <c r="F273" s="3" t="s">
        <v>7611</v>
      </c>
      <c r="G273" s="3" t="s">
        <v>7636</v>
      </c>
    </row>
    <row r="274" spans="1:7">
      <c r="A274" s="2">
        <v>5</v>
      </c>
      <c r="B274" s="2" t="s">
        <v>122</v>
      </c>
      <c r="C274" s="2">
        <v>270</v>
      </c>
      <c r="D274" s="2" t="s">
        <v>769</v>
      </c>
      <c r="E274" s="2" t="s">
        <v>7620</v>
      </c>
      <c r="F274" s="2" t="s">
        <v>7611</v>
      </c>
      <c r="G274" s="2" t="s">
        <v>7617</v>
      </c>
    </row>
    <row r="275" spans="1:7">
      <c r="A275" s="3">
        <v>5</v>
      </c>
      <c r="B275" s="3" t="s">
        <v>122</v>
      </c>
      <c r="C275" s="3">
        <v>272</v>
      </c>
      <c r="D275" s="3" t="s">
        <v>873</v>
      </c>
      <c r="E275" s="3" t="s">
        <v>7618</v>
      </c>
      <c r="F275" s="3" t="s">
        <v>7611</v>
      </c>
      <c r="G275" s="3" t="s">
        <v>7634</v>
      </c>
    </row>
    <row r="276" spans="1:7">
      <c r="A276" s="2">
        <v>5</v>
      </c>
      <c r="B276" s="2" t="s">
        <v>122</v>
      </c>
      <c r="C276" s="2">
        <v>273</v>
      </c>
      <c r="D276" s="2" t="s">
        <v>816</v>
      </c>
      <c r="E276" s="2" t="s">
        <v>7620</v>
      </c>
      <c r="F276" s="2" t="s">
        <v>7608</v>
      </c>
      <c r="G276" s="2" t="s">
        <v>7625</v>
      </c>
    </row>
    <row r="277" spans="1:7">
      <c r="A277" s="3">
        <v>5</v>
      </c>
      <c r="B277" s="3" t="s">
        <v>122</v>
      </c>
      <c r="C277" s="3">
        <v>275</v>
      </c>
      <c r="D277" s="3" t="s">
        <v>781</v>
      </c>
      <c r="E277" s="3" t="s">
        <v>7610</v>
      </c>
      <c r="F277" s="3" t="s">
        <v>7611</v>
      </c>
      <c r="G277" s="3" t="s">
        <v>7612</v>
      </c>
    </row>
    <row r="278" spans="1:7">
      <c r="A278" s="2">
        <v>5</v>
      </c>
      <c r="B278" s="2" t="s">
        <v>122</v>
      </c>
      <c r="C278" s="2">
        <v>276</v>
      </c>
      <c r="D278" s="2" t="s">
        <v>842</v>
      </c>
      <c r="E278" s="2" t="s">
        <v>7618</v>
      </c>
      <c r="F278" s="2" t="s">
        <v>7611</v>
      </c>
      <c r="G278" s="2" t="s">
        <v>7634</v>
      </c>
    </row>
    <row r="279" spans="1:7">
      <c r="A279" s="3">
        <v>5</v>
      </c>
      <c r="B279" s="3" t="s">
        <v>122</v>
      </c>
      <c r="C279" s="3">
        <v>280</v>
      </c>
      <c r="D279" s="3" t="s">
        <v>847</v>
      </c>
      <c r="E279" s="3" t="s">
        <v>7645</v>
      </c>
      <c r="F279" s="3" t="s">
        <v>7611</v>
      </c>
      <c r="G279" s="3" t="s">
        <v>7621</v>
      </c>
    </row>
    <row r="280" spans="1:7">
      <c r="A280" s="2">
        <v>5</v>
      </c>
      <c r="B280" s="2" t="s">
        <v>122</v>
      </c>
      <c r="C280" s="2">
        <v>281</v>
      </c>
      <c r="D280" s="2" t="s">
        <v>856</v>
      </c>
      <c r="E280" s="2" t="s">
        <v>7630</v>
      </c>
      <c r="F280" s="2" t="s">
        <v>7611</v>
      </c>
      <c r="G280" s="2" t="s">
        <v>7634</v>
      </c>
    </row>
    <row r="281" spans="1:7">
      <c r="A281" s="3">
        <v>5</v>
      </c>
      <c r="B281" s="3" t="s">
        <v>122</v>
      </c>
      <c r="C281" s="3">
        <v>282</v>
      </c>
      <c r="D281" s="3" t="s">
        <v>885</v>
      </c>
      <c r="E281" s="3" t="s">
        <v>7610</v>
      </c>
      <c r="F281" s="3" t="s">
        <v>7611</v>
      </c>
      <c r="G281" s="3" t="s">
        <v>7632</v>
      </c>
    </row>
    <row r="282" spans="1:7">
      <c r="A282" s="2">
        <v>5</v>
      </c>
      <c r="B282" s="2" t="s">
        <v>122</v>
      </c>
      <c r="C282" s="2">
        <v>284</v>
      </c>
      <c r="D282" s="2" t="s">
        <v>854</v>
      </c>
      <c r="E282" s="2" t="s">
        <v>7618</v>
      </c>
      <c r="F282" s="2" t="s">
        <v>7611</v>
      </c>
      <c r="G282" s="2" t="s">
        <v>7624</v>
      </c>
    </row>
    <row r="283" spans="1:7">
      <c r="A283" s="3">
        <v>5</v>
      </c>
      <c r="B283" s="3" t="s">
        <v>122</v>
      </c>
      <c r="C283" s="3">
        <v>285</v>
      </c>
      <c r="D283" s="3" t="s">
        <v>854</v>
      </c>
      <c r="E283" s="3" t="s">
        <v>7620</v>
      </c>
      <c r="F283" s="3" t="s">
        <v>7611</v>
      </c>
      <c r="G283" s="3" t="s">
        <v>7633</v>
      </c>
    </row>
    <row r="284" spans="1:7">
      <c r="A284" s="2">
        <v>5</v>
      </c>
      <c r="B284" s="2" t="s">
        <v>122</v>
      </c>
      <c r="C284" s="2">
        <v>286</v>
      </c>
      <c r="D284" s="2" t="s">
        <v>807</v>
      </c>
      <c r="E284" s="2" t="s">
        <v>7620</v>
      </c>
      <c r="F284" s="2" t="s">
        <v>7611</v>
      </c>
      <c r="G284" s="2" t="s">
        <v>7625</v>
      </c>
    </row>
    <row r="285" spans="1:7">
      <c r="A285" s="3">
        <v>5</v>
      </c>
      <c r="B285" s="3" t="s">
        <v>122</v>
      </c>
      <c r="C285" s="3">
        <v>287</v>
      </c>
      <c r="D285" s="3" t="s">
        <v>929</v>
      </c>
      <c r="E285" s="3" t="s">
        <v>7610</v>
      </c>
      <c r="F285" s="3" t="s">
        <v>7611</v>
      </c>
      <c r="G285" s="3" t="s">
        <v>7641</v>
      </c>
    </row>
    <row r="286" spans="1:7">
      <c r="A286" s="2">
        <v>5</v>
      </c>
      <c r="B286" s="2" t="s">
        <v>122</v>
      </c>
      <c r="C286" s="2">
        <v>288</v>
      </c>
      <c r="D286" s="2" t="s">
        <v>805</v>
      </c>
      <c r="E286" s="2" t="s">
        <v>7618</v>
      </c>
      <c r="F286" s="2" t="s">
        <v>7611</v>
      </c>
      <c r="G286" s="2" t="s">
        <v>7634</v>
      </c>
    </row>
    <row r="287" spans="1:7">
      <c r="A287" s="3">
        <v>5</v>
      </c>
      <c r="B287" s="3" t="s">
        <v>122</v>
      </c>
      <c r="C287" s="3">
        <v>289</v>
      </c>
      <c r="D287" s="3" t="s">
        <v>854</v>
      </c>
      <c r="E287" s="3" t="s">
        <v>7620</v>
      </c>
      <c r="F287" s="3" t="s">
        <v>7608</v>
      </c>
      <c r="G287" s="3" t="s">
        <v>7622</v>
      </c>
    </row>
    <row r="288" spans="1:7">
      <c r="A288" s="2">
        <v>5</v>
      </c>
      <c r="B288" s="2" t="s">
        <v>122</v>
      </c>
      <c r="C288" s="2">
        <v>290</v>
      </c>
      <c r="D288" s="2" t="s">
        <v>854</v>
      </c>
      <c r="E288" s="2" t="s">
        <v>7620</v>
      </c>
      <c r="F288" s="2" t="s">
        <v>7611</v>
      </c>
      <c r="G288" s="2" t="s">
        <v>7621</v>
      </c>
    </row>
    <row r="289" spans="1:7">
      <c r="A289" s="3">
        <v>5</v>
      </c>
      <c r="B289" s="3" t="s">
        <v>122</v>
      </c>
      <c r="C289" s="3">
        <v>291</v>
      </c>
      <c r="D289" s="3" t="s">
        <v>854</v>
      </c>
      <c r="E289" s="3" t="s">
        <v>7620</v>
      </c>
      <c r="F289" s="3" t="s">
        <v>7608</v>
      </c>
      <c r="G289" s="3" t="s">
        <v>7622</v>
      </c>
    </row>
    <row r="290" spans="1:7">
      <c r="A290" s="2">
        <v>5</v>
      </c>
      <c r="B290" s="2" t="s">
        <v>122</v>
      </c>
      <c r="C290" s="2">
        <v>292</v>
      </c>
      <c r="D290" s="2" t="s">
        <v>854</v>
      </c>
      <c r="E290" s="2" t="s">
        <v>7620</v>
      </c>
      <c r="F290" s="2" t="s">
        <v>7608</v>
      </c>
      <c r="G290" s="2" t="s">
        <v>7625</v>
      </c>
    </row>
    <row r="291" spans="1:7">
      <c r="A291" s="3">
        <v>5</v>
      </c>
      <c r="B291" s="3" t="s">
        <v>122</v>
      </c>
      <c r="C291" s="3">
        <v>293</v>
      </c>
      <c r="D291" s="3" t="s">
        <v>854</v>
      </c>
      <c r="E291" s="3" t="s">
        <v>7618</v>
      </c>
      <c r="F291" s="3" t="s">
        <v>7611</v>
      </c>
      <c r="G291" s="3" t="s">
        <v>7617</v>
      </c>
    </row>
    <row r="292" spans="1:7">
      <c r="A292" s="2">
        <v>5</v>
      </c>
      <c r="B292" s="2" t="s">
        <v>122</v>
      </c>
      <c r="C292" s="2">
        <v>294</v>
      </c>
      <c r="D292" s="2" t="s">
        <v>854</v>
      </c>
      <c r="E292" s="2" t="s">
        <v>7618</v>
      </c>
      <c r="F292" s="2" t="s">
        <v>7608</v>
      </c>
      <c r="G292" s="2" t="s">
        <v>7634</v>
      </c>
    </row>
    <row r="293" spans="1:7">
      <c r="A293" s="3">
        <v>5</v>
      </c>
      <c r="B293" s="3" t="s">
        <v>122</v>
      </c>
      <c r="C293" s="3">
        <v>295</v>
      </c>
      <c r="D293" s="3" t="s">
        <v>854</v>
      </c>
      <c r="E293" s="3" t="s">
        <v>7620</v>
      </c>
      <c r="F293" s="3" t="s">
        <v>7608</v>
      </c>
      <c r="G293" s="3" t="s">
        <v>7621</v>
      </c>
    </row>
    <row r="294" spans="1:7">
      <c r="A294" s="2">
        <v>5</v>
      </c>
      <c r="B294" s="2" t="s">
        <v>122</v>
      </c>
      <c r="C294" s="2">
        <v>296</v>
      </c>
      <c r="D294" s="2" t="s">
        <v>854</v>
      </c>
      <c r="E294" s="2" t="s">
        <v>7620</v>
      </c>
      <c r="F294" s="2" t="s">
        <v>7608</v>
      </c>
      <c r="G294" s="2" t="s">
        <v>7621</v>
      </c>
    </row>
    <row r="295" spans="1:7">
      <c r="A295" s="3">
        <v>5</v>
      </c>
      <c r="B295" s="3" t="s">
        <v>122</v>
      </c>
      <c r="C295" s="3">
        <v>297</v>
      </c>
      <c r="D295" s="3" t="s">
        <v>833</v>
      </c>
      <c r="E295" s="3" t="s">
        <v>7618</v>
      </c>
      <c r="F295" s="3" t="s">
        <v>7608</v>
      </c>
      <c r="G295" s="3" t="s">
        <v>7609</v>
      </c>
    </row>
    <row r="296" spans="1:7">
      <c r="A296" s="2">
        <v>5</v>
      </c>
      <c r="B296" s="2" t="s">
        <v>122</v>
      </c>
      <c r="C296" s="2">
        <v>298</v>
      </c>
      <c r="D296" s="2" t="s">
        <v>854</v>
      </c>
      <c r="E296" s="2" t="s">
        <v>7620</v>
      </c>
      <c r="F296" s="2" t="s">
        <v>7608</v>
      </c>
      <c r="G296" s="2" t="s">
        <v>7621</v>
      </c>
    </row>
    <row r="297" spans="1:7">
      <c r="A297" s="3">
        <v>5</v>
      </c>
      <c r="B297" s="3" t="s">
        <v>122</v>
      </c>
      <c r="C297" s="3">
        <v>300</v>
      </c>
      <c r="D297" s="3" t="s">
        <v>854</v>
      </c>
      <c r="E297" s="3" t="s">
        <v>7620</v>
      </c>
      <c r="F297" s="3" t="s">
        <v>7608</v>
      </c>
      <c r="G297" s="3" t="s">
        <v>7622</v>
      </c>
    </row>
    <row r="298" spans="1:7">
      <c r="A298" s="2">
        <v>5</v>
      </c>
      <c r="B298" s="2" t="s">
        <v>122</v>
      </c>
      <c r="C298" s="2">
        <v>302</v>
      </c>
      <c r="D298" s="2" t="s">
        <v>916</v>
      </c>
      <c r="E298" s="2" t="s">
        <v>7620</v>
      </c>
      <c r="F298" s="2" t="s">
        <v>7611</v>
      </c>
      <c r="G298" s="2" t="s">
        <v>7633</v>
      </c>
    </row>
    <row r="299" spans="1:7">
      <c r="A299" s="3">
        <v>5</v>
      </c>
      <c r="B299" s="3" t="s">
        <v>122</v>
      </c>
      <c r="C299" s="3">
        <v>303</v>
      </c>
      <c r="D299" s="3" t="s">
        <v>854</v>
      </c>
      <c r="E299" s="3" t="s">
        <v>7620</v>
      </c>
      <c r="F299" s="3" t="s">
        <v>7611</v>
      </c>
      <c r="G299" s="3" t="s">
        <v>7633</v>
      </c>
    </row>
    <row r="300" spans="1:7">
      <c r="A300" s="2">
        <v>5</v>
      </c>
      <c r="B300" s="2" t="s">
        <v>122</v>
      </c>
      <c r="C300" s="2">
        <v>304</v>
      </c>
      <c r="D300" s="2" t="s">
        <v>854</v>
      </c>
      <c r="E300" s="2" t="s">
        <v>7620</v>
      </c>
      <c r="F300" s="2" t="s">
        <v>7608</v>
      </c>
      <c r="G300" s="2" t="s">
        <v>7621</v>
      </c>
    </row>
    <row r="301" spans="1:7">
      <c r="A301" s="3">
        <v>5</v>
      </c>
      <c r="B301" s="3" t="s">
        <v>122</v>
      </c>
      <c r="C301" s="3">
        <v>305</v>
      </c>
      <c r="D301" s="3" t="s">
        <v>854</v>
      </c>
      <c r="E301" s="3" t="s">
        <v>7620</v>
      </c>
      <c r="F301" s="3" t="s">
        <v>7608</v>
      </c>
      <c r="G301" s="3" t="s">
        <v>7625</v>
      </c>
    </row>
    <row r="302" spans="1:7">
      <c r="A302" s="2">
        <v>5</v>
      </c>
      <c r="B302" s="2" t="s">
        <v>122</v>
      </c>
      <c r="C302" s="2">
        <v>306</v>
      </c>
      <c r="D302" s="2" t="s">
        <v>854</v>
      </c>
      <c r="E302" s="2" t="s">
        <v>7620</v>
      </c>
      <c r="F302" s="2" t="s">
        <v>7608</v>
      </c>
      <c r="G302" s="2" t="s">
        <v>7625</v>
      </c>
    </row>
    <row r="303" spans="1:7">
      <c r="A303" s="3">
        <v>5</v>
      </c>
      <c r="B303" s="3" t="s">
        <v>122</v>
      </c>
      <c r="C303" s="3">
        <v>307</v>
      </c>
      <c r="D303" s="3" t="s">
        <v>854</v>
      </c>
      <c r="E303" s="3" t="s">
        <v>7620</v>
      </c>
      <c r="F303" s="3" t="s">
        <v>7611</v>
      </c>
      <c r="G303" s="3" t="s">
        <v>7622</v>
      </c>
    </row>
    <row r="304" spans="1:7">
      <c r="A304" s="2">
        <v>5</v>
      </c>
      <c r="B304" s="2" t="s">
        <v>122</v>
      </c>
      <c r="C304" s="2">
        <v>308</v>
      </c>
      <c r="D304" s="2" t="s">
        <v>854</v>
      </c>
      <c r="E304" s="2" t="s">
        <v>7618</v>
      </c>
      <c r="F304" s="2" t="s">
        <v>7608</v>
      </c>
      <c r="G304" s="2" t="s">
        <v>7609</v>
      </c>
    </row>
    <row r="305" spans="1:7">
      <c r="A305" s="3">
        <v>5</v>
      </c>
      <c r="B305" s="3" t="s">
        <v>122</v>
      </c>
      <c r="C305" s="3">
        <v>309</v>
      </c>
      <c r="D305" s="3" t="s">
        <v>854</v>
      </c>
      <c r="E305" s="3" t="s">
        <v>7620</v>
      </c>
      <c r="F305" s="3" t="s">
        <v>7608</v>
      </c>
      <c r="G305" s="3" t="s">
        <v>7625</v>
      </c>
    </row>
    <row r="306" spans="1:7">
      <c r="A306" s="2">
        <v>5</v>
      </c>
      <c r="B306" s="2" t="s">
        <v>122</v>
      </c>
      <c r="C306" s="2">
        <v>316</v>
      </c>
      <c r="D306" s="2" t="s">
        <v>1028</v>
      </c>
      <c r="E306" s="2" t="s">
        <v>7620</v>
      </c>
      <c r="F306" s="2" t="s">
        <v>7608</v>
      </c>
      <c r="G306" s="2" t="s">
        <v>7621</v>
      </c>
    </row>
    <row r="307" spans="1:7">
      <c r="A307" s="3">
        <v>5</v>
      </c>
      <c r="B307" s="3" t="s">
        <v>122</v>
      </c>
      <c r="C307" s="3">
        <v>317</v>
      </c>
      <c r="D307" s="3" t="s">
        <v>1030</v>
      </c>
      <c r="E307" s="3" t="s">
        <v>7630</v>
      </c>
      <c r="F307" s="3" t="s">
        <v>7611</v>
      </c>
      <c r="G307" s="3" t="s">
        <v>7624</v>
      </c>
    </row>
    <row r="308" spans="1:7">
      <c r="A308" s="2">
        <v>5</v>
      </c>
      <c r="B308" s="2" t="s">
        <v>122</v>
      </c>
      <c r="C308" s="2">
        <v>318</v>
      </c>
      <c r="D308" s="2" t="s">
        <v>1032</v>
      </c>
      <c r="E308" s="2" t="s">
        <v>7618</v>
      </c>
      <c r="F308" s="2" t="s">
        <v>7611</v>
      </c>
      <c r="G308" s="2" t="s">
        <v>7619</v>
      </c>
    </row>
    <row r="309" spans="1:7">
      <c r="A309" s="3">
        <v>5</v>
      </c>
      <c r="B309" s="3" t="s">
        <v>122</v>
      </c>
      <c r="C309" s="3">
        <v>321</v>
      </c>
      <c r="D309" s="3" t="s">
        <v>1048</v>
      </c>
      <c r="E309" s="3" t="s">
        <v>7618</v>
      </c>
      <c r="F309" s="3" t="s">
        <v>7611</v>
      </c>
      <c r="G309" s="3" t="s">
        <v>7619</v>
      </c>
    </row>
    <row r="310" spans="1:7">
      <c r="A310" s="2">
        <v>5</v>
      </c>
      <c r="B310" s="2" t="s">
        <v>122</v>
      </c>
      <c r="C310" s="2">
        <v>323</v>
      </c>
      <c r="D310" s="2" t="s">
        <v>1016</v>
      </c>
      <c r="E310" s="2" t="s">
        <v>7618</v>
      </c>
      <c r="F310" s="2" t="s">
        <v>7611</v>
      </c>
      <c r="G310" s="2" t="s">
        <v>7639</v>
      </c>
    </row>
    <row r="311" spans="1:7">
      <c r="A311" s="3">
        <v>5</v>
      </c>
      <c r="B311" s="3" t="s">
        <v>122</v>
      </c>
      <c r="C311" s="3">
        <v>325</v>
      </c>
      <c r="D311" s="3" t="s">
        <v>1020</v>
      </c>
      <c r="E311" s="3" t="s">
        <v>7618</v>
      </c>
      <c r="F311" s="3" t="s">
        <v>7611</v>
      </c>
      <c r="G311" s="3" t="s">
        <v>7619</v>
      </c>
    </row>
    <row r="312" spans="1:7">
      <c r="A312" s="2">
        <v>5</v>
      </c>
      <c r="B312" s="2" t="s">
        <v>122</v>
      </c>
      <c r="C312" s="2">
        <v>326</v>
      </c>
      <c r="D312" s="2" t="s">
        <v>1022</v>
      </c>
      <c r="E312" s="2" t="s">
        <v>7630</v>
      </c>
      <c r="F312" s="2" t="s">
        <v>7611</v>
      </c>
      <c r="G312" s="2" t="s">
        <v>7639</v>
      </c>
    </row>
    <row r="313" spans="1:7">
      <c r="A313" s="3">
        <v>5</v>
      </c>
      <c r="B313" s="3" t="s">
        <v>122</v>
      </c>
      <c r="C313" s="3">
        <v>327</v>
      </c>
      <c r="D313" s="3" t="s">
        <v>1025</v>
      </c>
      <c r="E313" s="3" t="s">
        <v>7618</v>
      </c>
      <c r="F313" s="3" t="s">
        <v>7611</v>
      </c>
      <c r="G313" s="3" t="s">
        <v>7636</v>
      </c>
    </row>
    <row r="314" spans="1:7">
      <c r="A314" s="2">
        <v>5</v>
      </c>
      <c r="B314" s="2" t="s">
        <v>122</v>
      </c>
      <c r="C314" s="2">
        <v>328</v>
      </c>
      <c r="D314" s="2" t="s">
        <v>1026</v>
      </c>
      <c r="E314" s="2" t="s">
        <v>7618</v>
      </c>
      <c r="F314" s="2" t="s">
        <v>7611</v>
      </c>
      <c r="G314" s="2" t="s">
        <v>7619</v>
      </c>
    </row>
    <row r="315" spans="1:7">
      <c r="A315" s="3">
        <v>5</v>
      </c>
      <c r="B315" s="3" t="s">
        <v>122</v>
      </c>
      <c r="C315" s="3">
        <v>329</v>
      </c>
      <c r="D315" s="3" t="s">
        <v>965</v>
      </c>
      <c r="E315" s="3" t="s">
        <v>7618</v>
      </c>
      <c r="F315" s="3" t="s">
        <v>7611</v>
      </c>
      <c r="G315" s="3" t="s">
        <v>7639</v>
      </c>
    </row>
    <row r="316" spans="1:7">
      <c r="A316" s="2">
        <v>5</v>
      </c>
      <c r="B316" s="2" t="s">
        <v>122</v>
      </c>
      <c r="C316" s="2">
        <v>330</v>
      </c>
      <c r="D316" s="2" t="s">
        <v>974</v>
      </c>
      <c r="E316" s="2" t="s">
        <v>7618</v>
      </c>
      <c r="F316" s="2" t="s">
        <v>7608</v>
      </c>
      <c r="G316" s="2" t="s">
        <v>7617</v>
      </c>
    </row>
    <row r="317" spans="1:7">
      <c r="A317" s="3">
        <v>5</v>
      </c>
      <c r="B317" s="3" t="s">
        <v>122</v>
      </c>
      <c r="C317" s="3">
        <v>332</v>
      </c>
      <c r="D317" s="3" t="s">
        <v>986</v>
      </c>
      <c r="E317" s="3" t="s">
        <v>7645</v>
      </c>
      <c r="F317" s="3" t="s">
        <v>7611</v>
      </c>
      <c r="G317" s="3" t="s">
        <v>7633</v>
      </c>
    </row>
    <row r="318" spans="1:7">
      <c r="A318" s="2">
        <v>5</v>
      </c>
      <c r="B318" s="2" t="s">
        <v>122</v>
      </c>
      <c r="C318" s="2">
        <v>333</v>
      </c>
      <c r="D318" s="2" t="s">
        <v>989</v>
      </c>
      <c r="E318" s="2" t="s">
        <v>7618</v>
      </c>
      <c r="F318" s="2" t="s">
        <v>7611</v>
      </c>
      <c r="G318" s="2" t="s">
        <v>7634</v>
      </c>
    </row>
    <row r="319" spans="1:7">
      <c r="A319" s="3">
        <v>5</v>
      </c>
      <c r="B319" s="3" t="s">
        <v>122</v>
      </c>
      <c r="C319" s="3">
        <v>334</v>
      </c>
      <c r="D319" s="3" t="s">
        <v>970</v>
      </c>
      <c r="E319" s="3" t="s">
        <v>7620</v>
      </c>
      <c r="F319" s="3" t="s">
        <v>7611</v>
      </c>
      <c r="G319" s="3" t="s">
        <v>7622</v>
      </c>
    </row>
    <row r="320" spans="1:7">
      <c r="A320" s="2">
        <v>5</v>
      </c>
      <c r="B320" s="2" t="s">
        <v>122</v>
      </c>
      <c r="C320" s="2">
        <v>335</v>
      </c>
      <c r="D320" s="2" t="s">
        <v>1057</v>
      </c>
      <c r="E320" s="2" t="s">
        <v>7620</v>
      </c>
      <c r="F320" s="2" t="s">
        <v>7611</v>
      </c>
      <c r="G320" s="2" t="s">
        <v>7622</v>
      </c>
    </row>
    <row r="321" spans="1:7">
      <c r="A321" s="3">
        <v>5</v>
      </c>
      <c r="B321" s="3" t="s">
        <v>122</v>
      </c>
      <c r="C321" s="3">
        <v>336</v>
      </c>
      <c r="D321" s="3" t="s">
        <v>992</v>
      </c>
      <c r="E321" s="3" t="s">
        <v>7620</v>
      </c>
      <c r="F321" s="3" t="s">
        <v>7611</v>
      </c>
      <c r="G321" s="3" t="s">
        <v>7621</v>
      </c>
    </row>
    <row r="322" spans="1:7">
      <c r="A322" s="2">
        <v>5</v>
      </c>
      <c r="B322" s="2" t="s">
        <v>122</v>
      </c>
      <c r="C322" s="2">
        <v>337</v>
      </c>
      <c r="D322" s="2" t="s">
        <v>1042</v>
      </c>
      <c r="E322" s="2" t="s">
        <v>7620</v>
      </c>
      <c r="F322" s="2" t="s">
        <v>7611</v>
      </c>
      <c r="G322" s="2" t="s">
        <v>7622</v>
      </c>
    </row>
    <row r="323" spans="1:7">
      <c r="A323" s="3">
        <v>5</v>
      </c>
      <c r="B323" s="3" t="s">
        <v>122</v>
      </c>
      <c r="C323" s="3">
        <v>338</v>
      </c>
      <c r="D323" s="3" t="s">
        <v>996</v>
      </c>
      <c r="E323" s="3" t="s">
        <v>7620</v>
      </c>
      <c r="F323" s="3" t="s">
        <v>7611</v>
      </c>
      <c r="G323" s="3" t="s">
        <v>7622</v>
      </c>
    </row>
    <row r="324" spans="1:7">
      <c r="A324" s="2">
        <v>5</v>
      </c>
      <c r="B324" s="2" t="s">
        <v>122</v>
      </c>
      <c r="C324" s="2">
        <v>339</v>
      </c>
      <c r="D324" s="2" t="s">
        <v>1058</v>
      </c>
      <c r="E324" s="2" t="s">
        <v>7620</v>
      </c>
      <c r="F324" s="2" t="s">
        <v>7611</v>
      </c>
      <c r="G324" s="2" t="s">
        <v>7621</v>
      </c>
    </row>
    <row r="325" spans="1:7">
      <c r="A325" s="3">
        <v>5</v>
      </c>
      <c r="B325" s="3" t="s">
        <v>122</v>
      </c>
      <c r="C325" s="3">
        <v>340</v>
      </c>
      <c r="D325" s="3" t="s">
        <v>1000</v>
      </c>
      <c r="E325" s="3" t="s">
        <v>7620</v>
      </c>
      <c r="F325" s="3" t="s">
        <v>7608</v>
      </c>
      <c r="G325" s="3" t="s">
        <v>7621</v>
      </c>
    </row>
    <row r="326" spans="1:7">
      <c r="A326" s="2">
        <v>5</v>
      </c>
      <c r="B326" s="2" t="s">
        <v>122</v>
      </c>
      <c r="C326" s="2">
        <v>341</v>
      </c>
      <c r="D326" s="2" t="s">
        <v>1052</v>
      </c>
      <c r="E326" s="2" t="s">
        <v>7620</v>
      </c>
      <c r="F326" s="2" t="s">
        <v>7611</v>
      </c>
      <c r="G326" s="2" t="s">
        <v>7622</v>
      </c>
    </row>
    <row r="327" spans="1:7">
      <c r="A327" s="3">
        <v>5</v>
      </c>
      <c r="B327" s="3" t="s">
        <v>122</v>
      </c>
      <c r="C327" s="3">
        <v>342</v>
      </c>
      <c r="D327" s="3" t="s">
        <v>854</v>
      </c>
      <c r="E327" s="3" t="s">
        <v>7620</v>
      </c>
      <c r="F327" s="3" t="s">
        <v>7608</v>
      </c>
      <c r="G327" s="3" t="s">
        <v>7625</v>
      </c>
    </row>
    <row r="328" spans="1:7">
      <c r="A328" s="2">
        <v>5</v>
      </c>
      <c r="B328" s="2" t="s">
        <v>122</v>
      </c>
      <c r="C328" s="2">
        <v>343</v>
      </c>
      <c r="D328" s="2" t="s">
        <v>977</v>
      </c>
      <c r="E328" s="2" t="s">
        <v>7646</v>
      </c>
      <c r="F328" s="2" t="s">
        <v>7611</v>
      </c>
      <c r="G328" s="2" t="s">
        <v>7609</v>
      </c>
    </row>
    <row r="329" spans="1:7">
      <c r="A329" s="3">
        <v>5</v>
      </c>
      <c r="B329" s="3" t="s">
        <v>122</v>
      </c>
      <c r="C329" s="3">
        <v>402</v>
      </c>
      <c r="D329" s="3" t="s">
        <v>1120</v>
      </c>
      <c r="E329" s="3" t="s">
        <v>7645</v>
      </c>
      <c r="F329" s="3" t="s">
        <v>7611</v>
      </c>
      <c r="G329" s="3" t="s">
        <v>7633</v>
      </c>
    </row>
    <row r="330" spans="1:7">
      <c r="A330" s="2">
        <v>5</v>
      </c>
      <c r="B330" s="2" t="s">
        <v>122</v>
      </c>
      <c r="C330" s="2">
        <v>405</v>
      </c>
      <c r="D330" s="2" t="s">
        <v>1110</v>
      </c>
      <c r="E330" s="2" t="s">
        <v>7610</v>
      </c>
      <c r="F330" s="2" t="s">
        <v>7611</v>
      </c>
      <c r="G330" s="2" t="s">
        <v>7632</v>
      </c>
    </row>
    <row r="331" spans="1:7">
      <c r="A331" s="3">
        <v>5</v>
      </c>
      <c r="B331" s="3" t="s">
        <v>122</v>
      </c>
      <c r="C331" s="3">
        <v>406</v>
      </c>
      <c r="D331" s="3" t="s">
        <v>1114</v>
      </c>
      <c r="E331" s="3" t="s">
        <v>7610</v>
      </c>
      <c r="F331" s="3" t="s">
        <v>7611</v>
      </c>
      <c r="G331" s="3" t="s">
        <v>7626</v>
      </c>
    </row>
    <row r="332" spans="1:7">
      <c r="A332" s="2">
        <v>5</v>
      </c>
      <c r="B332" s="2" t="s">
        <v>122</v>
      </c>
      <c r="C332" s="2">
        <v>408</v>
      </c>
      <c r="D332" s="2" t="s">
        <v>1131</v>
      </c>
      <c r="E332" s="2" t="s">
        <v>7618</v>
      </c>
      <c r="F332" s="2" t="s">
        <v>7608</v>
      </c>
      <c r="G332" s="2" t="s">
        <v>7609</v>
      </c>
    </row>
    <row r="333" spans="1:7">
      <c r="A333" s="3">
        <v>5</v>
      </c>
      <c r="B333" s="3" t="s">
        <v>122</v>
      </c>
      <c r="C333" s="3">
        <v>409</v>
      </c>
      <c r="D333" s="3" t="s">
        <v>1126</v>
      </c>
      <c r="E333" s="3" t="s">
        <v>7618</v>
      </c>
      <c r="F333" s="3" t="s">
        <v>7611</v>
      </c>
      <c r="G333" s="3" t="s">
        <v>7636</v>
      </c>
    </row>
    <row r="334" spans="1:7">
      <c r="A334" s="2">
        <v>5</v>
      </c>
      <c r="B334" s="2" t="s">
        <v>122</v>
      </c>
      <c r="C334" s="2">
        <v>410</v>
      </c>
      <c r="D334" s="2" t="s">
        <v>1123</v>
      </c>
      <c r="E334" s="2" t="s">
        <v>7620</v>
      </c>
      <c r="F334" s="2" t="s">
        <v>7611</v>
      </c>
      <c r="G334" s="2" t="s">
        <v>7625</v>
      </c>
    </row>
    <row r="335" spans="1:7">
      <c r="A335" s="3">
        <v>6</v>
      </c>
      <c r="B335" s="3" t="s">
        <v>130</v>
      </c>
      <c r="C335" s="3">
        <v>34</v>
      </c>
      <c r="D335" s="3" t="s">
        <v>160</v>
      </c>
      <c r="E335" s="3" t="s">
        <v>7648</v>
      </c>
      <c r="F335" s="3" t="s">
        <v>7611</v>
      </c>
      <c r="G335" s="3" t="s">
        <v>7639</v>
      </c>
    </row>
    <row r="336" spans="1:7">
      <c r="A336" s="2">
        <v>6</v>
      </c>
      <c r="B336" s="2" t="s">
        <v>130</v>
      </c>
      <c r="C336" s="2">
        <v>35</v>
      </c>
      <c r="D336" s="2" t="s">
        <v>155</v>
      </c>
      <c r="E336" s="2" t="s">
        <v>7648</v>
      </c>
      <c r="F336" s="2" t="s">
        <v>7611</v>
      </c>
      <c r="G336" s="2" t="s">
        <v>7634</v>
      </c>
    </row>
    <row r="337" spans="1:7">
      <c r="A337" s="3">
        <v>6</v>
      </c>
      <c r="B337" s="3" t="s">
        <v>130</v>
      </c>
      <c r="C337" s="3">
        <v>56</v>
      </c>
      <c r="D337" s="3" t="s">
        <v>12</v>
      </c>
      <c r="E337" s="3" t="s">
        <v>7616</v>
      </c>
      <c r="F337" s="3" t="s">
        <v>7649</v>
      </c>
      <c r="G337" s="3" t="s">
        <v>7636</v>
      </c>
    </row>
    <row r="338" spans="1:7">
      <c r="A338" s="2">
        <v>6</v>
      </c>
      <c r="B338" s="2" t="s">
        <v>130</v>
      </c>
      <c r="C338" s="2">
        <v>97</v>
      </c>
      <c r="D338" s="2" t="s">
        <v>457</v>
      </c>
      <c r="E338" s="2" t="s">
        <v>7620</v>
      </c>
      <c r="F338" s="2" t="s">
        <v>7649</v>
      </c>
      <c r="G338" s="2" t="s">
        <v>7633</v>
      </c>
    </row>
    <row r="339" spans="1:7">
      <c r="A339" s="3">
        <v>6</v>
      </c>
      <c r="B339" s="3" t="s">
        <v>130</v>
      </c>
      <c r="C339" s="3">
        <v>101</v>
      </c>
      <c r="D339" s="3" t="s">
        <v>395</v>
      </c>
      <c r="E339" s="3" t="s">
        <v>7620</v>
      </c>
      <c r="F339" s="3" t="s">
        <v>7649</v>
      </c>
      <c r="G339" s="3" t="s">
        <v>7622</v>
      </c>
    </row>
    <row r="340" spans="1:7">
      <c r="A340" s="2">
        <v>6</v>
      </c>
      <c r="B340" s="2" t="s">
        <v>130</v>
      </c>
      <c r="C340" s="2">
        <v>103</v>
      </c>
      <c r="D340" s="2" t="s">
        <v>384</v>
      </c>
      <c r="E340" s="2" t="s">
        <v>7620</v>
      </c>
      <c r="F340" s="2" t="s">
        <v>7650</v>
      </c>
      <c r="G340" s="2" t="s">
        <v>7625</v>
      </c>
    </row>
    <row r="341" spans="1:7">
      <c r="A341" s="3">
        <v>6</v>
      </c>
      <c r="B341" s="3" t="s">
        <v>130</v>
      </c>
      <c r="C341" s="3">
        <v>191</v>
      </c>
      <c r="D341" s="3" t="s">
        <v>719</v>
      </c>
      <c r="E341" s="3" t="s">
        <v>7620</v>
      </c>
      <c r="F341" s="3" t="s">
        <v>7649</v>
      </c>
      <c r="G341" s="3" t="s">
        <v>7622</v>
      </c>
    </row>
    <row r="342" spans="1:7">
      <c r="A342" s="2">
        <v>6</v>
      </c>
      <c r="B342" s="2" t="s">
        <v>130</v>
      </c>
      <c r="C342" s="2">
        <v>195</v>
      </c>
      <c r="D342" s="2" t="s">
        <v>734</v>
      </c>
      <c r="E342" s="2" t="s">
        <v>7620</v>
      </c>
      <c r="F342" s="2" t="s">
        <v>7649</v>
      </c>
      <c r="G342" s="2" t="s">
        <v>7622</v>
      </c>
    </row>
    <row r="343" spans="1:7">
      <c r="A343" s="3">
        <v>6</v>
      </c>
      <c r="B343" s="3" t="s">
        <v>130</v>
      </c>
      <c r="C343" s="3">
        <v>198</v>
      </c>
      <c r="D343" s="3" t="s">
        <v>698</v>
      </c>
      <c r="E343" s="3" t="s">
        <v>7620</v>
      </c>
      <c r="F343" s="3" t="s">
        <v>7649</v>
      </c>
      <c r="G343" s="3" t="s">
        <v>7622</v>
      </c>
    </row>
    <row r="344" spans="1:7">
      <c r="A344" s="2">
        <v>6</v>
      </c>
      <c r="B344" s="2" t="s">
        <v>130</v>
      </c>
      <c r="C344" s="2">
        <v>199</v>
      </c>
      <c r="D344" s="2" t="s">
        <v>702</v>
      </c>
      <c r="E344" s="2" t="s">
        <v>7620</v>
      </c>
      <c r="F344" s="2" t="s">
        <v>7649</v>
      </c>
      <c r="G344" s="2" t="s">
        <v>7633</v>
      </c>
    </row>
    <row r="345" spans="1:7">
      <c r="A345" s="3">
        <v>6</v>
      </c>
      <c r="B345" s="3" t="s">
        <v>130</v>
      </c>
      <c r="C345" s="3">
        <v>200</v>
      </c>
      <c r="D345" s="3" t="s">
        <v>707</v>
      </c>
      <c r="E345" s="3" t="s">
        <v>7620</v>
      </c>
      <c r="F345" s="3" t="s">
        <v>7649</v>
      </c>
      <c r="G345" s="3" t="s">
        <v>7633</v>
      </c>
    </row>
    <row r="346" spans="1:7">
      <c r="A346" s="2">
        <v>6</v>
      </c>
      <c r="B346" s="2" t="s">
        <v>130</v>
      </c>
      <c r="C346" s="2">
        <v>205</v>
      </c>
      <c r="D346" s="2" t="s">
        <v>746</v>
      </c>
      <c r="E346" s="2" t="s">
        <v>7620</v>
      </c>
      <c r="F346" s="2" t="s">
        <v>7611</v>
      </c>
      <c r="G346" s="2" t="s">
        <v>7625</v>
      </c>
    </row>
    <row r="347" spans="1:7">
      <c r="A347" s="3">
        <v>6</v>
      </c>
      <c r="B347" s="3" t="s">
        <v>130</v>
      </c>
      <c r="C347" s="3">
        <v>207</v>
      </c>
      <c r="D347" s="3" t="s">
        <v>749</v>
      </c>
      <c r="E347" s="3" t="s">
        <v>7620</v>
      </c>
      <c r="F347" s="3" t="s">
        <v>7611</v>
      </c>
      <c r="G347" s="3" t="s">
        <v>7621</v>
      </c>
    </row>
    <row r="348" spans="1:7">
      <c r="A348" s="2">
        <v>6</v>
      </c>
      <c r="B348" s="2" t="s">
        <v>130</v>
      </c>
      <c r="C348" s="2">
        <v>208</v>
      </c>
      <c r="D348" s="2" t="s">
        <v>754</v>
      </c>
      <c r="E348" s="2" t="s">
        <v>7620</v>
      </c>
      <c r="F348" s="2" t="s">
        <v>7611</v>
      </c>
      <c r="G348" s="2" t="s">
        <v>7625</v>
      </c>
    </row>
    <row r="349" spans="1:7">
      <c r="A349" s="3">
        <v>6</v>
      </c>
      <c r="B349" s="3" t="s">
        <v>130</v>
      </c>
      <c r="C349" s="3">
        <v>209</v>
      </c>
      <c r="D349" s="3" t="s">
        <v>758</v>
      </c>
      <c r="E349" s="3" t="s">
        <v>7620</v>
      </c>
      <c r="F349" s="3" t="s">
        <v>7650</v>
      </c>
      <c r="G349" s="3" t="s">
        <v>7625</v>
      </c>
    </row>
    <row r="350" spans="1:7">
      <c r="A350" s="2">
        <v>6</v>
      </c>
      <c r="B350" s="2" t="s">
        <v>130</v>
      </c>
      <c r="C350" s="2">
        <v>221</v>
      </c>
      <c r="D350" s="2" t="s">
        <v>813</v>
      </c>
      <c r="E350" s="2" t="s">
        <v>7648</v>
      </c>
      <c r="F350" s="2" t="s">
        <v>7649</v>
      </c>
      <c r="G350" s="2" t="s">
        <v>7624</v>
      </c>
    </row>
    <row r="351" spans="1:7">
      <c r="A351" s="3">
        <v>6</v>
      </c>
      <c r="B351" s="3" t="s">
        <v>130</v>
      </c>
      <c r="C351" s="3">
        <v>264</v>
      </c>
      <c r="D351" s="3" t="s">
        <v>775</v>
      </c>
      <c r="E351" s="3" t="s">
        <v>7620</v>
      </c>
      <c r="F351" s="3" t="s">
        <v>7649</v>
      </c>
      <c r="G351" s="3" t="s">
        <v>7622</v>
      </c>
    </row>
    <row r="352" spans="1:7">
      <c r="A352" s="2">
        <v>6</v>
      </c>
      <c r="B352" s="2" t="s">
        <v>130</v>
      </c>
      <c r="C352" s="2">
        <v>341</v>
      </c>
      <c r="D352" s="2" t="s">
        <v>1052</v>
      </c>
      <c r="E352" s="2" t="s">
        <v>7620</v>
      </c>
      <c r="F352" s="2" t="s">
        <v>7649</v>
      </c>
      <c r="G352" s="2" t="s">
        <v>7633</v>
      </c>
    </row>
    <row r="353" spans="1:7">
      <c r="A353" s="3">
        <v>6</v>
      </c>
      <c r="B353" s="3" t="s">
        <v>130</v>
      </c>
      <c r="C353" s="3">
        <v>343</v>
      </c>
      <c r="D353" s="3" t="s">
        <v>977</v>
      </c>
      <c r="E353" s="3" t="s">
        <v>7620</v>
      </c>
      <c r="F353" s="3" t="s">
        <v>7649</v>
      </c>
      <c r="G353" s="3" t="s">
        <v>7622</v>
      </c>
    </row>
    <row r="354" spans="1:7">
      <c r="A354" s="2">
        <v>7</v>
      </c>
      <c r="B354" s="2" t="s">
        <v>97</v>
      </c>
      <c r="C354" s="2">
        <v>34</v>
      </c>
      <c r="D354" s="2" t="s">
        <v>160</v>
      </c>
      <c r="E354" s="2" t="s">
        <v>7651</v>
      </c>
      <c r="F354" s="2" t="s">
        <v>7635</v>
      </c>
      <c r="G354" s="2" t="s">
        <v>7641</v>
      </c>
    </row>
    <row r="355" spans="1:7">
      <c r="A355" s="3">
        <v>7</v>
      </c>
      <c r="B355" s="3" t="s">
        <v>97</v>
      </c>
      <c r="C355" s="3">
        <v>35</v>
      </c>
      <c r="D355" s="3" t="s">
        <v>155</v>
      </c>
      <c r="E355" s="3" t="s">
        <v>7648</v>
      </c>
      <c r="F355" s="3" t="s">
        <v>7635</v>
      </c>
      <c r="G355" s="3" t="s">
        <v>7634</v>
      </c>
    </row>
    <row r="356" spans="1:7">
      <c r="A356" s="2">
        <v>7</v>
      </c>
      <c r="B356" s="2" t="s">
        <v>97</v>
      </c>
      <c r="C356" s="2">
        <v>56</v>
      </c>
      <c r="D356" s="2" t="s">
        <v>12</v>
      </c>
      <c r="E356" s="2" t="s">
        <v>7616</v>
      </c>
      <c r="F356" s="2" t="s">
        <v>7652</v>
      </c>
      <c r="G356" s="2" t="s">
        <v>7634</v>
      </c>
    </row>
    <row r="357" spans="1:7">
      <c r="A357" s="3">
        <v>7</v>
      </c>
      <c r="B357" s="3" t="s">
        <v>97</v>
      </c>
      <c r="C357" s="3">
        <v>97</v>
      </c>
      <c r="D357" s="3" t="s">
        <v>457</v>
      </c>
      <c r="E357" s="3" t="s">
        <v>7620</v>
      </c>
      <c r="F357" s="3" t="s">
        <v>7652</v>
      </c>
      <c r="G357" s="3" t="s">
        <v>7609</v>
      </c>
    </row>
    <row r="358" spans="1:7">
      <c r="A358" s="2">
        <v>7</v>
      </c>
      <c r="B358" s="2" t="s">
        <v>97</v>
      </c>
      <c r="C358" s="2">
        <v>101</v>
      </c>
      <c r="D358" s="2" t="s">
        <v>395</v>
      </c>
      <c r="E358" s="2" t="s">
        <v>7620</v>
      </c>
      <c r="F358" s="2" t="s">
        <v>7652</v>
      </c>
      <c r="G358" s="2" t="s">
        <v>7622</v>
      </c>
    </row>
    <row r="359" spans="1:7">
      <c r="A359" s="3">
        <v>7</v>
      </c>
      <c r="B359" s="3" t="s">
        <v>97</v>
      </c>
      <c r="C359" s="3">
        <v>103</v>
      </c>
      <c r="D359" s="3" t="s">
        <v>384</v>
      </c>
      <c r="E359" s="3" t="s">
        <v>7620</v>
      </c>
      <c r="F359" s="3" t="s">
        <v>7650</v>
      </c>
      <c r="G359" s="3" t="s">
        <v>7621</v>
      </c>
    </row>
    <row r="360" spans="1:7">
      <c r="A360" s="2">
        <v>7</v>
      </c>
      <c r="B360" s="2" t="s">
        <v>97</v>
      </c>
      <c r="C360" s="2">
        <v>189</v>
      </c>
      <c r="D360" s="2" t="s">
        <v>742</v>
      </c>
      <c r="E360" s="2" t="s">
        <v>7653</v>
      </c>
      <c r="F360" s="2" t="s">
        <v>7608</v>
      </c>
      <c r="G360" s="2" t="s">
        <v>7625</v>
      </c>
    </row>
    <row r="361" spans="1:7">
      <c r="A361" s="3">
        <v>7</v>
      </c>
      <c r="B361" s="3" t="s">
        <v>97</v>
      </c>
      <c r="C361" s="3">
        <v>191</v>
      </c>
      <c r="D361" s="3" t="s">
        <v>719</v>
      </c>
      <c r="E361" s="3" t="s">
        <v>7620</v>
      </c>
      <c r="F361" s="3" t="s">
        <v>7652</v>
      </c>
      <c r="G361" s="3" t="s">
        <v>7633</v>
      </c>
    </row>
    <row r="362" spans="1:7">
      <c r="A362" s="2">
        <v>7</v>
      </c>
      <c r="B362" s="2" t="s">
        <v>97</v>
      </c>
      <c r="C362" s="2">
        <v>195</v>
      </c>
      <c r="D362" s="2" t="s">
        <v>734</v>
      </c>
      <c r="E362" s="2" t="s">
        <v>7620</v>
      </c>
      <c r="F362" s="2" t="s">
        <v>7652</v>
      </c>
      <c r="G362" s="2" t="s">
        <v>7622</v>
      </c>
    </row>
    <row r="363" spans="1:7">
      <c r="A363" s="3">
        <v>7</v>
      </c>
      <c r="B363" s="3" t="s">
        <v>97</v>
      </c>
      <c r="C363" s="3">
        <v>198</v>
      </c>
      <c r="D363" s="3" t="s">
        <v>698</v>
      </c>
      <c r="E363" s="3" t="s">
        <v>7620</v>
      </c>
      <c r="F363" s="3" t="s">
        <v>7652</v>
      </c>
      <c r="G363" s="3" t="s">
        <v>7609</v>
      </c>
    </row>
    <row r="364" spans="1:7">
      <c r="A364" s="2">
        <v>7</v>
      </c>
      <c r="B364" s="2" t="s">
        <v>97</v>
      </c>
      <c r="C364" s="2">
        <v>199</v>
      </c>
      <c r="D364" s="2" t="s">
        <v>702</v>
      </c>
      <c r="E364" s="2" t="s">
        <v>7654</v>
      </c>
      <c r="F364" s="2" t="s">
        <v>7652</v>
      </c>
      <c r="G364" s="2" t="s">
        <v>7619</v>
      </c>
    </row>
    <row r="365" spans="1:7">
      <c r="A365" s="3">
        <v>7</v>
      </c>
      <c r="B365" s="3" t="s">
        <v>97</v>
      </c>
      <c r="C365" s="3">
        <v>200</v>
      </c>
      <c r="D365" s="3" t="s">
        <v>707</v>
      </c>
      <c r="E365" s="3" t="s">
        <v>7654</v>
      </c>
      <c r="F365" s="3" t="s">
        <v>7652</v>
      </c>
      <c r="G365" s="3" t="s">
        <v>7639</v>
      </c>
    </row>
    <row r="366" spans="1:7">
      <c r="A366" s="2">
        <v>7</v>
      </c>
      <c r="B366" s="2" t="s">
        <v>97</v>
      </c>
      <c r="C366" s="2">
        <v>205</v>
      </c>
      <c r="D366" s="2" t="s">
        <v>746</v>
      </c>
      <c r="E366" s="2" t="s">
        <v>7620</v>
      </c>
      <c r="F366" s="2" t="s">
        <v>7635</v>
      </c>
      <c r="G366" s="2" t="s">
        <v>7625</v>
      </c>
    </row>
    <row r="367" spans="1:7">
      <c r="A367" s="3">
        <v>7</v>
      </c>
      <c r="B367" s="3" t="s">
        <v>97</v>
      </c>
      <c r="C367" s="3">
        <v>208</v>
      </c>
      <c r="D367" s="3" t="s">
        <v>754</v>
      </c>
      <c r="E367" s="3" t="s">
        <v>7620</v>
      </c>
      <c r="F367" s="3" t="s">
        <v>7635</v>
      </c>
      <c r="G367" s="3" t="s">
        <v>7625</v>
      </c>
    </row>
    <row r="368" spans="1:7">
      <c r="A368" s="2">
        <v>7</v>
      </c>
      <c r="B368" s="2" t="s">
        <v>97</v>
      </c>
      <c r="C368" s="2">
        <v>209</v>
      </c>
      <c r="D368" s="2" t="s">
        <v>758</v>
      </c>
      <c r="E368" s="2" t="s">
        <v>7620</v>
      </c>
      <c r="F368" s="2" t="s">
        <v>7652</v>
      </c>
      <c r="G368" s="2" t="s">
        <v>7622</v>
      </c>
    </row>
    <row r="369" spans="1:7">
      <c r="A369" s="3">
        <v>7</v>
      </c>
      <c r="B369" s="3" t="s">
        <v>97</v>
      </c>
      <c r="C369" s="3">
        <v>221</v>
      </c>
      <c r="D369" s="3" t="s">
        <v>813</v>
      </c>
      <c r="E369" s="3" t="s">
        <v>7648</v>
      </c>
      <c r="F369" s="3" t="s">
        <v>7650</v>
      </c>
      <c r="G369" s="3" t="s">
        <v>7634</v>
      </c>
    </row>
    <row r="370" spans="1:7">
      <c r="A370" s="2">
        <v>7</v>
      </c>
      <c r="B370" s="2" t="s">
        <v>97</v>
      </c>
      <c r="C370" s="2">
        <v>264</v>
      </c>
      <c r="D370" s="2" t="s">
        <v>775</v>
      </c>
      <c r="E370" s="2" t="s">
        <v>7655</v>
      </c>
      <c r="F370" s="2" t="s">
        <v>7652</v>
      </c>
      <c r="G370" s="2" t="s">
        <v>7619</v>
      </c>
    </row>
    <row r="371" spans="1:7">
      <c r="A371" s="3">
        <v>7</v>
      </c>
      <c r="B371" s="3" t="s">
        <v>97</v>
      </c>
      <c r="C371" s="3">
        <v>341</v>
      </c>
      <c r="D371" s="3" t="s">
        <v>1052</v>
      </c>
      <c r="E371" s="3" t="s">
        <v>7655</v>
      </c>
      <c r="F371" s="3" t="s">
        <v>7650</v>
      </c>
      <c r="G371" s="3" t="s">
        <v>7636</v>
      </c>
    </row>
    <row r="372" spans="1:7">
      <c r="A372" s="2">
        <v>7</v>
      </c>
      <c r="B372" s="2" t="s">
        <v>97</v>
      </c>
      <c r="C372" s="2">
        <v>343</v>
      </c>
      <c r="D372" s="2" t="s">
        <v>977</v>
      </c>
      <c r="E372" s="2" t="s">
        <v>7620</v>
      </c>
      <c r="F372" s="2" t="s">
        <v>7652</v>
      </c>
      <c r="G372" s="2" t="s">
        <v>7622</v>
      </c>
    </row>
    <row r="373" spans="1:7">
      <c r="A373" s="3">
        <v>8</v>
      </c>
      <c r="B373" s="3" t="s">
        <v>81</v>
      </c>
      <c r="C373" s="3">
        <v>34</v>
      </c>
      <c r="D373" s="3" t="s">
        <v>160</v>
      </c>
      <c r="E373" s="3" t="s">
        <v>7610</v>
      </c>
      <c r="F373" s="3" t="s">
        <v>7611</v>
      </c>
      <c r="G373" s="3" t="s">
        <v>7644</v>
      </c>
    </row>
    <row r="374" spans="1:7">
      <c r="A374" s="2">
        <v>8</v>
      </c>
      <c r="B374" s="2" t="s">
        <v>81</v>
      </c>
      <c r="C374" s="2">
        <v>35</v>
      </c>
      <c r="D374" s="2" t="s">
        <v>155</v>
      </c>
      <c r="E374" s="2" t="s">
        <v>7610</v>
      </c>
      <c r="F374" s="2" t="s">
        <v>7611</v>
      </c>
      <c r="G374" s="2" t="s">
        <v>7612</v>
      </c>
    </row>
    <row r="375" spans="1:7">
      <c r="A375" s="3">
        <v>8</v>
      </c>
      <c r="B375" s="3" t="s">
        <v>81</v>
      </c>
      <c r="C375" s="3">
        <v>56</v>
      </c>
      <c r="D375" s="3" t="s">
        <v>12</v>
      </c>
      <c r="E375" s="3" t="s">
        <v>7616</v>
      </c>
      <c r="F375" s="3" t="s">
        <v>7649</v>
      </c>
      <c r="G375" s="3" t="s">
        <v>7619</v>
      </c>
    </row>
    <row r="376" spans="1:7">
      <c r="A376" s="2">
        <v>8</v>
      </c>
      <c r="B376" s="2" t="s">
        <v>81</v>
      </c>
      <c r="C376" s="2">
        <v>97</v>
      </c>
      <c r="D376" s="2" t="s">
        <v>457</v>
      </c>
      <c r="E376" s="2" t="s">
        <v>7630</v>
      </c>
      <c r="F376" s="2" t="s">
        <v>7649</v>
      </c>
      <c r="G376" s="2" t="s">
        <v>7634</v>
      </c>
    </row>
    <row r="377" spans="1:7">
      <c r="A377" s="3">
        <v>8</v>
      </c>
      <c r="B377" s="3" t="s">
        <v>81</v>
      </c>
      <c r="C377" s="3">
        <v>101</v>
      </c>
      <c r="D377" s="3" t="s">
        <v>395</v>
      </c>
      <c r="E377" s="3" t="s">
        <v>7620</v>
      </c>
      <c r="F377" s="3" t="s">
        <v>7649</v>
      </c>
      <c r="G377" s="3" t="s">
        <v>7633</v>
      </c>
    </row>
    <row r="378" spans="1:7">
      <c r="A378" s="2">
        <v>8</v>
      </c>
      <c r="B378" s="2" t="s">
        <v>81</v>
      </c>
      <c r="C378" s="2">
        <v>103</v>
      </c>
      <c r="D378" s="2" t="s">
        <v>384</v>
      </c>
      <c r="E378" s="2" t="s">
        <v>7620</v>
      </c>
      <c r="F378" s="2" t="s">
        <v>7650</v>
      </c>
      <c r="G378" s="2" t="s">
        <v>7625</v>
      </c>
    </row>
    <row r="379" spans="1:7">
      <c r="A379" s="3">
        <v>8</v>
      </c>
      <c r="B379" s="3" t="s">
        <v>81</v>
      </c>
      <c r="C379" s="3">
        <v>191</v>
      </c>
      <c r="D379" s="3" t="s">
        <v>719</v>
      </c>
      <c r="E379" s="3" t="s">
        <v>7618</v>
      </c>
      <c r="F379" s="3" t="s">
        <v>7649</v>
      </c>
      <c r="G379" s="3" t="s">
        <v>7619</v>
      </c>
    </row>
    <row r="380" spans="1:7">
      <c r="A380" s="2">
        <v>8</v>
      </c>
      <c r="B380" s="2" t="s">
        <v>81</v>
      </c>
      <c r="C380" s="2">
        <v>195</v>
      </c>
      <c r="D380" s="2" t="s">
        <v>734</v>
      </c>
      <c r="E380" s="2" t="s">
        <v>7630</v>
      </c>
      <c r="F380" s="2" t="s">
        <v>7649</v>
      </c>
      <c r="G380" s="2" t="s">
        <v>7619</v>
      </c>
    </row>
    <row r="381" spans="1:7">
      <c r="A381" s="3">
        <v>8</v>
      </c>
      <c r="B381" s="3" t="s">
        <v>81</v>
      </c>
      <c r="C381" s="3">
        <v>198</v>
      </c>
      <c r="D381" s="3" t="s">
        <v>698</v>
      </c>
      <c r="E381" s="3" t="s">
        <v>7620</v>
      </c>
      <c r="F381" s="3" t="s">
        <v>7649</v>
      </c>
      <c r="G381" s="3" t="s">
        <v>7633</v>
      </c>
    </row>
    <row r="382" spans="1:7">
      <c r="A382" s="2">
        <v>8</v>
      </c>
      <c r="B382" s="2" t="s">
        <v>81</v>
      </c>
      <c r="C382" s="2">
        <v>199</v>
      </c>
      <c r="D382" s="2" t="s">
        <v>702</v>
      </c>
      <c r="E382" s="2" t="s">
        <v>7630</v>
      </c>
      <c r="F382" s="2" t="s">
        <v>7649</v>
      </c>
      <c r="G382" s="2" t="s">
        <v>7619</v>
      </c>
    </row>
    <row r="383" spans="1:7">
      <c r="A383" s="3">
        <v>8</v>
      </c>
      <c r="B383" s="3" t="s">
        <v>81</v>
      </c>
      <c r="C383" s="3">
        <v>200</v>
      </c>
      <c r="D383" s="3" t="s">
        <v>707</v>
      </c>
      <c r="E383" s="3" t="s">
        <v>7620</v>
      </c>
      <c r="F383" s="3" t="s">
        <v>7649</v>
      </c>
      <c r="G383" s="3" t="s">
        <v>7622</v>
      </c>
    </row>
    <row r="384" spans="1:7">
      <c r="A384" s="2">
        <v>8</v>
      </c>
      <c r="B384" s="2" t="s">
        <v>81</v>
      </c>
      <c r="C384" s="2">
        <v>205</v>
      </c>
      <c r="D384" s="2" t="s">
        <v>746</v>
      </c>
      <c r="E384" s="2" t="s">
        <v>7620</v>
      </c>
      <c r="F384" s="2" t="s">
        <v>7611</v>
      </c>
      <c r="G384" s="2" t="s">
        <v>7621</v>
      </c>
    </row>
    <row r="385" spans="1:7">
      <c r="A385" s="3">
        <v>8</v>
      </c>
      <c r="B385" s="3" t="s">
        <v>81</v>
      </c>
      <c r="C385" s="3">
        <v>207</v>
      </c>
      <c r="D385" s="3" t="s">
        <v>749</v>
      </c>
      <c r="E385" s="3" t="s">
        <v>7630</v>
      </c>
      <c r="F385" s="3" t="s">
        <v>7611</v>
      </c>
      <c r="G385" s="3" t="s">
        <v>7617</v>
      </c>
    </row>
    <row r="386" spans="1:7">
      <c r="A386" s="2">
        <v>8</v>
      </c>
      <c r="B386" s="2" t="s">
        <v>81</v>
      </c>
      <c r="C386" s="2">
        <v>208</v>
      </c>
      <c r="D386" s="2" t="s">
        <v>754</v>
      </c>
      <c r="E386" s="2" t="s">
        <v>7620</v>
      </c>
      <c r="F386" s="2" t="s">
        <v>7611</v>
      </c>
      <c r="G386" s="2" t="s">
        <v>7621</v>
      </c>
    </row>
    <row r="387" spans="1:7">
      <c r="A387" s="3">
        <v>8</v>
      </c>
      <c r="B387" s="3" t="s">
        <v>81</v>
      </c>
      <c r="C387" s="3">
        <v>209</v>
      </c>
      <c r="D387" s="3" t="s">
        <v>758</v>
      </c>
      <c r="E387" s="3" t="s">
        <v>7630</v>
      </c>
      <c r="F387" s="3" t="s">
        <v>7650</v>
      </c>
      <c r="G387" s="3" t="s">
        <v>7617</v>
      </c>
    </row>
    <row r="388" spans="1:7">
      <c r="A388" s="2">
        <v>8</v>
      </c>
      <c r="B388" s="2" t="s">
        <v>81</v>
      </c>
      <c r="C388" s="2">
        <v>221</v>
      </c>
      <c r="D388" s="2" t="s">
        <v>813</v>
      </c>
      <c r="E388" s="2" t="s">
        <v>7610</v>
      </c>
      <c r="F388" s="2" t="s">
        <v>7649</v>
      </c>
      <c r="G388" s="2" t="s">
        <v>7641</v>
      </c>
    </row>
    <row r="389" spans="1:7">
      <c r="A389" s="3">
        <v>8</v>
      </c>
      <c r="B389" s="3" t="s">
        <v>81</v>
      </c>
      <c r="C389" s="3">
        <v>264</v>
      </c>
      <c r="D389" s="3" t="s">
        <v>775</v>
      </c>
      <c r="E389" s="3" t="s">
        <v>7630</v>
      </c>
      <c r="F389" s="3" t="s">
        <v>7649</v>
      </c>
      <c r="G389" s="3" t="s">
        <v>7619</v>
      </c>
    </row>
    <row r="390" spans="1:7">
      <c r="A390" s="2">
        <v>8</v>
      </c>
      <c r="B390" s="2" t="s">
        <v>81</v>
      </c>
      <c r="C390" s="2">
        <v>341</v>
      </c>
      <c r="D390" s="2" t="s">
        <v>1052</v>
      </c>
      <c r="E390" s="2" t="s">
        <v>7620</v>
      </c>
      <c r="F390" s="2" t="s">
        <v>7649</v>
      </c>
      <c r="G390" s="2" t="s">
        <v>7633</v>
      </c>
    </row>
    <row r="391" spans="1:7">
      <c r="A391" s="3">
        <v>8</v>
      </c>
      <c r="B391" s="3" t="s">
        <v>81</v>
      </c>
      <c r="C391" s="3">
        <v>343</v>
      </c>
      <c r="D391" s="3" t="s">
        <v>977</v>
      </c>
      <c r="E391" s="3" t="s">
        <v>7620</v>
      </c>
      <c r="F391" s="3" t="s">
        <v>7649</v>
      </c>
      <c r="G391" s="3" t="s">
        <v>7622</v>
      </c>
    </row>
    <row r="392" spans="1:7">
      <c r="A392" s="2">
        <v>9</v>
      </c>
      <c r="B392" s="2" t="s">
        <v>85</v>
      </c>
      <c r="C392" s="2">
        <v>34</v>
      </c>
      <c r="D392" s="2" t="s">
        <v>160</v>
      </c>
      <c r="E392" s="2" t="s">
        <v>7656</v>
      </c>
      <c r="F392" s="2" t="s">
        <v>7628</v>
      </c>
      <c r="G392" s="2" t="s">
        <v>7657</v>
      </c>
    </row>
    <row r="393" spans="1:7">
      <c r="A393" s="3">
        <v>9</v>
      </c>
      <c r="B393" s="3" t="s">
        <v>85</v>
      </c>
      <c r="C393" s="3">
        <v>35</v>
      </c>
      <c r="D393" s="3" t="s">
        <v>155</v>
      </c>
      <c r="E393" s="3" t="s">
        <v>7658</v>
      </c>
      <c r="F393" s="3" t="s">
        <v>7628</v>
      </c>
      <c r="G393" s="3" t="s">
        <v>7637</v>
      </c>
    </row>
    <row r="394" spans="1:7">
      <c r="A394" s="2">
        <v>9</v>
      </c>
      <c r="B394" s="2" t="s">
        <v>85</v>
      </c>
      <c r="C394" s="2">
        <v>56</v>
      </c>
      <c r="D394" s="2" t="s">
        <v>12</v>
      </c>
      <c r="E394" s="2" t="s">
        <v>7616</v>
      </c>
      <c r="F394" s="2" t="s">
        <v>7659</v>
      </c>
      <c r="G394" s="2" t="s">
        <v>7624</v>
      </c>
    </row>
    <row r="395" spans="1:7">
      <c r="A395" s="3">
        <v>9</v>
      </c>
      <c r="B395" s="3" t="s">
        <v>85</v>
      </c>
      <c r="C395" s="3">
        <v>97</v>
      </c>
      <c r="D395" s="3" t="s">
        <v>457</v>
      </c>
      <c r="E395" s="3" t="s">
        <v>7618</v>
      </c>
      <c r="F395" s="3" t="s">
        <v>7659</v>
      </c>
      <c r="G395" s="3" t="s">
        <v>7612</v>
      </c>
    </row>
    <row r="396" spans="1:7">
      <c r="A396" s="2">
        <v>9</v>
      </c>
      <c r="B396" s="2" t="s">
        <v>85</v>
      </c>
      <c r="C396" s="2">
        <v>101</v>
      </c>
      <c r="D396" s="2" t="s">
        <v>395</v>
      </c>
      <c r="E396" s="2" t="s">
        <v>7620</v>
      </c>
      <c r="F396" s="2" t="s">
        <v>7659</v>
      </c>
      <c r="G396" s="2" t="s">
        <v>7617</v>
      </c>
    </row>
    <row r="397" spans="1:7">
      <c r="A397" s="3">
        <v>9</v>
      </c>
      <c r="B397" s="3" t="s">
        <v>85</v>
      </c>
      <c r="C397" s="3">
        <v>103</v>
      </c>
      <c r="D397" s="3" t="s">
        <v>384</v>
      </c>
      <c r="E397" s="3" t="s">
        <v>7620</v>
      </c>
      <c r="F397" s="3" t="s">
        <v>7650</v>
      </c>
      <c r="G397" s="3" t="s">
        <v>7622</v>
      </c>
    </row>
    <row r="398" spans="1:7">
      <c r="A398" s="2">
        <v>9</v>
      </c>
      <c r="B398" s="2" t="s">
        <v>85</v>
      </c>
      <c r="C398" s="2">
        <v>189</v>
      </c>
      <c r="D398" s="2" t="s">
        <v>742</v>
      </c>
      <c r="E398" s="2" t="s">
        <v>7653</v>
      </c>
      <c r="F398" s="2" t="s">
        <v>7608</v>
      </c>
      <c r="G398" s="2" t="s">
        <v>7621</v>
      </c>
    </row>
    <row r="399" spans="1:7">
      <c r="A399" s="3">
        <v>9</v>
      </c>
      <c r="B399" s="3" t="s">
        <v>85</v>
      </c>
      <c r="C399" s="3">
        <v>191</v>
      </c>
      <c r="D399" s="3" t="s">
        <v>719</v>
      </c>
      <c r="E399" s="3" t="s">
        <v>7618</v>
      </c>
      <c r="F399" s="3" t="s">
        <v>7659</v>
      </c>
      <c r="G399" s="3" t="s">
        <v>7624</v>
      </c>
    </row>
    <row r="400" spans="1:7">
      <c r="A400" s="2">
        <v>9</v>
      </c>
      <c r="B400" s="2" t="s">
        <v>85</v>
      </c>
      <c r="C400" s="2">
        <v>195</v>
      </c>
      <c r="D400" s="2" t="s">
        <v>734</v>
      </c>
      <c r="E400" s="2" t="s">
        <v>7618</v>
      </c>
      <c r="F400" s="2" t="s">
        <v>7659</v>
      </c>
      <c r="G400" s="2" t="s">
        <v>7612</v>
      </c>
    </row>
    <row r="401" spans="1:7">
      <c r="A401" s="3">
        <v>9</v>
      </c>
      <c r="B401" s="3" t="s">
        <v>85</v>
      </c>
      <c r="C401" s="3">
        <v>198</v>
      </c>
      <c r="D401" s="3" t="s">
        <v>698</v>
      </c>
      <c r="E401" s="3" t="s">
        <v>7620</v>
      </c>
      <c r="F401" s="3" t="s">
        <v>7659</v>
      </c>
      <c r="G401" s="3" t="s">
        <v>7634</v>
      </c>
    </row>
    <row r="402" spans="1:7">
      <c r="A402" s="2">
        <v>9</v>
      </c>
      <c r="B402" s="2" t="s">
        <v>85</v>
      </c>
      <c r="C402" s="2">
        <v>199</v>
      </c>
      <c r="D402" s="2" t="s">
        <v>702</v>
      </c>
      <c r="E402" s="2" t="s">
        <v>7660</v>
      </c>
      <c r="F402" s="2" t="s">
        <v>7659</v>
      </c>
      <c r="G402" s="2" t="s">
        <v>7626</v>
      </c>
    </row>
    <row r="403" spans="1:7">
      <c r="A403" s="3">
        <v>9</v>
      </c>
      <c r="B403" s="3" t="s">
        <v>85</v>
      </c>
      <c r="C403" s="3">
        <v>200</v>
      </c>
      <c r="D403" s="3" t="s">
        <v>707</v>
      </c>
      <c r="E403" s="3" t="s">
        <v>7654</v>
      </c>
      <c r="F403" s="3" t="s">
        <v>7659</v>
      </c>
      <c r="G403" s="3" t="s">
        <v>7644</v>
      </c>
    </row>
    <row r="404" spans="1:7">
      <c r="A404" s="2">
        <v>9</v>
      </c>
      <c r="B404" s="2" t="s">
        <v>85</v>
      </c>
      <c r="C404" s="2">
        <v>201</v>
      </c>
      <c r="D404" s="2" t="s">
        <v>695</v>
      </c>
      <c r="E404" s="2" t="s">
        <v>7608</v>
      </c>
      <c r="F404" s="2" t="s">
        <v>7659</v>
      </c>
      <c r="G404" s="2" t="s">
        <v>7625</v>
      </c>
    </row>
    <row r="405" spans="1:7">
      <c r="A405" s="3">
        <v>9</v>
      </c>
      <c r="B405" s="3" t="s">
        <v>85</v>
      </c>
      <c r="C405" s="3">
        <v>202</v>
      </c>
      <c r="D405" s="3" t="s">
        <v>712</v>
      </c>
      <c r="E405" s="3" t="s">
        <v>7608</v>
      </c>
      <c r="F405" s="3" t="s">
        <v>7661</v>
      </c>
      <c r="G405" s="3" t="s">
        <v>7625</v>
      </c>
    </row>
    <row r="406" spans="1:7">
      <c r="A406" s="2">
        <v>9</v>
      </c>
      <c r="B406" s="2" t="s">
        <v>85</v>
      </c>
      <c r="C406" s="2">
        <v>204</v>
      </c>
      <c r="D406" s="2" t="s">
        <v>685</v>
      </c>
      <c r="E406" s="2" t="s">
        <v>7608</v>
      </c>
      <c r="F406" s="2" t="s">
        <v>7659</v>
      </c>
      <c r="G406" s="2" t="s">
        <v>7625</v>
      </c>
    </row>
    <row r="407" spans="1:7">
      <c r="A407" s="3">
        <v>9</v>
      </c>
      <c r="B407" s="3" t="s">
        <v>85</v>
      </c>
      <c r="C407" s="3">
        <v>205</v>
      </c>
      <c r="D407" s="3" t="s">
        <v>746</v>
      </c>
      <c r="E407" s="3" t="s">
        <v>7620</v>
      </c>
      <c r="F407" s="3" t="s">
        <v>7628</v>
      </c>
      <c r="G407" s="3" t="s">
        <v>7609</v>
      </c>
    </row>
    <row r="408" spans="1:7">
      <c r="A408" s="2">
        <v>9</v>
      </c>
      <c r="B408" s="2" t="s">
        <v>85</v>
      </c>
      <c r="C408" s="2">
        <v>207</v>
      </c>
      <c r="D408" s="2" t="s">
        <v>749</v>
      </c>
      <c r="E408" s="2" t="s">
        <v>7623</v>
      </c>
      <c r="F408" s="2" t="s">
        <v>7611</v>
      </c>
      <c r="G408" s="2" t="s">
        <v>7624</v>
      </c>
    </row>
    <row r="409" spans="1:7">
      <c r="A409" s="3">
        <v>9</v>
      </c>
      <c r="B409" s="3" t="s">
        <v>85</v>
      </c>
      <c r="C409" s="3">
        <v>208</v>
      </c>
      <c r="D409" s="3" t="s">
        <v>754</v>
      </c>
      <c r="E409" s="3" t="s">
        <v>7620</v>
      </c>
      <c r="F409" s="3" t="s">
        <v>7628</v>
      </c>
      <c r="G409" s="3" t="s">
        <v>7617</v>
      </c>
    </row>
    <row r="410" spans="1:7">
      <c r="A410" s="2">
        <v>9</v>
      </c>
      <c r="B410" s="2" t="s">
        <v>85</v>
      </c>
      <c r="C410" s="2">
        <v>209</v>
      </c>
      <c r="D410" s="2" t="s">
        <v>758</v>
      </c>
      <c r="E410" s="2" t="s">
        <v>7618</v>
      </c>
      <c r="F410" s="2" t="s">
        <v>7652</v>
      </c>
      <c r="G410" s="2" t="s">
        <v>7639</v>
      </c>
    </row>
    <row r="411" spans="1:7">
      <c r="A411" s="3">
        <v>9</v>
      </c>
      <c r="B411" s="3" t="s">
        <v>85</v>
      </c>
      <c r="C411" s="3">
        <v>221</v>
      </c>
      <c r="D411" s="3" t="s">
        <v>813</v>
      </c>
      <c r="E411" s="3" t="s">
        <v>7658</v>
      </c>
      <c r="F411" s="3" t="s">
        <v>7649</v>
      </c>
      <c r="G411" s="3" t="s">
        <v>7642</v>
      </c>
    </row>
    <row r="412" spans="1:7">
      <c r="A412" s="2">
        <v>9</v>
      </c>
      <c r="B412" s="2" t="s">
        <v>85</v>
      </c>
      <c r="C412" s="2">
        <v>264</v>
      </c>
      <c r="D412" s="2" t="s">
        <v>775</v>
      </c>
      <c r="E412" s="2" t="s">
        <v>7618</v>
      </c>
      <c r="F412" s="2" t="s">
        <v>7659</v>
      </c>
      <c r="G412" s="2" t="s">
        <v>7639</v>
      </c>
    </row>
    <row r="413" spans="1:7">
      <c r="A413" s="3">
        <v>9</v>
      </c>
      <c r="B413" s="3" t="s">
        <v>85</v>
      </c>
      <c r="C413" s="3">
        <v>312</v>
      </c>
      <c r="D413" s="3" t="s">
        <v>949</v>
      </c>
      <c r="E413" s="3" t="s">
        <v>7608</v>
      </c>
      <c r="F413" s="3" t="s">
        <v>7659</v>
      </c>
      <c r="G413" s="3" t="s">
        <v>7625</v>
      </c>
    </row>
    <row r="414" spans="1:7">
      <c r="A414" s="2">
        <v>9</v>
      </c>
      <c r="B414" s="2" t="s">
        <v>85</v>
      </c>
      <c r="C414" s="2">
        <v>341</v>
      </c>
      <c r="D414" s="2" t="s">
        <v>1052</v>
      </c>
      <c r="E414" s="2" t="s">
        <v>7620</v>
      </c>
      <c r="F414" s="2" t="s">
        <v>7649</v>
      </c>
      <c r="G414" s="2" t="s">
        <v>7609</v>
      </c>
    </row>
    <row r="415" spans="1:7">
      <c r="A415" s="3">
        <v>9</v>
      </c>
      <c r="B415" s="3" t="s">
        <v>85</v>
      </c>
      <c r="C415" s="3">
        <v>343</v>
      </c>
      <c r="D415" s="3" t="s">
        <v>977</v>
      </c>
      <c r="E415" s="3" t="s">
        <v>7620</v>
      </c>
      <c r="F415" s="3" t="s">
        <v>7662</v>
      </c>
      <c r="G415" s="3" t="s">
        <v>7636</v>
      </c>
    </row>
    <row r="416" spans="1:7">
      <c r="A416" s="2">
        <v>10</v>
      </c>
      <c r="B416" s="2" t="s">
        <v>104</v>
      </c>
      <c r="C416" s="2">
        <v>34</v>
      </c>
      <c r="D416" s="2" t="s">
        <v>160</v>
      </c>
      <c r="E416" s="2" t="s">
        <v>7613</v>
      </c>
      <c r="F416" s="2" t="s">
        <v>7611</v>
      </c>
      <c r="G416" s="2" t="s">
        <v>7615</v>
      </c>
    </row>
    <row r="417" spans="1:7">
      <c r="A417" s="3">
        <v>10</v>
      </c>
      <c r="B417" s="3" t="s">
        <v>104</v>
      </c>
      <c r="C417" s="3">
        <v>35</v>
      </c>
      <c r="D417" s="3" t="s">
        <v>155</v>
      </c>
      <c r="E417" s="3" t="s">
        <v>7663</v>
      </c>
      <c r="F417" s="3" t="s">
        <v>7611</v>
      </c>
      <c r="G417" s="3" t="s">
        <v>7664</v>
      </c>
    </row>
    <row r="418" spans="1:7">
      <c r="A418" s="2">
        <v>10</v>
      </c>
      <c r="B418" s="2" t="s">
        <v>104</v>
      </c>
      <c r="C418" s="2">
        <v>56</v>
      </c>
      <c r="D418" s="2" t="s">
        <v>12</v>
      </c>
      <c r="E418" s="2" t="s">
        <v>7616</v>
      </c>
      <c r="F418" s="2" t="s">
        <v>7611</v>
      </c>
      <c r="G418" s="2" t="s">
        <v>7617</v>
      </c>
    </row>
    <row r="419" spans="1:7">
      <c r="A419" s="3">
        <v>10</v>
      </c>
      <c r="B419" s="3" t="s">
        <v>104</v>
      </c>
      <c r="C419" s="3">
        <v>97</v>
      </c>
      <c r="D419" s="3" t="s">
        <v>457</v>
      </c>
      <c r="E419" s="3" t="s">
        <v>7618</v>
      </c>
      <c r="F419" s="3" t="s">
        <v>7611</v>
      </c>
      <c r="G419" s="3" t="s">
        <v>7636</v>
      </c>
    </row>
    <row r="420" spans="1:7">
      <c r="A420" s="2">
        <v>10</v>
      </c>
      <c r="B420" s="2" t="s">
        <v>104</v>
      </c>
      <c r="C420" s="2">
        <v>101</v>
      </c>
      <c r="D420" s="2" t="s">
        <v>395</v>
      </c>
      <c r="E420" s="2" t="s">
        <v>7620</v>
      </c>
      <c r="F420" s="2" t="s">
        <v>7611</v>
      </c>
      <c r="G420" s="2" t="s">
        <v>7621</v>
      </c>
    </row>
    <row r="421" spans="1:7">
      <c r="A421" s="3">
        <v>10</v>
      </c>
      <c r="B421" s="3" t="s">
        <v>104</v>
      </c>
      <c r="C421" s="3">
        <v>191</v>
      </c>
      <c r="D421" s="3" t="s">
        <v>719</v>
      </c>
      <c r="E421" s="3" t="s">
        <v>7618</v>
      </c>
      <c r="F421" s="3" t="s">
        <v>7611</v>
      </c>
      <c r="G421" s="3" t="s">
        <v>7636</v>
      </c>
    </row>
    <row r="422" spans="1:7">
      <c r="A422" s="2">
        <v>10</v>
      </c>
      <c r="B422" s="2" t="s">
        <v>104</v>
      </c>
      <c r="C422" s="2">
        <v>195</v>
      </c>
      <c r="D422" s="2" t="s">
        <v>734</v>
      </c>
      <c r="E422" s="2" t="s">
        <v>7618</v>
      </c>
      <c r="F422" s="2" t="s">
        <v>7611</v>
      </c>
      <c r="G422" s="2" t="s">
        <v>7636</v>
      </c>
    </row>
    <row r="423" spans="1:7">
      <c r="A423" s="3">
        <v>10</v>
      </c>
      <c r="B423" s="3" t="s">
        <v>104</v>
      </c>
      <c r="C423" s="3">
        <v>198</v>
      </c>
      <c r="D423" s="3" t="s">
        <v>698</v>
      </c>
      <c r="E423" s="3" t="s">
        <v>7620</v>
      </c>
      <c r="F423" s="3" t="s">
        <v>7611</v>
      </c>
      <c r="G423" s="3" t="s">
        <v>7622</v>
      </c>
    </row>
    <row r="424" spans="1:7">
      <c r="A424" s="2">
        <v>10</v>
      </c>
      <c r="B424" s="2" t="s">
        <v>104</v>
      </c>
      <c r="C424" s="2">
        <v>199</v>
      </c>
      <c r="D424" s="2" t="s">
        <v>702</v>
      </c>
      <c r="E424" s="2" t="s">
        <v>7618</v>
      </c>
      <c r="F424" s="2" t="s">
        <v>7611</v>
      </c>
      <c r="G424" s="2" t="s">
        <v>7617</v>
      </c>
    </row>
    <row r="425" spans="1:7">
      <c r="A425" s="3">
        <v>10</v>
      </c>
      <c r="B425" s="3" t="s">
        <v>104</v>
      </c>
      <c r="C425" s="3">
        <v>200</v>
      </c>
      <c r="D425" s="3" t="s">
        <v>707</v>
      </c>
      <c r="E425" s="3" t="s">
        <v>7620</v>
      </c>
      <c r="F425" s="3" t="s">
        <v>7611</v>
      </c>
      <c r="G425" s="3" t="s">
        <v>7621</v>
      </c>
    </row>
    <row r="426" spans="1:7">
      <c r="A426" s="2">
        <v>10</v>
      </c>
      <c r="B426" s="2" t="s">
        <v>104</v>
      </c>
      <c r="C426" s="2">
        <v>205</v>
      </c>
      <c r="D426" s="2" t="s">
        <v>746</v>
      </c>
      <c r="E426" s="2" t="s">
        <v>7620</v>
      </c>
      <c r="F426" s="2" t="s">
        <v>7611</v>
      </c>
      <c r="G426" s="2" t="s">
        <v>7622</v>
      </c>
    </row>
    <row r="427" spans="1:7">
      <c r="A427" s="3">
        <v>10</v>
      </c>
      <c r="B427" s="3" t="s">
        <v>104</v>
      </c>
      <c r="C427" s="3">
        <v>207</v>
      </c>
      <c r="D427" s="3" t="s">
        <v>749</v>
      </c>
      <c r="E427" s="3" t="s">
        <v>7623</v>
      </c>
      <c r="F427" s="3" t="s">
        <v>7611</v>
      </c>
      <c r="G427" s="3" t="s">
        <v>7632</v>
      </c>
    </row>
    <row r="428" spans="1:7">
      <c r="A428" s="2">
        <v>10</v>
      </c>
      <c r="B428" s="2" t="s">
        <v>104</v>
      </c>
      <c r="C428" s="2">
        <v>208</v>
      </c>
      <c r="D428" s="2" t="s">
        <v>754</v>
      </c>
      <c r="E428" s="2" t="s">
        <v>7620</v>
      </c>
      <c r="F428" s="2" t="s">
        <v>7611</v>
      </c>
      <c r="G428" s="2" t="s">
        <v>7622</v>
      </c>
    </row>
    <row r="429" spans="1:7">
      <c r="A429" s="3">
        <v>10</v>
      </c>
      <c r="B429" s="3" t="s">
        <v>104</v>
      </c>
      <c r="C429" s="3">
        <v>209</v>
      </c>
      <c r="D429" s="3" t="s">
        <v>758</v>
      </c>
      <c r="E429" s="3" t="s">
        <v>7618</v>
      </c>
      <c r="F429" s="3" t="s">
        <v>7608</v>
      </c>
      <c r="G429" s="3" t="s">
        <v>7609</v>
      </c>
    </row>
    <row r="430" spans="1:7">
      <c r="A430" s="2">
        <v>10</v>
      </c>
      <c r="B430" s="2" t="s">
        <v>104</v>
      </c>
      <c r="C430" s="2">
        <v>221</v>
      </c>
      <c r="D430" s="2" t="s">
        <v>813</v>
      </c>
      <c r="E430" s="2" t="s">
        <v>7613</v>
      </c>
      <c r="F430" s="2" t="s">
        <v>7611</v>
      </c>
      <c r="G430" s="2" t="s">
        <v>7614</v>
      </c>
    </row>
    <row r="431" spans="1:7">
      <c r="A431" s="3">
        <v>10</v>
      </c>
      <c r="B431" s="3" t="s">
        <v>104</v>
      </c>
      <c r="C431" s="3">
        <v>264</v>
      </c>
      <c r="D431" s="3" t="s">
        <v>775</v>
      </c>
      <c r="E431" s="3" t="s">
        <v>7618</v>
      </c>
      <c r="F431" s="3" t="s">
        <v>7611</v>
      </c>
      <c r="G431" s="3" t="s">
        <v>7617</v>
      </c>
    </row>
    <row r="432" spans="1:7">
      <c r="A432" s="2">
        <v>10</v>
      </c>
      <c r="B432" s="2" t="s">
        <v>104</v>
      </c>
      <c r="C432" s="2">
        <v>341</v>
      </c>
      <c r="D432" s="2" t="s">
        <v>1052</v>
      </c>
      <c r="E432" s="2" t="s">
        <v>7620</v>
      </c>
      <c r="F432" s="2" t="s">
        <v>7611</v>
      </c>
      <c r="G432" s="2" t="s">
        <v>7633</v>
      </c>
    </row>
    <row r="433" spans="1:7">
      <c r="A433" s="3">
        <v>10</v>
      </c>
      <c r="B433" s="3" t="s">
        <v>104</v>
      </c>
      <c r="C433" s="3">
        <v>343</v>
      </c>
      <c r="D433" s="3" t="s">
        <v>977</v>
      </c>
      <c r="E433" s="3" t="s">
        <v>7620</v>
      </c>
      <c r="F433" s="3" t="s">
        <v>7611</v>
      </c>
      <c r="G433" s="3" t="s">
        <v>7625</v>
      </c>
    </row>
    <row r="434" spans="1:7">
      <c r="A434" s="2">
        <v>11</v>
      </c>
      <c r="B434" s="2" t="s">
        <v>44</v>
      </c>
      <c r="C434" s="2">
        <v>34</v>
      </c>
      <c r="D434" s="2" t="s">
        <v>160</v>
      </c>
      <c r="E434" s="2" t="s">
        <v>7658</v>
      </c>
      <c r="F434" s="2" t="s">
        <v>7611</v>
      </c>
      <c r="G434" s="2" t="s">
        <v>7642</v>
      </c>
    </row>
    <row r="435" spans="1:7">
      <c r="A435" s="3">
        <v>11</v>
      </c>
      <c r="B435" s="3" t="s">
        <v>44</v>
      </c>
      <c r="C435" s="3">
        <v>35</v>
      </c>
      <c r="D435" s="3" t="s">
        <v>155</v>
      </c>
      <c r="E435" s="3" t="s">
        <v>7665</v>
      </c>
      <c r="F435" s="3" t="s">
        <v>7611</v>
      </c>
      <c r="G435" s="3" t="s">
        <v>7666</v>
      </c>
    </row>
    <row r="436" spans="1:7">
      <c r="A436" s="2">
        <v>11</v>
      </c>
      <c r="B436" s="2" t="s">
        <v>44</v>
      </c>
      <c r="C436" s="2">
        <v>56</v>
      </c>
      <c r="D436" s="2" t="s">
        <v>12</v>
      </c>
      <c r="E436" s="2" t="s">
        <v>7616</v>
      </c>
      <c r="F436" s="2" t="s">
        <v>7611</v>
      </c>
      <c r="G436" s="2" t="s">
        <v>7636</v>
      </c>
    </row>
    <row r="437" spans="1:7">
      <c r="A437" s="3">
        <v>11</v>
      </c>
      <c r="B437" s="3" t="s">
        <v>44</v>
      </c>
      <c r="C437" s="3">
        <v>97</v>
      </c>
      <c r="D437" s="3" t="s">
        <v>457</v>
      </c>
      <c r="E437" s="3" t="s">
        <v>7618</v>
      </c>
      <c r="F437" s="3" t="s">
        <v>7611</v>
      </c>
      <c r="G437" s="3" t="s">
        <v>7644</v>
      </c>
    </row>
    <row r="438" spans="1:7">
      <c r="A438" s="2">
        <v>11</v>
      </c>
      <c r="B438" s="2" t="s">
        <v>44</v>
      </c>
      <c r="C438" s="2">
        <v>101</v>
      </c>
      <c r="D438" s="2" t="s">
        <v>395</v>
      </c>
      <c r="E438" s="2" t="s">
        <v>7620</v>
      </c>
      <c r="F438" s="2" t="s">
        <v>7611</v>
      </c>
      <c r="G438" s="2" t="s">
        <v>7621</v>
      </c>
    </row>
    <row r="439" spans="1:7">
      <c r="A439" s="3">
        <v>11</v>
      </c>
      <c r="B439" s="3" t="s">
        <v>44</v>
      </c>
      <c r="C439" s="3">
        <v>103</v>
      </c>
      <c r="D439" s="3" t="s">
        <v>384</v>
      </c>
      <c r="E439" s="3" t="s">
        <v>7620</v>
      </c>
      <c r="F439" s="3" t="s">
        <v>7608</v>
      </c>
      <c r="G439" s="3" t="s">
        <v>7625</v>
      </c>
    </row>
    <row r="440" spans="1:7">
      <c r="A440" s="2">
        <v>11</v>
      </c>
      <c r="B440" s="2" t="s">
        <v>44</v>
      </c>
      <c r="C440" s="2">
        <v>191</v>
      </c>
      <c r="D440" s="2" t="s">
        <v>719</v>
      </c>
      <c r="E440" s="2" t="s">
        <v>7618</v>
      </c>
      <c r="F440" s="2" t="s">
        <v>7611</v>
      </c>
      <c r="G440" s="2" t="s">
        <v>7634</v>
      </c>
    </row>
    <row r="441" spans="1:7">
      <c r="A441" s="3">
        <v>11</v>
      </c>
      <c r="B441" s="3" t="s">
        <v>44</v>
      </c>
      <c r="C441" s="3">
        <v>195</v>
      </c>
      <c r="D441" s="3" t="s">
        <v>734</v>
      </c>
      <c r="E441" s="3" t="s">
        <v>7618</v>
      </c>
      <c r="F441" s="3" t="s">
        <v>7611</v>
      </c>
      <c r="G441" s="3" t="s">
        <v>7644</v>
      </c>
    </row>
    <row r="442" spans="1:7">
      <c r="A442" s="2">
        <v>11</v>
      </c>
      <c r="B442" s="2" t="s">
        <v>44</v>
      </c>
      <c r="C442" s="2">
        <v>198</v>
      </c>
      <c r="D442" s="2" t="s">
        <v>698</v>
      </c>
      <c r="E442" s="2" t="s">
        <v>7620</v>
      </c>
      <c r="F442" s="2" t="s">
        <v>7611</v>
      </c>
      <c r="G442" s="2" t="s">
        <v>7617</v>
      </c>
    </row>
    <row r="443" spans="1:7">
      <c r="A443" s="3">
        <v>11</v>
      </c>
      <c r="B443" s="3" t="s">
        <v>44</v>
      </c>
      <c r="C443" s="3">
        <v>199</v>
      </c>
      <c r="D443" s="3" t="s">
        <v>702</v>
      </c>
      <c r="E443" s="3" t="s">
        <v>7618</v>
      </c>
      <c r="F443" s="3" t="s">
        <v>7611</v>
      </c>
      <c r="G443" s="3" t="s">
        <v>7639</v>
      </c>
    </row>
    <row r="444" spans="1:7">
      <c r="A444" s="2">
        <v>11</v>
      </c>
      <c r="B444" s="2" t="s">
        <v>44</v>
      </c>
      <c r="C444" s="2">
        <v>200</v>
      </c>
      <c r="D444" s="2" t="s">
        <v>707</v>
      </c>
      <c r="E444" s="2" t="s">
        <v>7620</v>
      </c>
      <c r="F444" s="2" t="s">
        <v>7611</v>
      </c>
      <c r="G444" s="2" t="s">
        <v>7609</v>
      </c>
    </row>
    <row r="445" spans="1:7">
      <c r="A445" s="3">
        <v>11</v>
      </c>
      <c r="B445" s="3" t="s">
        <v>44</v>
      </c>
      <c r="C445" s="3">
        <v>205</v>
      </c>
      <c r="D445" s="3" t="s">
        <v>746</v>
      </c>
      <c r="E445" s="3" t="s">
        <v>7620</v>
      </c>
      <c r="F445" s="3" t="s">
        <v>7611</v>
      </c>
      <c r="G445" s="3" t="s">
        <v>7622</v>
      </c>
    </row>
    <row r="446" spans="1:7">
      <c r="A446" s="2">
        <v>11</v>
      </c>
      <c r="B446" s="2" t="s">
        <v>44</v>
      </c>
      <c r="C446" s="2">
        <v>207</v>
      </c>
      <c r="D446" s="2" t="s">
        <v>749</v>
      </c>
      <c r="E446" s="2" t="s">
        <v>7623</v>
      </c>
      <c r="F446" s="2" t="s">
        <v>7611</v>
      </c>
      <c r="G446" s="2" t="s">
        <v>7624</v>
      </c>
    </row>
    <row r="447" spans="1:7">
      <c r="A447" s="3">
        <v>11</v>
      </c>
      <c r="B447" s="3" t="s">
        <v>44</v>
      </c>
      <c r="C447" s="3">
        <v>208</v>
      </c>
      <c r="D447" s="3" t="s">
        <v>754</v>
      </c>
      <c r="E447" s="3" t="s">
        <v>7620</v>
      </c>
      <c r="F447" s="3" t="s">
        <v>7611</v>
      </c>
      <c r="G447" s="3" t="s">
        <v>7609</v>
      </c>
    </row>
    <row r="448" spans="1:7">
      <c r="A448" s="2">
        <v>11</v>
      </c>
      <c r="B448" s="2" t="s">
        <v>44</v>
      </c>
      <c r="C448" s="2">
        <v>209</v>
      </c>
      <c r="D448" s="2" t="s">
        <v>758</v>
      </c>
      <c r="E448" s="2" t="s">
        <v>7618</v>
      </c>
      <c r="F448" s="2" t="s">
        <v>7608</v>
      </c>
      <c r="G448" s="2" t="s">
        <v>7619</v>
      </c>
    </row>
    <row r="449" spans="1:7">
      <c r="A449" s="3">
        <v>11</v>
      </c>
      <c r="B449" s="3" t="s">
        <v>44</v>
      </c>
      <c r="C449" s="3">
        <v>221</v>
      </c>
      <c r="D449" s="3" t="s">
        <v>813</v>
      </c>
      <c r="E449" s="3" t="s">
        <v>7658</v>
      </c>
      <c r="F449" s="3" t="s">
        <v>7611</v>
      </c>
      <c r="G449" s="3" t="s">
        <v>7642</v>
      </c>
    </row>
    <row r="450" spans="1:7">
      <c r="A450" s="2">
        <v>11</v>
      </c>
      <c r="B450" s="2" t="s">
        <v>44</v>
      </c>
      <c r="C450" s="2">
        <v>264</v>
      </c>
      <c r="D450" s="2" t="s">
        <v>775</v>
      </c>
      <c r="E450" s="2" t="s">
        <v>7618</v>
      </c>
      <c r="F450" s="2" t="s">
        <v>7611</v>
      </c>
      <c r="G450" s="2" t="s">
        <v>7617</v>
      </c>
    </row>
    <row r="451" spans="1:7">
      <c r="A451" s="3">
        <v>11</v>
      </c>
      <c r="B451" s="3" t="s">
        <v>44</v>
      </c>
      <c r="C451" s="3">
        <v>341</v>
      </c>
      <c r="D451" s="3" t="s">
        <v>1052</v>
      </c>
      <c r="E451" s="3" t="s">
        <v>7620</v>
      </c>
      <c r="F451" s="3" t="s">
        <v>7611</v>
      </c>
      <c r="G451" s="3" t="s">
        <v>7622</v>
      </c>
    </row>
    <row r="452" spans="1:7">
      <c r="A452" s="2">
        <v>11</v>
      </c>
      <c r="B452" s="2" t="s">
        <v>44</v>
      </c>
      <c r="C452" s="2">
        <v>343</v>
      </c>
      <c r="D452" s="2" t="s">
        <v>977</v>
      </c>
      <c r="E452" s="2" t="s">
        <v>7620</v>
      </c>
      <c r="F452" s="2" t="s">
        <v>7611</v>
      </c>
      <c r="G452" s="2" t="s">
        <v>7622</v>
      </c>
    </row>
    <row r="453" spans="1:7">
      <c r="A453" s="3">
        <v>12</v>
      </c>
      <c r="B453" s="3" t="s">
        <v>48</v>
      </c>
      <c r="C453" s="3">
        <v>34</v>
      </c>
      <c r="D453" s="3" t="s">
        <v>160</v>
      </c>
      <c r="E453" s="3" t="s">
        <v>7656</v>
      </c>
      <c r="F453" s="3" t="s">
        <v>7628</v>
      </c>
      <c r="G453" s="3" t="s">
        <v>7614</v>
      </c>
    </row>
    <row r="454" spans="1:7">
      <c r="A454" s="2">
        <v>12</v>
      </c>
      <c r="B454" s="2" t="s">
        <v>48</v>
      </c>
      <c r="C454" s="2">
        <v>35</v>
      </c>
      <c r="D454" s="2" t="s">
        <v>155</v>
      </c>
      <c r="E454" s="2" t="s">
        <v>7658</v>
      </c>
      <c r="F454" s="2" t="s">
        <v>7628</v>
      </c>
      <c r="G454" s="2" t="s">
        <v>7642</v>
      </c>
    </row>
    <row r="455" spans="1:7">
      <c r="A455" s="3">
        <v>12</v>
      </c>
      <c r="B455" s="3" t="s">
        <v>48</v>
      </c>
      <c r="C455" s="3">
        <v>56</v>
      </c>
      <c r="D455" s="3" t="s">
        <v>12</v>
      </c>
      <c r="E455" s="3" t="s">
        <v>7616</v>
      </c>
      <c r="F455" s="3" t="s">
        <v>7628</v>
      </c>
      <c r="G455" s="3" t="s">
        <v>7619</v>
      </c>
    </row>
    <row r="456" spans="1:7">
      <c r="A456" s="2">
        <v>12</v>
      </c>
      <c r="B456" s="2" t="s">
        <v>48</v>
      </c>
      <c r="C456" s="2">
        <v>97</v>
      </c>
      <c r="D456" s="2" t="s">
        <v>457</v>
      </c>
      <c r="E456" s="2" t="s">
        <v>7618</v>
      </c>
      <c r="F456" s="2" t="s">
        <v>7628</v>
      </c>
      <c r="G456" s="2" t="s">
        <v>7619</v>
      </c>
    </row>
    <row r="457" spans="1:7">
      <c r="A457" s="3">
        <v>12</v>
      </c>
      <c r="B457" s="3" t="s">
        <v>48</v>
      </c>
      <c r="C457" s="3">
        <v>101</v>
      </c>
      <c r="D457" s="3" t="s">
        <v>395</v>
      </c>
      <c r="E457" s="3" t="s">
        <v>7620</v>
      </c>
      <c r="F457" s="3" t="s">
        <v>7628</v>
      </c>
      <c r="G457" s="3" t="s">
        <v>7633</v>
      </c>
    </row>
    <row r="458" spans="1:7">
      <c r="A458" s="2">
        <v>12</v>
      </c>
      <c r="B458" s="2" t="s">
        <v>48</v>
      </c>
      <c r="C458" s="2">
        <v>191</v>
      </c>
      <c r="D458" s="2" t="s">
        <v>719</v>
      </c>
      <c r="E458" s="2" t="s">
        <v>7618</v>
      </c>
      <c r="F458" s="2" t="s">
        <v>7628</v>
      </c>
      <c r="G458" s="2" t="s">
        <v>7634</v>
      </c>
    </row>
    <row r="459" spans="1:7">
      <c r="A459" s="3">
        <v>12</v>
      </c>
      <c r="B459" s="3" t="s">
        <v>48</v>
      </c>
      <c r="C459" s="3">
        <v>195</v>
      </c>
      <c r="D459" s="3" t="s">
        <v>734</v>
      </c>
      <c r="E459" s="3" t="s">
        <v>7618</v>
      </c>
      <c r="F459" s="3" t="s">
        <v>7628</v>
      </c>
      <c r="G459" s="3" t="s">
        <v>7624</v>
      </c>
    </row>
    <row r="460" spans="1:7">
      <c r="A460" s="2">
        <v>12</v>
      </c>
      <c r="B460" s="2" t="s">
        <v>48</v>
      </c>
      <c r="C460" s="2">
        <v>198</v>
      </c>
      <c r="D460" s="2" t="s">
        <v>698</v>
      </c>
      <c r="E460" s="2" t="s">
        <v>7620</v>
      </c>
      <c r="F460" s="2" t="s">
        <v>7628</v>
      </c>
      <c r="G460" s="2" t="s">
        <v>7609</v>
      </c>
    </row>
    <row r="461" spans="1:7">
      <c r="A461" s="3">
        <v>12</v>
      </c>
      <c r="B461" s="3" t="s">
        <v>48</v>
      </c>
      <c r="C461" s="3">
        <v>199</v>
      </c>
      <c r="D461" s="3" t="s">
        <v>702</v>
      </c>
      <c r="E461" s="3" t="s">
        <v>7618</v>
      </c>
      <c r="F461" s="3" t="s">
        <v>7628</v>
      </c>
      <c r="G461" s="3" t="s">
        <v>7634</v>
      </c>
    </row>
    <row r="462" spans="1:7">
      <c r="A462" s="2">
        <v>12</v>
      </c>
      <c r="B462" s="2" t="s">
        <v>48</v>
      </c>
      <c r="C462" s="2">
        <v>200</v>
      </c>
      <c r="D462" s="2" t="s">
        <v>707</v>
      </c>
      <c r="E462" s="2" t="s">
        <v>7620</v>
      </c>
      <c r="F462" s="2" t="s">
        <v>7628</v>
      </c>
      <c r="G462" s="2" t="s">
        <v>7633</v>
      </c>
    </row>
    <row r="463" spans="1:7">
      <c r="A463" s="3">
        <v>12</v>
      </c>
      <c r="B463" s="3" t="s">
        <v>48</v>
      </c>
      <c r="C463" s="3">
        <v>205</v>
      </c>
      <c r="D463" s="3" t="s">
        <v>746</v>
      </c>
      <c r="E463" s="3" t="s">
        <v>7620</v>
      </c>
      <c r="F463" s="3" t="s">
        <v>7628</v>
      </c>
      <c r="G463" s="3" t="s">
        <v>7609</v>
      </c>
    </row>
    <row r="464" spans="1:7">
      <c r="A464" s="2">
        <v>12</v>
      </c>
      <c r="B464" s="2" t="s">
        <v>48</v>
      </c>
      <c r="C464" s="2">
        <v>207</v>
      </c>
      <c r="D464" s="2" t="s">
        <v>749</v>
      </c>
      <c r="E464" s="2" t="s">
        <v>7623</v>
      </c>
      <c r="F464" s="2" t="s">
        <v>7611</v>
      </c>
      <c r="G464" s="2" t="s">
        <v>7632</v>
      </c>
    </row>
    <row r="465" spans="1:7">
      <c r="A465" s="3">
        <v>12</v>
      </c>
      <c r="B465" s="3" t="s">
        <v>48</v>
      </c>
      <c r="C465" s="3">
        <v>208</v>
      </c>
      <c r="D465" s="3" t="s">
        <v>754</v>
      </c>
      <c r="E465" s="3" t="s">
        <v>7620</v>
      </c>
      <c r="F465" s="3" t="s">
        <v>7628</v>
      </c>
      <c r="G465" s="3" t="s">
        <v>7633</v>
      </c>
    </row>
    <row r="466" spans="1:7">
      <c r="A466" s="2">
        <v>12</v>
      </c>
      <c r="B466" s="2" t="s">
        <v>48</v>
      </c>
      <c r="C466" s="2">
        <v>209</v>
      </c>
      <c r="D466" s="2" t="s">
        <v>758</v>
      </c>
      <c r="E466" s="2" t="s">
        <v>7618</v>
      </c>
      <c r="F466" s="2" t="s">
        <v>7635</v>
      </c>
      <c r="G466" s="2" t="s">
        <v>7619</v>
      </c>
    </row>
    <row r="467" spans="1:7">
      <c r="A467" s="3">
        <v>12</v>
      </c>
      <c r="B467" s="3" t="s">
        <v>48</v>
      </c>
      <c r="C467" s="3">
        <v>221</v>
      </c>
      <c r="D467" s="3" t="s">
        <v>813</v>
      </c>
      <c r="E467" s="3" t="s">
        <v>7658</v>
      </c>
      <c r="F467" s="3" t="s">
        <v>7611</v>
      </c>
      <c r="G467" s="3" t="s">
        <v>7641</v>
      </c>
    </row>
    <row r="468" spans="1:7">
      <c r="A468" s="2">
        <v>12</v>
      </c>
      <c r="B468" s="2" t="s">
        <v>48</v>
      </c>
      <c r="C468" s="2">
        <v>264</v>
      </c>
      <c r="D468" s="2" t="s">
        <v>775</v>
      </c>
      <c r="E468" s="2" t="s">
        <v>7618</v>
      </c>
      <c r="F468" s="2" t="s">
        <v>7628</v>
      </c>
      <c r="G468" s="2" t="s">
        <v>7619</v>
      </c>
    </row>
    <row r="469" spans="1:7">
      <c r="A469" s="3">
        <v>12</v>
      </c>
      <c r="B469" s="3" t="s">
        <v>48</v>
      </c>
      <c r="C469" s="3">
        <v>341</v>
      </c>
      <c r="D469" s="3" t="s">
        <v>1052</v>
      </c>
      <c r="E469" s="3" t="s">
        <v>7620</v>
      </c>
      <c r="F469" s="3" t="s">
        <v>7611</v>
      </c>
      <c r="G469" s="3" t="s">
        <v>7622</v>
      </c>
    </row>
    <row r="470" spans="1:7">
      <c r="A470" s="2">
        <v>12</v>
      </c>
      <c r="B470" s="2" t="s">
        <v>48</v>
      </c>
      <c r="C470" s="2">
        <v>343</v>
      </c>
      <c r="D470" s="2" t="s">
        <v>977</v>
      </c>
      <c r="E470" s="2" t="s">
        <v>7620</v>
      </c>
      <c r="F470" s="2" t="s">
        <v>7628</v>
      </c>
      <c r="G470" s="2" t="s">
        <v>7633</v>
      </c>
    </row>
    <row r="471" spans="1:7">
      <c r="A471" s="3">
        <v>13</v>
      </c>
      <c r="B471" s="3" t="s">
        <v>50</v>
      </c>
      <c r="C471" s="3">
        <v>34</v>
      </c>
      <c r="D471" s="3" t="s">
        <v>160</v>
      </c>
      <c r="E471" s="3" t="s">
        <v>7667</v>
      </c>
      <c r="F471" s="3" t="s">
        <v>7611</v>
      </c>
      <c r="G471" s="3" t="s">
        <v>7668</v>
      </c>
    </row>
    <row r="472" spans="1:7">
      <c r="A472" s="2">
        <v>13</v>
      </c>
      <c r="B472" s="2" t="s">
        <v>50</v>
      </c>
      <c r="C472" s="2">
        <v>35</v>
      </c>
      <c r="D472" s="2" t="s">
        <v>155</v>
      </c>
      <c r="E472" s="2" t="s">
        <v>7613</v>
      </c>
      <c r="F472" s="2" t="s">
        <v>7611</v>
      </c>
      <c r="G472" s="2" t="s">
        <v>7666</v>
      </c>
    </row>
    <row r="473" spans="1:7">
      <c r="A473" s="3">
        <v>13</v>
      </c>
      <c r="B473" s="3" t="s">
        <v>50</v>
      </c>
      <c r="C473" s="3">
        <v>56</v>
      </c>
      <c r="D473" s="3" t="s">
        <v>12</v>
      </c>
      <c r="E473" s="3" t="s">
        <v>7616</v>
      </c>
      <c r="F473" s="3" t="s">
        <v>7611</v>
      </c>
      <c r="G473" s="3" t="s">
        <v>7636</v>
      </c>
    </row>
    <row r="474" spans="1:7">
      <c r="A474" s="2">
        <v>13</v>
      </c>
      <c r="B474" s="2" t="s">
        <v>50</v>
      </c>
      <c r="C474" s="2">
        <v>97</v>
      </c>
      <c r="D474" s="2" t="s">
        <v>457</v>
      </c>
      <c r="E474" s="2" t="s">
        <v>7618</v>
      </c>
      <c r="F474" s="2" t="s">
        <v>7611</v>
      </c>
      <c r="G474" s="2" t="s">
        <v>7619</v>
      </c>
    </row>
    <row r="475" spans="1:7">
      <c r="A475" s="3">
        <v>13</v>
      </c>
      <c r="B475" s="3" t="s">
        <v>50</v>
      </c>
      <c r="C475" s="3">
        <v>101</v>
      </c>
      <c r="D475" s="3" t="s">
        <v>395</v>
      </c>
      <c r="E475" s="3" t="s">
        <v>7620</v>
      </c>
      <c r="F475" s="3" t="s">
        <v>7611</v>
      </c>
      <c r="G475" s="3" t="s">
        <v>7621</v>
      </c>
    </row>
    <row r="476" spans="1:7">
      <c r="A476" s="2">
        <v>13</v>
      </c>
      <c r="B476" s="2" t="s">
        <v>50</v>
      </c>
      <c r="C476" s="2">
        <v>191</v>
      </c>
      <c r="D476" s="2" t="s">
        <v>719</v>
      </c>
      <c r="E476" s="2" t="s">
        <v>7618</v>
      </c>
      <c r="F476" s="2" t="s">
        <v>7611</v>
      </c>
      <c r="G476" s="2" t="s">
        <v>7636</v>
      </c>
    </row>
    <row r="477" spans="1:7">
      <c r="A477" s="3">
        <v>13</v>
      </c>
      <c r="B477" s="3" t="s">
        <v>50</v>
      </c>
      <c r="C477" s="3">
        <v>195</v>
      </c>
      <c r="D477" s="3" t="s">
        <v>734</v>
      </c>
      <c r="E477" s="3" t="s">
        <v>7618</v>
      </c>
      <c r="F477" s="3" t="s">
        <v>7611</v>
      </c>
      <c r="G477" s="3" t="s">
        <v>7617</v>
      </c>
    </row>
    <row r="478" spans="1:7">
      <c r="A478" s="2">
        <v>13</v>
      </c>
      <c r="B478" s="2" t="s">
        <v>50</v>
      </c>
      <c r="C478" s="2">
        <v>198</v>
      </c>
      <c r="D478" s="2" t="s">
        <v>698</v>
      </c>
      <c r="E478" s="2" t="s">
        <v>7620</v>
      </c>
      <c r="F478" s="2" t="s">
        <v>7611</v>
      </c>
      <c r="G478" s="2" t="s">
        <v>7622</v>
      </c>
    </row>
    <row r="479" spans="1:7">
      <c r="A479" s="3">
        <v>13</v>
      </c>
      <c r="B479" s="3" t="s">
        <v>50</v>
      </c>
      <c r="C479" s="3">
        <v>199</v>
      </c>
      <c r="D479" s="3" t="s">
        <v>702</v>
      </c>
      <c r="E479" s="3" t="s">
        <v>7618</v>
      </c>
      <c r="F479" s="3" t="s">
        <v>7611</v>
      </c>
      <c r="G479" s="3" t="s">
        <v>7636</v>
      </c>
    </row>
    <row r="480" spans="1:7">
      <c r="A480" s="2">
        <v>13</v>
      </c>
      <c r="B480" s="2" t="s">
        <v>50</v>
      </c>
      <c r="C480" s="2">
        <v>200</v>
      </c>
      <c r="D480" s="2" t="s">
        <v>707</v>
      </c>
      <c r="E480" s="2" t="s">
        <v>7620</v>
      </c>
      <c r="F480" s="2" t="s">
        <v>7611</v>
      </c>
      <c r="G480" s="2" t="s">
        <v>7621</v>
      </c>
    </row>
    <row r="481" spans="1:7">
      <c r="A481" s="3">
        <v>13</v>
      </c>
      <c r="B481" s="3" t="s">
        <v>50</v>
      </c>
      <c r="C481" s="3">
        <v>205</v>
      </c>
      <c r="D481" s="3" t="s">
        <v>746</v>
      </c>
      <c r="E481" s="3" t="s">
        <v>7620</v>
      </c>
      <c r="F481" s="3" t="s">
        <v>7611</v>
      </c>
      <c r="G481" s="3" t="s">
        <v>7621</v>
      </c>
    </row>
    <row r="482" spans="1:7">
      <c r="A482" s="2">
        <v>13</v>
      </c>
      <c r="B482" s="2" t="s">
        <v>50</v>
      </c>
      <c r="C482" s="2">
        <v>207</v>
      </c>
      <c r="D482" s="2" t="s">
        <v>749</v>
      </c>
      <c r="E482" s="2" t="s">
        <v>7623</v>
      </c>
      <c r="F482" s="2" t="s">
        <v>7611</v>
      </c>
      <c r="G482" s="2" t="s">
        <v>7639</v>
      </c>
    </row>
    <row r="483" spans="1:7">
      <c r="A483" s="3">
        <v>13</v>
      </c>
      <c r="B483" s="3" t="s">
        <v>50</v>
      </c>
      <c r="C483" s="3">
        <v>208</v>
      </c>
      <c r="D483" s="3" t="s">
        <v>754</v>
      </c>
      <c r="E483" s="3" t="s">
        <v>7620</v>
      </c>
      <c r="F483" s="3" t="s">
        <v>7611</v>
      </c>
      <c r="G483" s="3" t="s">
        <v>7622</v>
      </c>
    </row>
    <row r="484" spans="1:7">
      <c r="A484" s="2">
        <v>13</v>
      </c>
      <c r="B484" s="2" t="s">
        <v>50</v>
      </c>
      <c r="C484" s="2">
        <v>209</v>
      </c>
      <c r="D484" s="2" t="s">
        <v>758</v>
      </c>
      <c r="E484" s="2" t="s">
        <v>7618</v>
      </c>
      <c r="F484" s="2" t="s">
        <v>7608</v>
      </c>
      <c r="G484" s="2" t="s">
        <v>7633</v>
      </c>
    </row>
    <row r="485" spans="1:7">
      <c r="A485" s="3">
        <v>13</v>
      </c>
      <c r="B485" s="3" t="s">
        <v>50</v>
      </c>
      <c r="C485" s="3">
        <v>221</v>
      </c>
      <c r="D485" s="3" t="s">
        <v>813</v>
      </c>
      <c r="E485" s="3" t="s">
        <v>7613</v>
      </c>
      <c r="F485" s="3" t="s">
        <v>7611</v>
      </c>
      <c r="G485" s="3" t="s">
        <v>7657</v>
      </c>
    </row>
    <row r="486" spans="1:7">
      <c r="A486" s="2">
        <v>13</v>
      </c>
      <c r="B486" s="2" t="s">
        <v>50</v>
      </c>
      <c r="C486" s="2">
        <v>264</v>
      </c>
      <c r="D486" s="2" t="s">
        <v>775</v>
      </c>
      <c r="E486" s="2" t="s">
        <v>7618</v>
      </c>
      <c r="F486" s="2" t="s">
        <v>7611</v>
      </c>
      <c r="G486" s="2" t="s">
        <v>7617</v>
      </c>
    </row>
    <row r="487" spans="1:7">
      <c r="A487" s="3">
        <v>13</v>
      </c>
      <c r="B487" s="3" t="s">
        <v>50</v>
      </c>
      <c r="C487" s="3">
        <v>341</v>
      </c>
      <c r="D487" s="3" t="s">
        <v>1052</v>
      </c>
      <c r="E487" s="3" t="s">
        <v>7620</v>
      </c>
      <c r="F487" s="3" t="s">
        <v>7611</v>
      </c>
      <c r="G487" s="3" t="s">
        <v>7622</v>
      </c>
    </row>
    <row r="488" spans="1:7">
      <c r="A488" s="2">
        <v>13</v>
      </c>
      <c r="B488" s="2" t="s">
        <v>50</v>
      </c>
      <c r="C488" s="2">
        <v>343</v>
      </c>
      <c r="D488" s="2" t="s">
        <v>977</v>
      </c>
      <c r="E488" s="2" t="s">
        <v>7620</v>
      </c>
      <c r="F488" s="2" t="s">
        <v>7611</v>
      </c>
      <c r="G488" s="2" t="s">
        <v>7625</v>
      </c>
    </row>
    <row r="489" spans="1:7">
      <c r="A489" s="3">
        <v>14</v>
      </c>
      <c r="B489" s="3" t="s">
        <v>53</v>
      </c>
      <c r="C489" s="3">
        <v>34</v>
      </c>
      <c r="D489" s="3" t="s">
        <v>160</v>
      </c>
      <c r="E489" s="3" t="s">
        <v>7667</v>
      </c>
      <c r="F489" s="3" t="s">
        <v>7611</v>
      </c>
      <c r="G489" s="3" t="s">
        <v>7668</v>
      </c>
    </row>
    <row r="490" spans="1:7">
      <c r="A490" s="2">
        <v>14</v>
      </c>
      <c r="B490" s="2" t="s">
        <v>53</v>
      </c>
      <c r="C490" s="2">
        <v>35</v>
      </c>
      <c r="D490" s="2" t="s">
        <v>155</v>
      </c>
      <c r="E490" s="2" t="s">
        <v>7613</v>
      </c>
      <c r="F490" s="2" t="s">
        <v>7611</v>
      </c>
      <c r="G490" s="2" t="s">
        <v>7666</v>
      </c>
    </row>
    <row r="491" spans="1:7">
      <c r="A491" s="3">
        <v>14</v>
      </c>
      <c r="B491" s="3" t="s">
        <v>53</v>
      </c>
      <c r="C491" s="3">
        <v>56</v>
      </c>
      <c r="D491" s="3" t="s">
        <v>12</v>
      </c>
      <c r="E491" s="3" t="s">
        <v>7616</v>
      </c>
      <c r="F491" s="3" t="s">
        <v>7611</v>
      </c>
      <c r="G491" s="3" t="s">
        <v>7617</v>
      </c>
    </row>
    <row r="492" spans="1:7">
      <c r="A492" s="2">
        <v>14</v>
      </c>
      <c r="B492" s="2" t="s">
        <v>53</v>
      </c>
      <c r="C492" s="2">
        <v>97</v>
      </c>
      <c r="D492" s="2" t="s">
        <v>457</v>
      </c>
      <c r="E492" s="2" t="s">
        <v>7618</v>
      </c>
      <c r="F492" s="2" t="s">
        <v>7611</v>
      </c>
      <c r="G492" s="2" t="s">
        <v>7619</v>
      </c>
    </row>
    <row r="493" spans="1:7">
      <c r="A493" s="3">
        <v>14</v>
      </c>
      <c r="B493" s="3" t="s">
        <v>53</v>
      </c>
      <c r="C493" s="3">
        <v>101</v>
      </c>
      <c r="D493" s="3" t="s">
        <v>395</v>
      </c>
      <c r="E493" s="3" t="s">
        <v>7620</v>
      </c>
      <c r="F493" s="3" t="s">
        <v>7611</v>
      </c>
      <c r="G493" s="3" t="s">
        <v>7621</v>
      </c>
    </row>
    <row r="494" spans="1:7">
      <c r="A494" s="2">
        <v>14</v>
      </c>
      <c r="B494" s="2" t="s">
        <v>53</v>
      </c>
      <c r="C494" s="2">
        <v>191</v>
      </c>
      <c r="D494" s="2" t="s">
        <v>719</v>
      </c>
      <c r="E494" s="2" t="s">
        <v>7618</v>
      </c>
      <c r="F494" s="2" t="s">
        <v>7611</v>
      </c>
      <c r="G494" s="2" t="s">
        <v>7636</v>
      </c>
    </row>
    <row r="495" spans="1:7">
      <c r="A495" s="3">
        <v>14</v>
      </c>
      <c r="B495" s="3" t="s">
        <v>53</v>
      </c>
      <c r="C495" s="3">
        <v>195</v>
      </c>
      <c r="D495" s="3" t="s">
        <v>734</v>
      </c>
      <c r="E495" s="3" t="s">
        <v>7618</v>
      </c>
      <c r="F495" s="3" t="s">
        <v>7611</v>
      </c>
      <c r="G495" s="3" t="s">
        <v>7617</v>
      </c>
    </row>
    <row r="496" spans="1:7">
      <c r="A496" s="2">
        <v>14</v>
      </c>
      <c r="B496" s="2" t="s">
        <v>53</v>
      </c>
      <c r="C496" s="2">
        <v>198</v>
      </c>
      <c r="D496" s="2" t="s">
        <v>698</v>
      </c>
      <c r="E496" s="2" t="s">
        <v>7620</v>
      </c>
      <c r="F496" s="2" t="s">
        <v>7611</v>
      </c>
      <c r="G496" s="2" t="s">
        <v>7621</v>
      </c>
    </row>
    <row r="497" spans="1:7">
      <c r="A497" s="3">
        <v>14</v>
      </c>
      <c r="B497" s="3" t="s">
        <v>53</v>
      </c>
      <c r="C497" s="3">
        <v>199</v>
      </c>
      <c r="D497" s="3" t="s">
        <v>702</v>
      </c>
      <c r="E497" s="3" t="s">
        <v>7618</v>
      </c>
      <c r="F497" s="3" t="s">
        <v>7611</v>
      </c>
      <c r="G497" s="3" t="s">
        <v>7636</v>
      </c>
    </row>
    <row r="498" spans="1:7">
      <c r="A498" s="2">
        <v>14</v>
      </c>
      <c r="B498" s="2" t="s">
        <v>53</v>
      </c>
      <c r="C498" s="2">
        <v>200</v>
      </c>
      <c r="D498" s="2" t="s">
        <v>707</v>
      </c>
      <c r="E498" s="2" t="s">
        <v>7620</v>
      </c>
      <c r="F498" s="2" t="s">
        <v>7611</v>
      </c>
      <c r="G498" s="2" t="s">
        <v>7625</v>
      </c>
    </row>
    <row r="499" spans="1:7">
      <c r="A499" s="3">
        <v>14</v>
      </c>
      <c r="B499" s="3" t="s">
        <v>53</v>
      </c>
      <c r="C499" s="3">
        <v>205</v>
      </c>
      <c r="D499" s="3" t="s">
        <v>746</v>
      </c>
      <c r="E499" s="3" t="s">
        <v>7620</v>
      </c>
      <c r="F499" s="3" t="s">
        <v>7611</v>
      </c>
      <c r="G499" s="3" t="s">
        <v>7621</v>
      </c>
    </row>
    <row r="500" spans="1:7">
      <c r="A500" s="2">
        <v>14</v>
      </c>
      <c r="B500" s="2" t="s">
        <v>53</v>
      </c>
      <c r="C500" s="2">
        <v>207</v>
      </c>
      <c r="D500" s="2" t="s">
        <v>749</v>
      </c>
      <c r="E500" s="2" t="s">
        <v>7623</v>
      </c>
      <c r="F500" s="2" t="s">
        <v>7611</v>
      </c>
      <c r="G500" s="2" t="s">
        <v>7639</v>
      </c>
    </row>
    <row r="501" spans="1:7">
      <c r="A501" s="3">
        <v>14</v>
      </c>
      <c r="B501" s="3" t="s">
        <v>53</v>
      </c>
      <c r="C501" s="3">
        <v>208</v>
      </c>
      <c r="D501" s="3" t="s">
        <v>754</v>
      </c>
      <c r="E501" s="3" t="s">
        <v>7620</v>
      </c>
      <c r="F501" s="3" t="s">
        <v>7611</v>
      </c>
      <c r="G501" s="3" t="s">
        <v>7622</v>
      </c>
    </row>
    <row r="502" spans="1:7">
      <c r="A502" s="2">
        <v>14</v>
      </c>
      <c r="B502" s="2" t="s">
        <v>53</v>
      </c>
      <c r="C502" s="2">
        <v>209</v>
      </c>
      <c r="D502" s="2" t="s">
        <v>758</v>
      </c>
      <c r="E502" s="2" t="s">
        <v>7618</v>
      </c>
      <c r="F502" s="2" t="s">
        <v>7608</v>
      </c>
      <c r="G502" s="2" t="s">
        <v>7633</v>
      </c>
    </row>
    <row r="503" spans="1:7">
      <c r="A503" s="3">
        <v>14</v>
      </c>
      <c r="B503" s="3" t="s">
        <v>53</v>
      </c>
      <c r="C503" s="3">
        <v>221</v>
      </c>
      <c r="D503" s="3" t="s">
        <v>813</v>
      </c>
      <c r="E503" s="3" t="s">
        <v>7613</v>
      </c>
      <c r="F503" s="3" t="s">
        <v>7611</v>
      </c>
      <c r="G503" s="3" t="s">
        <v>7657</v>
      </c>
    </row>
    <row r="504" spans="1:7">
      <c r="A504" s="2">
        <v>14</v>
      </c>
      <c r="B504" s="2" t="s">
        <v>53</v>
      </c>
      <c r="C504" s="2">
        <v>264</v>
      </c>
      <c r="D504" s="2" t="s">
        <v>775</v>
      </c>
      <c r="E504" s="2" t="s">
        <v>7618</v>
      </c>
      <c r="F504" s="2" t="s">
        <v>7611</v>
      </c>
      <c r="G504" s="2" t="s">
        <v>7617</v>
      </c>
    </row>
    <row r="505" spans="1:7">
      <c r="A505" s="3">
        <v>14</v>
      </c>
      <c r="B505" s="3" t="s">
        <v>53</v>
      </c>
      <c r="C505" s="3">
        <v>341</v>
      </c>
      <c r="D505" s="3" t="s">
        <v>1052</v>
      </c>
      <c r="E505" s="3" t="s">
        <v>7620</v>
      </c>
      <c r="F505" s="3" t="s">
        <v>7611</v>
      </c>
      <c r="G505" s="3" t="s">
        <v>7622</v>
      </c>
    </row>
    <row r="506" spans="1:7">
      <c r="A506" s="2">
        <v>14</v>
      </c>
      <c r="B506" s="2" t="s">
        <v>53</v>
      </c>
      <c r="C506" s="2">
        <v>343</v>
      </c>
      <c r="D506" s="2" t="s">
        <v>977</v>
      </c>
      <c r="E506" s="2" t="s">
        <v>7620</v>
      </c>
      <c r="F506" s="2" t="s">
        <v>7611</v>
      </c>
      <c r="G506" s="2" t="s">
        <v>7625</v>
      </c>
    </row>
    <row r="507" spans="1:7">
      <c r="A507" s="3">
        <v>15</v>
      </c>
      <c r="B507" s="3" t="s">
        <v>67</v>
      </c>
      <c r="C507" s="3">
        <v>34</v>
      </c>
      <c r="D507" s="3" t="s">
        <v>160</v>
      </c>
      <c r="E507" s="3" t="s">
        <v>7638</v>
      </c>
      <c r="F507" s="3" t="s">
        <v>7611</v>
      </c>
      <c r="G507" s="3" t="s">
        <v>7624</v>
      </c>
    </row>
    <row r="508" spans="1:7">
      <c r="A508" s="2">
        <v>15</v>
      </c>
      <c r="B508" s="2" t="s">
        <v>67</v>
      </c>
      <c r="C508" s="2">
        <v>35</v>
      </c>
      <c r="D508" s="2" t="s">
        <v>155</v>
      </c>
      <c r="E508" s="2" t="s">
        <v>7638</v>
      </c>
      <c r="F508" s="2" t="s">
        <v>7611</v>
      </c>
      <c r="G508" s="2" t="s">
        <v>7632</v>
      </c>
    </row>
    <row r="509" spans="1:7">
      <c r="A509" s="3">
        <v>15</v>
      </c>
      <c r="B509" s="3" t="s">
        <v>67</v>
      </c>
      <c r="C509" s="3">
        <v>56</v>
      </c>
      <c r="D509" s="3" t="s">
        <v>12</v>
      </c>
      <c r="E509" s="3" t="s">
        <v>7616</v>
      </c>
      <c r="F509" s="3" t="s">
        <v>7611</v>
      </c>
      <c r="G509" s="3" t="s">
        <v>7617</v>
      </c>
    </row>
    <row r="510" spans="1:7">
      <c r="A510" s="2">
        <v>15</v>
      </c>
      <c r="B510" s="2" t="s">
        <v>67</v>
      </c>
      <c r="C510" s="2">
        <v>97</v>
      </c>
      <c r="D510" s="2" t="s">
        <v>457</v>
      </c>
      <c r="E510" s="2" t="s">
        <v>7620</v>
      </c>
      <c r="F510" s="2" t="s">
        <v>7611</v>
      </c>
      <c r="G510" s="2" t="s">
        <v>7621</v>
      </c>
    </row>
    <row r="511" spans="1:7">
      <c r="A511" s="3">
        <v>15</v>
      </c>
      <c r="B511" s="3" t="s">
        <v>67</v>
      </c>
      <c r="C511" s="3">
        <v>101</v>
      </c>
      <c r="D511" s="3" t="s">
        <v>395</v>
      </c>
      <c r="E511" s="3" t="s">
        <v>7620</v>
      </c>
      <c r="F511" s="3" t="s">
        <v>7611</v>
      </c>
      <c r="G511" s="3" t="s">
        <v>7621</v>
      </c>
    </row>
    <row r="512" spans="1:7">
      <c r="A512" s="2">
        <v>15</v>
      </c>
      <c r="B512" s="2" t="s">
        <v>67</v>
      </c>
      <c r="C512" s="2">
        <v>191</v>
      </c>
      <c r="D512" s="2" t="s">
        <v>719</v>
      </c>
      <c r="E512" s="2" t="s">
        <v>7620</v>
      </c>
      <c r="F512" s="2" t="s">
        <v>7611</v>
      </c>
      <c r="G512" s="2" t="s">
        <v>7621</v>
      </c>
    </row>
    <row r="513" spans="1:7">
      <c r="A513" s="3">
        <v>15</v>
      </c>
      <c r="B513" s="3" t="s">
        <v>67</v>
      </c>
      <c r="C513" s="3">
        <v>195</v>
      </c>
      <c r="D513" s="3" t="s">
        <v>734</v>
      </c>
      <c r="E513" s="3" t="s">
        <v>7620</v>
      </c>
      <c r="F513" s="3" t="s">
        <v>7611</v>
      </c>
      <c r="G513" s="3" t="s">
        <v>7622</v>
      </c>
    </row>
    <row r="514" spans="1:7">
      <c r="A514" s="2">
        <v>15</v>
      </c>
      <c r="B514" s="2" t="s">
        <v>67</v>
      </c>
      <c r="C514" s="2">
        <v>198</v>
      </c>
      <c r="D514" s="2" t="s">
        <v>698</v>
      </c>
      <c r="E514" s="2" t="s">
        <v>7620</v>
      </c>
      <c r="F514" s="2" t="s">
        <v>7611</v>
      </c>
      <c r="G514" s="2" t="s">
        <v>7621</v>
      </c>
    </row>
    <row r="515" spans="1:7">
      <c r="A515" s="3">
        <v>15</v>
      </c>
      <c r="B515" s="3" t="s">
        <v>67</v>
      </c>
      <c r="C515" s="3">
        <v>199</v>
      </c>
      <c r="D515" s="3" t="s">
        <v>702</v>
      </c>
      <c r="E515" s="3" t="s">
        <v>7620</v>
      </c>
      <c r="F515" s="3" t="s">
        <v>7611</v>
      </c>
      <c r="G515" s="3" t="s">
        <v>7621</v>
      </c>
    </row>
    <row r="516" spans="1:7">
      <c r="A516" s="2">
        <v>15</v>
      </c>
      <c r="B516" s="2" t="s">
        <v>67</v>
      </c>
      <c r="C516" s="2">
        <v>200</v>
      </c>
      <c r="D516" s="2" t="s">
        <v>707</v>
      </c>
      <c r="E516" s="2" t="s">
        <v>7620</v>
      </c>
      <c r="F516" s="2" t="s">
        <v>7611</v>
      </c>
      <c r="G516" s="2" t="s">
        <v>7625</v>
      </c>
    </row>
    <row r="517" spans="1:7">
      <c r="A517" s="3">
        <v>15</v>
      </c>
      <c r="B517" s="3" t="s">
        <v>67</v>
      </c>
      <c r="C517" s="3">
        <v>205</v>
      </c>
      <c r="D517" s="3" t="s">
        <v>746</v>
      </c>
      <c r="E517" s="3" t="s">
        <v>7620</v>
      </c>
      <c r="F517" s="3" t="s">
        <v>7611</v>
      </c>
      <c r="G517" s="3" t="s">
        <v>7621</v>
      </c>
    </row>
    <row r="518" spans="1:7">
      <c r="A518" s="2">
        <v>15</v>
      </c>
      <c r="B518" s="2" t="s">
        <v>67</v>
      </c>
      <c r="C518" s="2">
        <v>207</v>
      </c>
      <c r="D518" s="2" t="s">
        <v>749</v>
      </c>
      <c r="E518" s="2" t="s">
        <v>7640</v>
      </c>
      <c r="F518" s="2" t="s">
        <v>7611</v>
      </c>
      <c r="G518" s="2" t="s">
        <v>7617</v>
      </c>
    </row>
    <row r="519" spans="1:7">
      <c r="A519" s="3">
        <v>15</v>
      </c>
      <c r="B519" s="3" t="s">
        <v>67</v>
      </c>
      <c r="C519" s="3">
        <v>208</v>
      </c>
      <c r="D519" s="3" t="s">
        <v>754</v>
      </c>
      <c r="E519" s="3" t="s">
        <v>7620</v>
      </c>
      <c r="F519" s="3" t="s">
        <v>7611</v>
      </c>
      <c r="G519" s="3" t="s">
        <v>7622</v>
      </c>
    </row>
    <row r="520" spans="1:7">
      <c r="A520" s="2">
        <v>15</v>
      </c>
      <c r="B520" s="2" t="s">
        <v>67</v>
      </c>
      <c r="C520" s="2">
        <v>221</v>
      </c>
      <c r="D520" s="2" t="s">
        <v>813</v>
      </c>
      <c r="E520" s="2" t="s">
        <v>7638</v>
      </c>
      <c r="F520" s="2" t="s">
        <v>7611</v>
      </c>
      <c r="G520" s="2" t="s">
        <v>7624</v>
      </c>
    </row>
    <row r="521" spans="1:7">
      <c r="A521" s="3">
        <v>15</v>
      </c>
      <c r="B521" s="3" t="s">
        <v>67</v>
      </c>
      <c r="C521" s="3">
        <v>264</v>
      </c>
      <c r="D521" s="3" t="s">
        <v>775</v>
      </c>
      <c r="E521" s="3" t="s">
        <v>7620</v>
      </c>
      <c r="F521" s="3" t="s">
        <v>7611</v>
      </c>
      <c r="G521" s="3" t="s">
        <v>7621</v>
      </c>
    </row>
    <row r="522" spans="1:7">
      <c r="A522" s="2">
        <v>15</v>
      </c>
      <c r="B522" s="2" t="s">
        <v>67</v>
      </c>
      <c r="C522" s="2">
        <v>341</v>
      </c>
      <c r="D522" s="2" t="s">
        <v>1052</v>
      </c>
      <c r="E522" s="2" t="s">
        <v>7620</v>
      </c>
      <c r="F522" s="2" t="s">
        <v>7611</v>
      </c>
      <c r="G522" s="2" t="s">
        <v>7621</v>
      </c>
    </row>
    <row r="523" spans="1:7">
      <c r="A523" s="3">
        <v>15</v>
      </c>
      <c r="B523" s="3" t="s">
        <v>67</v>
      </c>
      <c r="C523" s="3">
        <v>343</v>
      </c>
      <c r="D523" s="3" t="s">
        <v>977</v>
      </c>
      <c r="E523" s="3" t="s">
        <v>7620</v>
      </c>
      <c r="F523" s="3" t="s">
        <v>7611</v>
      </c>
      <c r="G523" s="3" t="s">
        <v>7625</v>
      </c>
    </row>
    <row r="524" spans="1:7">
      <c r="A524" s="2">
        <v>16</v>
      </c>
      <c r="B524" s="2" t="s">
        <v>72</v>
      </c>
      <c r="C524" s="2">
        <v>34</v>
      </c>
      <c r="D524" s="2" t="s">
        <v>160</v>
      </c>
      <c r="E524" s="2" t="s">
        <v>7669</v>
      </c>
      <c r="F524" s="2" t="s">
        <v>7611</v>
      </c>
      <c r="G524" s="2" t="s">
        <v>7612</v>
      </c>
    </row>
    <row r="525" spans="1:7">
      <c r="A525" s="3">
        <v>16</v>
      </c>
      <c r="B525" s="3" t="s">
        <v>72</v>
      </c>
      <c r="C525" s="3">
        <v>35</v>
      </c>
      <c r="D525" s="3" t="s">
        <v>155</v>
      </c>
      <c r="E525" s="3" t="s">
        <v>7669</v>
      </c>
      <c r="F525" s="3" t="s">
        <v>7611</v>
      </c>
      <c r="G525" s="3" t="s">
        <v>7637</v>
      </c>
    </row>
    <row r="526" spans="1:7">
      <c r="A526" s="2">
        <v>16</v>
      </c>
      <c r="B526" s="2" t="s">
        <v>72</v>
      </c>
      <c r="C526" s="2">
        <v>56</v>
      </c>
      <c r="D526" s="2" t="s">
        <v>12</v>
      </c>
      <c r="E526" s="2" t="s">
        <v>7616</v>
      </c>
      <c r="F526" s="2" t="s">
        <v>7611</v>
      </c>
      <c r="G526" s="2" t="s">
        <v>7609</v>
      </c>
    </row>
    <row r="527" spans="1:7">
      <c r="A527" s="3">
        <v>16</v>
      </c>
      <c r="B527" s="3" t="s">
        <v>72</v>
      </c>
      <c r="C527" s="3">
        <v>97</v>
      </c>
      <c r="D527" s="3" t="s">
        <v>457</v>
      </c>
      <c r="E527" s="3" t="s">
        <v>7620</v>
      </c>
      <c r="F527" s="3" t="s">
        <v>7611</v>
      </c>
      <c r="G527" s="3" t="s">
        <v>7621</v>
      </c>
    </row>
    <row r="528" spans="1:7">
      <c r="A528" s="2">
        <v>16</v>
      </c>
      <c r="B528" s="2" t="s">
        <v>72</v>
      </c>
      <c r="C528" s="2">
        <v>101</v>
      </c>
      <c r="D528" s="2" t="s">
        <v>395</v>
      </c>
      <c r="E528" s="2" t="s">
        <v>7620</v>
      </c>
      <c r="F528" s="2" t="s">
        <v>7611</v>
      </c>
      <c r="G528" s="2" t="s">
        <v>7625</v>
      </c>
    </row>
    <row r="529" spans="1:7">
      <c r="A529" s="3">
        <v>16</v>
      </c>
      <c r="B529" s="3" t="s">
        <v>72</v>
      </c>
      <c r="C529" s="3">
        <v>191</v>
      </c>
      <c r="D529" s="3" t="s">
        <v>719</v>
      </c>
      <c r="E529" s="3" t="s">
        <v>7620</v>
      </c>
      <c r="F529" s="3" t="s">
        <v>7611</v>
      </c>
      <c r="G529" s="3" t="s">
        <v>7625</v>
      </c>
    </row>
    <row r="530" spans="1:7">
      <c r="A530" s="2">
        <v>16</v>
      </c>
      <c r="B530" s="2" t="s">
        <v>72</v>
      </c>
      <c r="C530" s="2">
        <v>195</v>
      </c>
      <c r="D530" s="2" t="s">
        <v>734</v>
      </c>
      <c r="E530" s="2" t="s">
        <v>7620</v>
      </c>
      <c r="F530" s="2" t="s">
        <v>7611</v>
      </c>
      <c r="G530" s="2" t="s">
        <v>7625</v>
      </c>
    </row>
    <row r="531" spans="1:7">
      <c r="A531" s="3">
        <v>16</v>
      </c>
      <c r="B531" s="3" t="s">
        <v>72</v>
      </c>
      <c r="C531" s="3">
        <v>198</v>
      </c>
      <c r="D531" s="3" t="s">
        <v>698</v>
      </c>
      <c r="E531" s="3" t="s">
        <v>7620</v>
      </c>
      <c r="F531" s="3" t="s">
        <v>7611</v>
      </c>
      <c r="G531" s="3" t="s">
        <v>7625</v>
      </c>
    </row>
    <row r="532" spans="1:7">
      <c r="A532" s="2">
        <v>16</v>
      </c>
      <c r="B532" s="2" t="s">
        <v>72</v>
      </c>
      <c r="C532" s="2">
        <v>199</v>
      </c>
      <c r="D532" s="2" t="s">
        <v>702</v>
      </c>
      <c r="E532" s="2" t="s">
        <v>7620</v>
      </c>
      <c r="F532" s="2" t="s">
        <v>7611</v>
      </c>
      <c r="G532" s="2" t="s">
        <v>7625</v>
      </c>
    </row>
    <row r="533" spans="1:7">
      <c r="A533" s="3">
        <v>16</v>
      </c>
      <c r="B533" s="3" t="s">
        <v>72</v>
      </c>
      <c r="C533" s="3">
        <v>200</v>
      </c>
      <c r="D533" s="3" t="s">
        <v>707</v>
      </c>
      <c r="E533" s="3" t="s">
        <v>7620</v>
      </c>
      <c r="F533" s="3" t="s">
        <v>7611</v>
      </c>
      <c r="G533" s="3" t="s">
        <v>7625</v>
      </c>
    </row>
    <row r="534" spans="1:7">
      <c r="A534" s="2">
        <v>16</v>
      </c>
      <c r="B534" s="2" t="s">
        <v>72</v>
      </c>
      <c r="C534" s="2">
        <v>205</v>
      </c>
      <c r="D534" s="2" t="s">
        <v>746</v>
      </c>
      <c r="E534" s="2" t="s">
        <v>7620</v>
      </c>
      <c r="F534" s="2" t="s">
        <v>7611</v>
      </c>
      <c r="G534" s="2" t="s">
        <v>7625</v>
      </c>
    </row>
    <row r="535" spans="1:7">
      <c r="A535" s="3">
        <v>16</v>
      </c>
      <c r="B535" s="3" t="s">
        <v>72</v>
      </c>
      <c r="C535" s="3">
        <v>207</v>
      </c>
      <c r="D535" s="3" t="s">
        <v>749</v>
      </c>
      <c r="E535" s="3" t="s">
        <v>7640</v>
      </c>
      <c r="F535" s="3" t="s">
        <v>7611</v>
      </c>
      <c r="G535" s="3" t="s">
        <v>7609</v>
      </c>
    </row>
    <row r="536" spans="1:7">
      <c r="A536" s="2">
        <v>16</v>
      </c>
      <c r="B536" s="2" t="s">
        <v>72</v>
      </c>
      <c r="C536" s="2">
        <v>208</v>
      </c>
      <c r="D536" s="2" t="s">
        <v>754</v>
      </c>
      <c r="E536" s="2" t="s">
        <v>7620</v>
      </c>
      <c r="F536" s="2" t="s">
        <v>7611</v>
      </c>
      <c r="G536" s="2" t="s">
        <v>7625</v>
      </c>
    </row>
    <row r="537" spans="1:7">
      <c r="A537" s="3">
        <v>16</v>
      </c>
      <c r="B537" s="3" t="s">
        <v>72</v>
      </c>
      <c r="C537" s="3">
        <v>221</v>
      </c>
      <c r="D537" s="3" t="s">
        <v>813</v>
      </c>
      <c r="E537" s="3" t="s">
        <v>7669</v>
      </c>
      <c r="F537" s="3" t="s">
        <v>7611</v>
      </c>
      <c r="G537" s="3" t="s">
        <v>7612</v>
      </c>
    </row>
    <row r="538" spans="1:7">
      <c r="A538" s="2">
        <v>16</v>
      </c>
      <c r="B538" s="2" t="s">
        <v>72</v>
      </c>
      <c r="C538" s="2">
        <v>264</v>
      </c>
      <c r="D538" s="2" t="s">
        <v>775</v>
      </c>
      <c r="E538" s="2" t="s">
        <v>7620</v>
      </c>
      <c r="F538" s="2" t="s">
        <v>7611</v>
      </c>
      <c r="G538" s="2" t="s">
        <v>7625</v>
      </c>
    </row>
    <row r="539" spans="1:7">
      <c r="A539" s="3">
        <v>16</v>
      </c>
      <c r="B539" s="3" t="s">
        <v>72</v>
      </c>
      <c r="C539" s="3">
        <v>341</v>
      </c>
      <c r="D539" s="3" t="s">
        <v>1052</v>
      </c>
      <c r="E539" s="3" t="s">
        <v>7620</v>
      </c>
      <c r="F539" s="3" t="s">
        <v>7611</v>
      </c>
      <c r="G539" s="3" t="s">
        <v>7625</v>
      </c>
    </row>
    <row r="540" spans="1:7">
      <c r="A540" s="2">
        <v>16</v>
      </c>
      <c r="B540" s="2" t="s">
        <v>72</v>
      </c>
      <c r="C540" s="2">
        <v>343</v>
      </c>
      <c r="D540" s="2" t="s">
        <v>977</v>
      </c>
      <c r="E540" s="2" t="s">
        <v>7620</v>
      </c>
      <c r="F540" s="2" t="s">
        <v>7611</v>
      </c>
      <c r="G540" s="2" t="s">
        <v>7625</v>
      </c>
    </row>
    <row r="541" spans="1:7">
      <c r="A541" s="3">
        <v>17</v>
      </c>
      <c r="B541" s="3" t="s">
        <v>76</v>
      </c>
      <c r="C541" s="3">
        <v>34</v>
      </c>
      <c r="D541" s="3" t="s">
        <v>160</v>
      </c>
      <c r="E541" s="3" t="s">
        <v>7643</v>
      </c>
      <c r="F541" s="3" t="s">
        <v>7608</v>
      </c>
      <c r="G541" s="3" t="s">
        <v>7625</v>
      </c>
    </row>
    <row r="542" spans="1:7">
      <c r="A542" s="2">
        <v>17</v>
      </c>
      <c r="B542" s="2" t="s">
        <v>76</v>
      </c>
      <c r="C542" s="2">
        <v>199</v>
      </c>
      <c r="D542" s="2" t="s">
        <v>702</v>
      </c>
      <c r="E542" s="2" t="s">
        <v>7653</v>
      </c>
      <c r="F542" s="2" t="s">
        <v>7608</v>
      </c>
      <c r="G542" s="2" t="s">
        <v>7625</v>
      </c>
    </row>
    <row r="543" spans="1:7">
      <c r="A543" s="3">
        <v>18</v>
      </c>
      <c r="B543" s="3" t="s">
        <v>17</v>
      </c>
      <c r="C543" s="3">
        <v>34</v>
      </c>
      <c r="D543" s="3" t="s">
        <v>160</v>
      </c>
      <c r="E543" s="3" t="s">
        <v>7627</v>
      </c>
      <c r="F543" s="3" t="s">
        <v>7611</v>
      </c>
      <c r="G543" s="3" t="s">
        <v>7642</v>
      </c>
    </row>
    <row r="544" spans="1:7">
      <c r="A544" s="2">
        <v>18</v>
      </c>
      <c r="B544" s="2" t="s">
        <v>17</v>
      </c>
      <c r="C544" s="2">
        <v>35</v>
      </c>
      <c r="D544" s="2" t="s">
        <v>155</v>
      </c>
      <c r="E544" s="2" t="s">
        <v>7627</v>
      </c>
      <c r="F544" s="2" t="s">
        <v>7611</v>
      </c>
      <c r="G544" s="2" t="s">
        <v>7670</v>
      </c>
    </row>
    <row r="545" spans="1:7">
      <c r="A545" s="3">
        <v>18</v>
      </c>
      <c r="B545" s="3" t="s">
        <v>17</v>
      </c>
      <c r="C545" s="3">
        <v>56</v>
      </c>
      <c r="D545" s="3" t="s">
        <v>12</v>
      </c>
      <c r="E545" s="3" t="s">
        <v>7616</v>
      </c>
      <c r="F545" s="3" t="s">
        <v>7611</v>
      </c>
      <c r="G545" s="3" t="s">
        <v>7617</v>
      </c>
    </row>
    <row r="546" spans="1:7">
      <c r="A546" s="2">
        <v>18</v>
      </c>
      <c r="B546" s="2" t="s">
        <v>17</v>
      </c>
      <c r="C546" s="2">
        <v>97</v>
      </c>
      <c r="D546" s="2" t="s">
        <v>457</v>
      </c>
      <c r="E546" s="2" t="s">
        <v>7630</v>
      </c>
      <c r="F546" s="2" t="s">
        <v>7611</v>
      </c>
      <c r="G546" s="2" t="s">
        <v>7619</v>
      </c>
    </row>
    <row r="547" spans="1:7">
      <c r="A547" s="3">
        <v>18</v>
      </c>
      <c r="B547" s="3" t="s">
        <v>17</v>
      </c>
      <c r="C547" s="3">
        <v>101</v>
      </c>
      <c r="D547" s="3" t="s">
        <v>395</v>
      </c>
      <c r="E547" s="3" t="s">
        <v>7620</v>
      </c>
      <c r="F547" s="3" t="s">
        <v>7611</v>
      </c>
      <c r="G547" s="3" t="s">
        <v>7621</v>
      </c>
    </row>
    <row r="548" spans="1:7">
      <c r="A548" s="2">
        <v>18</v>
      </c>
      <c r="B548" s="2" t="s">
        <v>17</v>
      </c>
      <c r="C548" s="2">
        <v>191</v>
      </c>
      <c r="D548" s="2" t="s">
        <v>719</v>
      </c>
      <c r="E548" s="2" t="s">
        <v>7618</v>
      </c>
      <c r="F548" s="2" t="s">
        <v>7611</v>
      </c>
      <c r="G548" s="2" t="s">
        <v>7617</v>
      </c>
    </row>
    <row r="549" spans="1:7">
      <c r="A549" s="3">
        <v>18</v>
      </c>
      <c r="B549" s="3" t="s">
        <v>17</v>
      </c>
      <c r="C549" s="3">
        <v>195</v>
      </c>
      <c r="D549" s="3" t="s">
        <v>734</v>
      </c>
      <c r="E549" s="3" t="s">
        <v>7618</v>
      </c>
      <c r="F549" s="3" t="s">
        <v>7611</v>
      </c>
      <c r="G549" s="3" t="s">
        <v>7617</v>
      </c>
    </row>
    <row r="550" spans="1:7">
      <c r="A550" s="2">
        <v>18</v>
      </c>
      <c r="B550" s="2" t="s">
        <v>17</v>
      </c>
      <c r="C550" s="2">
        <v>198</v>
      </c>
      <c r="D550" s="2" t="s">
        <v>698</v>
      </c>
      <c r="E550" s="2" t="s">
        <v>7620</v>
      </c>
      <c r="F550" s="2" t="s">
        <v>7611</v>
      </c>
      <c r="G550" s="2" t="s">
        <v>7621</v>
      </c>
    </row>
    <row r="551" spans="1:7">
      <c r="A551" s="3">
        <v>18</v>
      </c>
      <c r="B551" s="3" t="s">
        <v>17</v>
      </c>
      <c r="C551" s="3">
        <v>199</v>
      </c>
      <c r="D551" s="3" t="s">
        <v>702</v>
      </c>
      <c r="E551" s="3" t="s">
        <v>7630</v>
      </c>
      <c r="F551" s="3" t="s">
        <v>7611</v>
      </c>
      <c r="G551" s="3" t="s">
        <v>7636</v>
      </c>
    </row>
    <row r="552" spans="1:7">
      <c r="A552" s="2">
        <v>18</v>
      </c>
      <c r="B552" s="2" t="s">
        <v>17</v>
      </c>
      <c r="C552" s="2">
        <v>200</v>
      </c>
      <c r="D552" s="2" t="s">
        <v>707</v>
      </c>
      <c r="E552" s="2" t="s">
        <v>7620</v>
      </c>
      <c r="F552" s="2" t="s">
        <v>7611</v>
      </c>
      <c r="G552" s="2" t="s">
        <v>7625</v>
      </c>
    </row>
    <row r="553" spans="1:7">
      <c r="A553" s="3">
        <v>18</v>
      </c>
      <c r="B553" s="3" t="s">
        <v>17</v>
      </c>
      <c r="C553" s="3">
        <v>205</v>
      </c>
      <c r="D553" s="3" t="s">
        <v>746</v>
      </c>
      <c r="E553" s="3" t="s">
        <v>7620</v>
      </c>
      <c r="F553" s="3" t="s">
        <v>7611</v>
      </c>
      <c r="G553" s="3" t="s">
        <v>7621</v>
      </c>
    </row>
    <row r="554" spans="1:7">
      <c r="A554" s="2">
        <v>18</v>
      </c>
      <c r="B554" s="2" t="s">
        <v>17</v>
      </c>
      <c r="C554" s="2">
        <v>207</v>
      </c>
      <c r="D554" s="2" t="s">
        <v>749</v>
      </c>
      <c r="E554" s="2" t="s">
        <v>7623</v>
      </c>
      <c r="F554" s="2" t="s">
        <v>7611</v>
      </c>
      <c r="G554" s="2" t="s">
        <v>7639</v>
      </c>
    </row>
    <row r="555" spans="1:7">
      <c r="A555" s="3">
        <v>18</v>
      </c>
      <c r="B555" s="3" t="s">
        <v>17</v>
      </c>
      <c r="C555" s="3">
        <v>208</v>
      </c>
      <c r="D555" s="3" t="s">
        <v>754</v>
      </c>
      <c r="E555" s="3" t="s">
        <v>7620</v>
      </c>
      <c r="F555" s="3" t="s">
        <v>7611</v>
      </c>
      <c r="G555" s="3" t="s">
        <v>7621</v>
      </c>
    </row>
    <row r="556" spans="1:7">
      <c r="A556" s="2">
        <v>18</v>
      </c>
      <c r="B556" s="2" t="s">
        <v>17</v>
      </c>
      <c r="C556" s="2">
        <v>209</v>
      </c>
      <c r="D556" s="2" t="s">
        <v>758</v>
      </c>
      <c r="E556" s="2" t="s">
        <v>7618</v>
      </c>
      <c r="F556" s="2" t="s">
        <v>7608</v>
      </c>
      <c r="G556" s="2" t="s">
        <v>7633</v>
      </c>
    </row>
    <row r="557" spans="1:7">
      <c r="A557" s="3">
        <v>18</v>
      </c>
      <c r="B557" s="3" t="s">
        <v>17</v>
      </c>
      <c r="C557" s="3">
        <v>221</v>
      </c>
      <c r="D557" s="3" t="s">
        <v>813</v>
      </c>
      <c r="E557" s="3" t="s">
        <v>7627</v>
      </c>
      <c r="F557" s="3" t="s">
        <v>7611</v>
      </c>
      <c r="G557" s="3" t="s">
        <v>7642</v>
      </c>
    </row>
    <row r="558" spans="1:7">
      <c r="A558" s="2">
        <v>18</v>
      </c>
      <c r="B558" s="2" t="s">
        <v>17</v>
      </c>
      <c r="C558" s="2">
        <v>264</v>
      </c>
      <c r="D558" s="2" t="s">
        <v>775</v>
      </c>
      <c r="E558" s="2" t="s">
        <v>7618</v>
      </c>
      <c r="F558" s="2" t="s">
        <v>7611</v>
      </c>
      <c r="G558" s="2" t="s">
        <v>7617</v>
      </c>
    </row>
    <row r="559" spans="1:7">
      <c r="A559" s="3">
        <v>18</v>
      </c>
      <c r="B559" s="3" t="s">
        <v>17</v>
      </c>
      <c r="C559" s="3">
        <v>341</v>
      </c>
      <c r="D559" s="3" t="s">
        <v>1052</v>
      </c>
      <c r="E559" s="3" t="s">
        <v>7620</v>
      </c>
      <c r="F559" s="3" t="s">
        <v>7611</v>
      </c>
      <c r="G559" s="3" t="s">
        <v>7621</v>
      </c>
    </row>
    <row r="560" spans="1:7">
      <c r="A560" s="2">
        <v>18</v>
      </c>
      <c r="B560" s="2" t="s">
        <v>17</v>
      </c>
      <c r="C560" s="2">
        <v>343</v>
      </c>
      <c r="D560" s="2" t="s">
        <v>977</v>
      </c>
      <c r="E560" s="2" t="s">
        <v>7620</v>
      </c>
      <c r="F560" s="2" t="s">
        <v>7611</v>
      </c>
      <c r="G560" s="2" t="s">
        <v>7625</v>
      </c>
    </row>
    <row r="561" spans="1:7">
      <c r="A561" s="3">
        <v>19</v>
      </c>
      <c r="B561" s="3" t="s">
        <v>32</v>
      </c>
      <c r="C561" s="3">
        <v>34</v>
      </c>
      <c r="D561" s="3" t="s">
        <v>160</v>
      </c>
      <c r="E561" s="3" t="s">
        <v>7671</v>
      </c>
      <c r="F561" s="3" t="s">
        <v>7611</v>
      </c>
      <c r="G561" s="3" t="s">
        <v>7612</v>
      </c>
    </row>
    <row r="562" spans="1:7">
      <c r="A562" s="2">
        <v>19</v>
      </c>
      <c r="B562" s="2" t="s">
        <v>32</v>
      </c>
      <c r="C562" s="2">
        <v>35</v>
      </c>
      <c r="D562" s="2" t="s">
        <v>155</v>
      </c>
      <c r="E562" s="2" t="s">
        <v>7672</v>
      </c>
      <c r="F562" s="2" t="s">
        <v>7611</v>
      </c>
      <c r="G562" s="2" t="s">
        <v>7639</v>
      </c>
    </row>
    <row r="563" spans="1:7">
      <c r="A563" s="3">
        <v>19</v>
      </c>
      <c r="B563" s="3" t="s">
        <v>32</v>
      </c>
      <c r="C563" s="3">
        <v>56</v>
      </c>
      <c r="D563" s="3" t="s">
        <v>12</v>
      </c>
      <c r="E563" s="3" t="s">
        <v>7616</v>
      </c>
      <c r="F563" s="3" t="s">
        <v>7611</v>
      </c>
      <c r="G563" s="3" t="s">
        <v>7636</v>
      </c>
    </row>
    <row r="564" spans="1:7">
      <c r="A564" s="2">
        <v>19</v>
      </c>
      <c r="B564" s="2" t="s">
        <v>32</v>
      </c>
      <c r="C564" s="2">
        <v>97</v>
      </c>
      <c r="D564" s="2" t="s">
        <v>457</v>
      </c>
      <c r="E564" s="2" t="s">
        <v>7618</v>
      </c>
      <c r="F564" s="2" t="s">
        <v>7611</v>
      </c>
      <c r="G564" s="2" t="s">
        <v>7634</v>
      </c>
    </row>
    <row r="565" spans="1:7">
      <c r="A565" s="3">
        <v>19</v>
      </c>
      <c r="B565" s="3" t="s">
        <v>32</v>
      </c>
      <c r="C565" s="3">
        <v>101</v>
      </c>
      <c r="D565" s="3" t="s">
        <v>395</v>
      </c>
      <c r="E565" s="3" t="s">
        <v>7620</v>
      </c>
      <c r="F565" s="3" t="s">
        <v>7611</v>
      </c>
      <c r="G565" s="3" t="s">
        <v>7621</v>
      </c>
    </row>
    <row r="566" spans="1:7">
      <c r="A566" s="2">
        <v>19</v>
      </c>
      <c r="B566" s="2" t="s">
        <v>32</v>
      </c>
      <c r="C566" s="2">
        <v>103</v>
      </c>
      <c r="D566" s="2" t="s">
        <v>384</v>
      </c>
      <c r="E566" s="2" t="s">
        <v>7620</v>
      </c>
      <c r="F566" s="2" t="s">
        <v>7608</v>
      </c>
      <c r="G566" s="2" t="s">
        <v>7625</v>
      </c>
    </row>
    <row r="567" spans="1:7">
      <c r="A567" s="3">
        <v>19</v>
      </c>
      <c r="B567" s="3" t="s">
        <v>32</v>
      </c>
      <c r="C567" s="3">
        <v>189</v>
      </c>
      <c r="D567" s="3" t="s">
        <v>742</v>
      </c>
      <c r="E567" s="3" t="s">
        <v>7653</v>
      </c>
      <c r="F567" s="3" t="s">
        <v>7608</v>
      </c>
      <c r="G567" s="3" t="s">
        <v>7621</v>
      </c>
    </row>
    <row r="568" spans="1:7">
      <c r="A568" s="2">
        <v>19</v>
      </c>
      <c r="B568" s="2" t="s">
        <v>32</v>
      </c>
      <c r="C568" s="2">
        <v>191</v>
      </c>
      <c r="D568" s="2" t="s">
        <v>719</v>
      </c>
      <c r="E568" s="2" t="s">
        <v>7618</v>
      </c>
      <c r="F568" s="2" t="s">
        <v>7611</v>
      </c>
      <c r="G568" s="2" t="s">
        <v>7619</v>
      </c>
    </row>
    <row r="569" spans="1:7">
      <c r="A569" s="3">
        <v>19</v>
      </c>
      <c r="B569" s="3" t="s">
        <v>32</v>
      </c>
      <c r="C569" s="3">
        <v>195</v>
      </c>
      <c r="D569" s="3" t="s">
        <v>734</v>
      </c>
      <c r="E569" s="3" t="s">
        <v>7673</v>
      </c>
      <c r="F569" s="3" t="s">
        <v>7611</v>
      </c>
      <c r="G569" s="3" t="s">
        <v>7641</v>
      </c>
    </row>
    <row r="570" spans="1:7">
      <c r="A570" s="2">
        <v>19</v>
      </c>
      <c r="B570" s="2" t="s">
        <v>32</v>
      </c>
      <c r="C570" s="2">
        <v>198</v>
      </c>
      <c r="D570" s="2" t="s">
        <v>698</v>
      </c>
      <c r="E570" s="2" t="s">
        <v>7620</v>
      </c>
      <c r="F570" s="2" t="s">
        <v>7611</v>
      </c>
      <c r="G570" s="2" t="s">
        <v>7617</v>
      </c>
    </row>
    <row r="571" spans="1:7">
      <c r="A571" s="3">
        <v>19</v>
      </c>
      <c r="B571" s="3" t="s">
        <v>32</v>
      </c>
      <c r="C571" s="3">
        <v>199</v>
      </c>
      <c r="D571" s="3" t="s">
        <v>702</v>
      </c>
      <c r="E571" s="3" t="s">
        <v>7674</v>
      </c>
      <c r="F571" s="3" t="s">
        <v>7611</v>
      </c>
      <c r="G571" s="3" t="s">
        <v>7637</v>
      </c>
    </row>
    <row r="572" spans="1:7">
      <c r="A572" s="2">
        <v>19</v>
      </c>
      <c r="B572" s="2" t="s">
        <v>32</v>
      </c>
      <c r="C572" s="2">
        <v>200</v>
      </c>
      <c r="D572" s="2" t="s">
        <v>707</v>
      </c>
      <c r="E572" s="2" t="s">
        <v>7654</v>
      </c>
      <c r="F572" s="2" t="s">
        <v>7611</v>
      </c>
      <c r="G572" s="2" t="s">
        <v>7634</v>
      </c>
    </row>
    <row r="573" spans="1:7">
      <c r="A573" s="3">
        <v>19</v>
      </c>
      <c r="B573" s="3" t="s">
        <v>32</v>
      </c>
      <c r="C573" s="3">
        <v>201</v>
      </c>
      <c r="D573" s="3" t="s">
        <v>695</v>
      </c>
      <c r="E573" s="3" t="s">
        <v>7675</v>
      </c>
      <c r="F573" s="3" t="s">
        <v>7611</v>
      </c>
      <c r="G573" s="3" t="s">
        <v>7621</v>
      </c>
    </row>
    <row r="574" spans="1:7">
      <c r="A574" s="2">
        <v>19</v>
      </c>
      <c r="B574" s="2" t="s">
        <v>32</v>
      </c>
      <c r="C574" s="2">
        <v>205</v>
      </c>
      <c r="D574" s="2" t="s">
        <v>746</v>
      </c>
      <c r="E574" s="2" t="s">
        <v>7620</v>
      </c>
      <c r="F574" s="2" t="s">
        <v>7611</v>
      </c>
      <c r="G574" s="2" t="s">
        <v>7622</v>
      </c>
    </row>
    <row r="575" spans="1:7">
      <c r="A575" s="3">
        <v>19</v>
      </c>
      <c r="B575" s="3" t="s">
        <v>32</v>
      </c>
      <c r="C575" s="3">
        <v>207</v>
      </c>
      <c r="D575" s="3" t="s">
        <v>749</v>
      </c>
      <c r="E575" s="3" t="s">
        <v>7618</v>
      </c>
      <c r="F575" s="3" t="s">
        <v>7611</v>
      </c>
      <c r="G575" s="3" t="s">
        <v>7636</v>
      </c>
    </row>
    <row r="576" spans="1:7">
      <c r="A576" s="2">
        <v>19</v>
      </c>
      <c r="B576" s="2" t="s">
        <v>32</v>
      </c>
      <c r="C576" s="2">
        <v>208</v>
      </c>
      <c r="D576" s="2" t="s">
        <v>754</v>
      </c>
      <c r="E576" s="2" t="s">
        <v>7620</v>
      </c>
      <c r="F576" s="2" t="s">
        <v>7611</v>
      </c>
      <c r="G576" s="2" t="s">
        <v>7622</v>
      </c>
    </row>
    <row r="577" spans="1:7">
      <c r="A577" s="3">
        <v>19</v>
      </c>
      <c r="B577" s="3" t="s">
        <v>32</v>
      </c>
      <c r="C577" s="3">
        <v>209</v>
      </c>
      <c r="D577" s="3" t="s">
        <v>758</v>
      </c>
      <c r="E577" s="3" t="s">
        <v>7673</v>
      </c>
      <c r="F577" s="3" t="s">
        <v>7608</v>
      </c>
      <c r="G577" s="3" t="s">
        <v>7632</v>
      </c>
    </row>
    <row r="578" spans="1:7">
      <c r="A578" s="2">
        <v>19</v>
      </c>
      <c r="B578" s="2" t="s">
        <v>32</v>
      </c>
      <c r="C578" s="2">
        <v>221</v>
      </c>
      <c r="D578" s="2" t="s">
        <v>813</v>
      </c>
      <c r="E578" s="2" t="s">
        <v>7672</v>
      </c>
      <c r="F578" s="2" t="s">
        <v>7611</v>
      </c>
      <c r="G578" s="2" t="s">
        <v>7639</v>
      </c>
    </row>
    <row r="579" spans="1:7">
      <c r="A579" s="3">
        <v>19</v>
      </c>
      <c r="B579" s="3" t="s">
        <v>32</v>
      </c>
      <c r="C579" s="3">
        <v>264</v>
      </c>
      <c r="D579" s="3" t="s">
        <v>775</v>
      </c>
      <c r="E579" s="3" t="s">
        <v>7618</v>
      </c>
      <c r="F579" s="3" t="s">
        <v>7611</v>
      </c>
      <c r="G579" s="3" t="s">
        <v>7617</v>
      </c>
    </row>
    <row r="580" spans="1:7">
      <c r="A580" s="2">
        <v>19</v>
      </c>
      <c r="B580" s="2" t="s">
        <v>32</v>
      </c>
      <c r="C580" s="2">
        <v>341</v>
      </c>
      <c r="D580" s="2" t="s">
        <v>1052</v>
      </c>
      <c r="E580" s="2" t="s">
        <v>7620</v>
      </c>
      <c r="F580" s="2" t="s">
        <v>7611</v>
      </c>
      <c r="G580" s="2" t="s">
        <v>7621</v>
      </c>
    </row>
    <row r="581" spans="1:7">
      <c r="A581" s="3">
        <v>19</v>
      </c>
      <c r="B581" s="3" t="s">
        <v>32</v>
      </c>
      <c r="C581" s="3">
        <v>343</v>
      </c>
      <c r="D581" s="3" t="s">
        <v>977</v>
      </c>
      <c r="E581" s="3" t="s">
        <v>7620</v>
      </c>
      <c r="F581" s="3" t="s">
        <v>7611</v>
      </c>
      <c r="G581" s="3" t="s">
        <v>7621</v>
      </c>
    </row>
    <row r="582" spans="1:7">
      <c r="A582" s="2">
        <v>20</v>
      </c>
      <c r="B582" s="2" t="s">
        <v>141</v>
      </c>
      <c r="C582" s="2">
        <v>34</v>
      </c>
      <c r="D582" s="2" t="s">
        <v>160</v>
      </c>
      <c r="E582" s="2" t="s">
        <v>7616</v>
      </c>
      <c r="F582" s="2" t="s">
        <v>7608</v>
      </c>
      <c r="G582" s="2" t="s">
        <v>7633</v>
      </c>
    </row>
    <row r="583" spans="1:7">
      <c r="A583" s="3">
        <v>20</v>
      </c>
      <c r="B583" s="3" t="s">
        <v>141</v>
      </c>
      <c r="C583" s="3">
        <v>35</v>
      </c>
      <c r="D583" s="3" t="s">
        <v>155</v>
      </c>
      <c r="E583" s="3" t="s">
        <v>7616</v>
      </c>
      <c r="F583" s="3" t="s">
        <v>7608</v>
      </c>
      <c r="G583" s="3" t="s">
        <v>7633</v>
      </c>
    </row>
    <row r="584" spans="1:7">
      <c r="A584" s="2">
        <v>20</v>
      </c>
      <c r="B584" s="2" t="s">
        <v>141</v>
      </c>
      <c r="C584" s="2">
        <v>56</v>
      </c>
      <c r="D584" s="2" t="s">
        <v>12</v>
      </c>
      <c r="E584" s="2" t="s">
        <v>7616</v>
      </c>
      <c r="F584" s="2" t="s">
        <v>7650</v>
      </c>
      <c r="G584" s="2" t="s">
        <v>7609</v>
      </c>
    </row>
    <row r="585" spans="1:7">
      <c r="A585" s="3">
        <v>20</v>
      </c>
      <c r="B585" s="3" t="s">
        <v>141</v>
      </c>
      <c r="C585" s="3">
        <v>97</v>
      </c>
      <c r="D585" s="3" t="s">
        <v>457</v>
      </c>
      <c r="E585" s="3" t="s">
        <v>7620</v>
      </c>
      <c r="F585" s="3" t="s">
        <v>7650</v>
      </c>
      <c r="G585" s="3" t="s">
        <v>7625</v>
      </c>
    </row>
    <row r="586" spans="1:7">
      <c r="A586" s="2">
        <v>20</v>
      </c>
      <c r="B586" s="2" t="s">
        <v>141</v>
      </c>
      <c r="C586" s="2">
        <v>101</v>
      </c>
      <c r="D586" s="2" t="s">
        <v>395</v>
      </c>
      <c r="E586" s="2" t="s">
        <v>7620</v>
      </c>
      <c r="F586" s="2" t="s">
        <v>7650</v>
      </c>
      <c r="G586" s="2" t="s">
        <v>7625</v>
      </c>
    </row>
    <row r="587" spans="1:7">
      <c r="A587" s="3">
        <v>20</v>
      </c>
      <c r="B587" s="3" t="s">
        <v>141</v>
      </c>
      <c r="C587" s="3">
        <v>103</v>
      </c>
      <c r="D587" s="3" t="s">
        <v>384</v>
      </c>
      <c r="E587" s="3" t="s">
        <v>7620</v>
      </c>
      <c r="F587" s="3" t="s">
        <v>7650</v>
      </c>
      <c r="G587" s="3" t="s">
        <v>7625</v>
      </c>
    </row>
    <row r="588" spans="1:7">
      <c r="A588" s="2">
        <v>20</v>
      </c>
      <c r="B588" s="2" t="s">
        <v>141</v>
      </c>
      <c r="C588" s="2">
        <v>191</v>
      </c>
      <c r="D588" s="2" t="s">
        <v>719</v>
      </c>
      <c r="E588" s="2" t="s">
        <v>7620</v>
      </c>
      <c r="F588" s="2" t="s">
        <v>7650</v>
      </c>
      <c r="G588" s="2" t="s">
        <v>7625</v>
      </c>
    </row>
    <row r="589" spans="1:7">
      <c r="A589" s="3">
        <v>20</v>
      </c>
      <c r="B589" s="3" t="s">
        <v>141</v>
      </c>
      <c r="C589" s="3">
        <v>195</v>
      </c>
      <c r="D589" s="3" t="s">
        <v>734</v>
      </c>
      <c r="E589" s="3" t="s">
        <v>7620</v>
      </c>
      <c r="F589" s="3" t="s">
        <v>7650</v>
      </c>
      <c r="G589" s="3" t="s">
        <v>7625</v>
      </c>
    </row>
    <row r="590" spans="1:7">
      <c r="A590" s="2">
        <v>20</v>
      </c>
      <c r="B590" s="2" t="s">
        <v>141</v>
      </c>
      <c r="C590" s="2">
        <v>198</v>
      </c>
      <c r="D590" s="2" t="s">
        <v>698</v>
      </c>
      <c r="E590" s="2" t="s">
        <v>7620</v>
      </c>
      <c r="F590" s="2" t="s">
        <v>7650</v>
      </c>
      <c r="G590" s="2" t="s">
        <v>7625</v>
      </c>
    </row>
    <row r="591" spans="1:7">
      <c r="A591" s="3">
        <v>20</v>
      </c>
      <c r="B591" s="3" t="s">
        <v>141</v>
      </c>
      <c r="C591" s="3">
        <v>199</v>
      </c>
      <c r="D591" s="3" t="s">
        <v>702</v>
      </c>
      <c r="E591" s="3" t="s">
        <v>7620</v>
      </c>
      <c r="F591" s="3" t="s">
        <v>7650</v>
      </c>
      <c r="G591" s="3" t="s">
        <v>7625</v>
      </c>
    </row>
    <row r="592" spans="1:7">
      <c r="A592" s="2">
        <v>20</v>
      </c>
      <c r="B592" s="2" t="s">
        <v>141</v>
      </c>
      <c r="C592" s="2">
        <v>200</v>
      </c>
      <c r="D592" s="2" t="s">
        <v>707</v>
      </c>
      <c r="E592" s="2" t="s">
        <v>7620</v>
      </c>
      <c r="F592" s="2" t="s">
        <v>7650</v>
      </c>
      <c r="G592" s="2" t="s">
        <v>7625</v>
      </c>
    </row>
    <row r="593" spans="1:7">
      <c r="A593" s="3">
        <v>20</v>
      </c>
      <c r="B593" s="3" t="s">
        <v>141</v>
      </c>
      <c r="C593" s="3">
        <v>209</v>
      </c>
      <c r="D593" s="3" t="s">
        <v>758</v>
      </c>
      <c r="E593" s="3" t="s">
        <v>7620</v>
      </c>
      <c r="F593" s="3" t="s">
        <v>7650</v>
      </c>
      <c r="G593" s="3" t="s">
        <v>7625</v>
      </c>
    </row>
    <row r="594" spans="1:7">
      <c r="A594" s="2">
        <v>20</v>
      </c>
      <c r="B594" s="2" t="s">
        <v>141</v>
      </c>
      <c r="C594" s="2">
        <v>221</v>
      </c>
      <c r="D594" s="2" t="s">
        <v>813</v>
      </c>
      <c r="E594" s="2" t="s">
        <v>7616</v>
      </c>
      <c r="F594" s="2" t="s">
        <v>7650</v>
      </c>
      <c r="G594" s="2" t="s">
        <v>7617</v>
      </c>
    </row>
    <row r="595" spans="1:7">
      <c r="A595" s="3">
        <v>20</v>
      </c>
      <c r="B595" s="3" t="s">
        <v>141</v>
      </c>
      <c r="C595" s="3">
        <v>264</v>
      </c>
      <c r="D595" s="3" t="s">
        <v>775</v>
      </c>
      <c r="E595" s="3" t="s">
        <v>7620</v>
      </c>
      <c r="F595" s="3" t="s">
        <v>7650</v>
      </c>
      <c r="G595" s="3" t="s">
        <v>7625</v>
      </c>
    </row>
    <row r="596" spans="1:7">
      <c r="A596" s="2">
        <v>20</v>
      </c>
      <c r="B596" s="2" t="s">
        <v>141</v>
      </c>
      <c r="C596" s="2">
        <v>341</v>
      </c>
      <c r="D596" s="2" t="s">
        <v>1052</v>
      </c>
      <c r="E596" s="2" t="s">
        <v>7620</v>
      </c>
      <c r="F596" s="2" t="s">
        <v>7650</v>
      </c>
      <c r="G596" s="2" t="s">
        <v>7625</v>
      </c>
    </row>
    <row r="597" spans="1:7">
      <c r="A597" s="3">
        <v>20</v>
      </c>
      <c r="B597" s="3" t="s">
        <v>141</v>
      </c>
      <c r="C597" s="3">
        <v>343</v>
      </c>
      <c r="D597" s="3" t="s">
        <v>977</v>
      </c>
      <c r="E597" s="3" t="s">
        <v>7620</v>
      </c>
      <c r="F597" s="3" t="s">
        <v>7650</v>
      </c>
      <c r="G597" s="3" t="s">
        <v>7625</v>
      </c>
    </row>
    <row r="598" spans="1:7">
      <c r="A598" s="2">
        <v>21</v>
      </c>
      <c r="B598" s="2" t="s">
        <v>228</v>
      </c>
      <c r="C598" s="2">
        <v>34</v>
      </c>
      <c r="D598" s="2" t="s">
        <v>160</v>
      </c>
      <c r="E598" s="2" t="s">
        <v>7616</v>
      </c>
      <c r="F598" s="2" t="s">
        <v>7608</v>
      </c>
      <c r="G598" s="2" t="s">
        <v>7622</v>
      </c>
    </row>
    <row r="599" spans="1:7">
      <c r="A599" s="3">
        <v>21</v>
      </c>
      <c r="B599" s="3" t="s">
        <v>228</v>
      </c>
      <c r="C599" s="3">
        <v>35</v>
      </c>
      <c r="D599" s="3" t="s">
        <v>155</v>
      </c>
      <c r="E599" s="3" t="s">
        <v>7616</v>
      </c>
      <c r="F599" s="3" t="s">
        <v>7608</v>
      </c>
      <c r="G599" s="3" t="s">
        <v>7622</v>
      </c>
    </row>
    <row r="600" spans="1:7">
      <c r="A600" s="2">
        <v>21</v>
      </c>
      <c r="B600" s="2" t="s">
        <v>228</v>
      </c>
      <c r="C600" s="2">
        <v>56</v>
      </c>
      <c r="D600" s="2" t="s">
        <v>12</v>
      </c>
      <c r="E600" s="2" t="s">
        <v>7616</v>
      </c>
      <c r="F600" s="2" t="s">
        <v>7608</v>
      </c>
      <c r="G600" s="2" t="s">
        <v>7633</v>
      </c>
    </row>
    <row r="601" spans="1:7">
      <c r="A601" s="3">
        <v>21</v>
      </c>
      <c r="B601" s="3" t="s">
        <v>228</v>
      </c>
      <c r="C601" s="3">
        <v>103</v>
      </c>
      <c r="D601" s="3" t="s">
        <v>384</v>
      </c>
      <c r="E601" s="3" t="s">
        <v>7620</v>
      </c>
      <c r="F601" s="3" t="s">
        <v>7608</v>
      </c>
      <c r="G601" s="3" t="s">
        <v>7625</v>
      </c>
    </row>
    <row r="602" spans="1:7">
      <c r="A602" s="2">
        <v>21</v>
      </c>
      <c r="B602" s="2" t="s">
        <v>228</v>
      </c>
      <c r="C602" s="2">
        <v>195</v>
      </c>
      <c r="D602" s="2" t="s">
        <v>734</v>
      </c>
      <c r="E602" s="2" t="s">
        <v>7620</v>
      </c>
      <c r="F602" s="2" t="s">
        <v>7608</v>
      </c>
      <c r="G602" s="2" t="s">
        <v>7625</v>
      </c>
    </row>
    <row r="603" spans="1:7">
      <c r="A603" s="3">
        <v>21</v>
      </c>
      <c r="B603" s="3" t="s">
        <v>228</v>
      </c>
      <c r="C603" s="3">
        <v>198</v>
      </c>
      <c r="D603" s="3" t="s">
        <v>698</v>
      </c>
      <c r="E603" s="3" t="s">
        <v>7620</v>
      </c>
      <c r="F603" s="3" t="s">
        <v>7608</v>
      </c>
      <c r="G603" s="3" t="s">
        <v>7625</v>
      </c>
    </row>
    <row r="604" spans="1:7">
      <c r="A604" s="2">
        <v>21</v>
      </c>
      <c r="B604" s="2" t="s">
        <v>228</v>
      </c>
      <c r="C604" s="2">
        <v>200</v>
      </c>
      <c r="D604" s="2" t="s">
        <v>707</v>
      </c>
      <c r="E604" s="2" t="s">
        <v>7620</v>
      </c>
      <c r="F604" s="2" t="s">
        <v>7608</v>
      </c>
      <c r="G604" s="2" t="s">
        <v>7625</v>
      </c>
    </row>
    <row r="605" spans="1:7">
      <c r="A605" s="3">
        <v>21</v>
      </c>
      <c r="B605" s="3" t="s">
        <v>228</v>
      </c>
      <c r="C605" s="3">
        <v>209</v>
      </c>
      <c r="D605" s="3" t="s">
        <v>758</v>
      </c>
      <c r="E605" s="3" t="s">
        <v>7620</v>
      </c>
      <c r="F605" s="3" t="s">
        <v>7608</v>
      </c>
      <c r="G605" s="3" t="s">
        <v>7625</v>
      </c>
    </row>
    <row r="606" spans="1:7">
      <c r="A606" s="2">
        <v>21</v>
      </c>
      <c r="B606" s="2" t="s">
        <v>228</v>
      </c>
      <c r="C606" s="2">
        <v>221</v>
      </c>
      <c r="D606" s="2" t="s">
        <v>813</v>
      </c>
      <c r="E606" s="2" t="s">
        <v>7616</v>
      </c>
      <c r="F606" s="2" t="s">
        <v>7608</v>
      </c>
      <c r="G606" s="2" t="s">
        <v>7622</v>
      </c>
    </row>
    <row r="607" spans="1:7">
      <c r="A607" s="3">
        <v>22</v>
      </c>
      <c r="B607" s="3" t="s">
        <v>192</v>
      </c>
      <c r="C607" s="3">
        <v>34</v>
      </c>
      <c r="D607" s="3" t="s">
        <v>160</v>
      </c>
      <c r="E607" s="3" t="s">
        <v>7610</v>
      </c>
      <c r="F607" s="3" t="s">
        <v>7611</v>
      </c>
      <c r="G607" s="3" t="s">
        <v>7624</v>
      </c>
    </row>
    <row r="608" spans="1:7">
      <c r="A608" s="2">
        <v>22</v>
      </c>
      <c r="B608" s="2" t="s">
        <v>192</v>
      </c>
      <c r="C608" s="2">
        <v>35</v>
      </c>
      <c r="D608" s="2" t="s">
        <v>155</v>
      </c>
      <c r="E608" s="2" t="s">
        <v>7610</v>
      </c>
      <c r="F608" s="2" t="s">
        <v>7611</v>
      </c>
      <c r="G608" s="2" t="s">
        <v>7624</v>
      </c>
    </row>
    <row r="609" spans="1:7">
      <c r="A609" s="3">
        <v>22</v>
      </c>
      <c r="B609" s="3" t="s">
        <v>192</v>
      </c>
      <c r="C609" s="3">
        <v>56</v>
      </c>
      <c r="D609" s="3" t="s">
        <v>12</v>
      </c>
      <c r="E609" s="3" t="s">
        <v>7616</v>
      </c>
      <c r="F609" s="3" t="s">
        <v>7649</v>
      </c>
      <c r="G609" s="3" t="s">
        <v>7619</v>
      </c>
    </row>
    <row r="610" spans="1:7">
      <c r="A610" s="2">
        <v>22</v>
      </c>
      <c r="B610" s="2" t="s">
        <v>192</v>
      </c>
      <c r="C610" s="2">
        <v>97</v>
      </c>
      <c r="D610" s="2" t="s">
        <v>457</v>
      </c>
      <c r="E610" s="2" t="s">
        <v>7630</v>
      </c>
      <c r="F610" s="2" t="s">
        <v>7649</v>
      </c>
      <c r="G610" s="2" t="s">
        <v>7632</v>
      </c>
    </row>
    <row r="611" spans="1:7">
      <c r="A611" s="3">
        <v>22</v>
      </c>
      <c r="B611" s="3" t="s">
        <v>192</v>
      </c>
      <c r="C611" s="3">
        <v>101</v>
      </c>
      <c r="D611" s="3" t="s">
        <v>395</v>
      </c>
      <c r="E611" s="3" t="s">
        <v>7620</v>
      </c>
      <c r="F611" s="3" t="s">
        <v>7649</v>
      </c>
      <c r="G611" s="3" t="s">
        <v>7633</v>
      </c>
    </row>
    <row r="612" spans="1:7">
      <c r="A612" s="2">
        <v>22</v>
      </c>
      <c r="B612" s="2" t="s">
        <v>192</v>
      </c>
      <c r="C612" s="2">
        <v>103</v>
      </c>
      <c r="D612" s="2" t="s">
        <v>384</v>
      </c>
      <c r="E612" s="2" t="s">
        <v>7620</v>
      </c>
      <c r="F612" s="2" t="s">
        <v>7650</v>
      </c>
      <c r="G612" s="2" t="s">
        <v>7621</v>
      </c>
    </row>
    <row r="613" spans="1:7">
      <c r="A613" s="3">
        <v>22</v>
      </c>
      <c r="B613" s="3" t="s">
        <v>192</v>
      </c>
      <c r="C613" s="3">
        <v>189</v>
      </c>
      <c r="D613" s="3" t="s">
        <v>742</v>
      </c>
      <c r="E613" s="3" t="s">
        <v>7653</v>
      </c>
      <c r="F613" s="3" t="s">
        <v>7608</v>
      </c>
      <c r="G613" s="3" t="s">
        <v>7625</v>
      </c>
    </row>
    <row r="614" spans="1:7">
      <c r="A614" s="2">
        <v>22</v>
      </c>
      <c r="B614" s="2" t="s">
        <v>192</v>
      </c>
      <c r="C614" s="2">
        <v>191</v>
      </c>
      <c r="D614" s="2" t="s">
        <v>719</v>
      </c>
      <c r="E614" s="2" t="s">
        <v>7618</v>
      </c>
      <c r="F614" s="2" t="s">
        <v>7649</v>
      </c>
      <c r="G614" s="2" t="s">
        <v>7619</v>
      </c>
    </row>
    <row r="615" spans="1:7">
      <c r="A615" s="3">
        <v>22</v>
      </c>
      <c r="B615" s="3" t="s">
        <v>192</v>
      </c>
      <c r="C615" s="3">
        <v>195</v>
      </c>
      <c r="D615" s="3" t="s">
        <v>734</v>
      </c>
      <c r="E615" s="3" t="s">
        <v>7618</v>
      </c>
      <c r="F615" s="3" t="s">
        <v>7649</v>
      </c>
      <c r="G615" s="3" t="s">
        <v>7639</v>
      </c>
    </row>
    <row r="616" spans="1:7">
      <c r="A616" s="2">
        <v>22</v>
      </c>
      <c r="B616" s="2" t="s">
        <v>192</v>
      </c>
      <c r="C616" s="2">
        <v>198</v>
      </c>
      <c r="D616" s="2" t="s">
        <v>698</v>
      </c>
      <c r="E616" s="2" t="s">
        <v>7620</v>
      </c>
      <c r="F616" s="2" t="s">
        <v>7649</v>
      </c>
      <c r="G616" s="2" t="s">
        <v>7609</v>
      </c>
    </row>
    <row r="617" spans="1:7">
      <c r="A617" s="3">
        <v>22</v>
      </c>
      <c r="B617" s="3" t="s">
        <v>192</v>
      </c>
      <c r="C617" s="3">
        <v>199</v>
      </c>
      <c r="D617" s="3" t="s">
        <v>702</v>
      </c>
      <c r="E617" s="3" t="s">
        <v>7676</v>
      </c>
      <c r="F617" s="3" t="s">
        <v>7649</v>
      </c>
      <c r="G617" s="3" t="s">
        <v>7641</v>
      </c>
    </row>
    <row r="618" spans="1:7">
      <c r="A618" s="2">
        <v>22</v>
      </c>
      <c r="B618" s="2" t="s">
        <v>192</v>
      </c>
      <c r="C618" s="2">
        <v>200</v>
      </c>
      <c r="D618" s="2" t="s">
        <v>707</v>
      </c>
      <c r="E618" s="2" t="s">
        <v>7654</v>
      </c>
      <c r="F618" s="2" t="s">
        <v>7649</v>
      </c>
      <c r="G618" s="2" t="s">
        <v>7634</v>
      </c>
    </row>
    <row r="619" spans="1:7">
      <c r="A619" s="3">
        <v>22</v>
      </c>
      <c r="B619" s="3" t="s">
        <v>192</v>
      </c>
      <c r="C619" s="3">
        <v>205</v>
      </c>
      <c r="D619" s="3" t="s">
        <v>746</v>
      </c>
      <c r="E619" s="3" t="s">
        <v>7620</v>
      </c>
      <c r="F619" s="3" t="s">
        <v>7611</v>
      </c>
      <c r="G619" s="3" t="s">
        <v>7622</v>
      </c>
    </row>
    <row r="620" spans="1:7">
      <c r="A620" s="2">
        <v>22</v>
      </c>
      <c r="B620" s="2" t="s">
        <v>192</v>
      </c>
      <c r="C620" s="2">
        <v>207</v>
      </c>
      <c r="D620" s="2" t="s">
        <v>749</v>
      </c>
      <c r="E620" s="2" t="s">
        <v>7618</v>
      </c>
      <c r="F620" s="2" t="s">
        <v>7611</v>
      </c>
      <c r="G620" s="2" t="s">
        <v>7636</v>
      </c>
    </row>
    <row r="621" spans="1:7">
      <c r="A621" s="3">
        <v>22</v>
      </c>
      <c r="B621" s="3" t="s">
        <v>192</v>
      </c>
      <c r="C621" s="3">
        <v>208</v>
      </c>
      <c r="D621" s="3" t="s">
        <v>754</v>
      </c>
      <c r="E621" s="3" t="s">
        <v>7620</v>
      </c>
      <c r="F621" s="3" t="s">
        <v>7611</v>
      </c>
      <c r="G621" s="3" t="s">
        <v>7621</v>
      </c>
    </row>
    <row r="622" spans="1:7">
      <c r="A622" s="2">
        <v>22</v>
      </c>
      <c r="B622" s="2" t="s">
        <v>192</v>
      </c>
      <c r="C622" s="2">
        <v>209</v>
      </c>
      <c r="D622" s="2" t="s">
        <v>758</v>
      </c>
      <c r="E622" s="2" t="s">
        <v>7618</v>
      </c>
      <c r="F622" s="2" t="s">
        <v>7650</v>
      </c>
      <c r="G622" s="2" t="s">
        <v>7619</v>
      </c>
    </row>
    <row r="623" spans="1:7">
      <c r="A623" s="3">
        <v>22</v>
      </c>
      <c r="B623" s="3" t="s">
        <v>192</v>
      </c>
      <c r="C623" s="3">
        <v>221</v>
      </c>
      <c r="D623" s="3" t="s">
        <v>813</v>
      </c>
      <c r="E623" s="3" t="s">
        <v>7610</v>
      </c>
      <c r="F623" s="3" t="s">
        <v>7649</v>
      </c>
      <c r="G623" s="3" t="s">
        <v>7641</v>
      </c>
    </row>
    <row r="624" spans="1:7">
      <c r="A624" s="2">
        <v>22</v>
      </c>
      <c r="B624" s="2" t="s">
        <v>192</v>
      </c>
      <c r="C624" s="2">
        <v>264</v>
      </c>
      <c r="D624" s="2" t="s">
        <v>775</v>
      </c>
      <c r="E624" s="2" t="s">
        <v>7618</v>
      </c>
      <c r="F624" s="2" t="s">
        <v>7649</v>
      </c>
      <c r="G624" s="2" t="s">
        <v>7619</v>
      </c>
    </row>
    <row r="625" spans="1:7">
      <c r="A625" s="3">
        <v>22</v>
      </c>
      <c r="B625" s="3" t="s">
        <v>192</v>
      </c>
      <c r="C625" s="3">
        <v>341</v>
      </c>
      <c r="D625" s="3" t="s">
        <v>1052</v>
      </c>
      <c r="E625" s="3" t="s">
        <v>7620</v>
      </c>
      <c r="F625" s="3" t="s">
        <v>7649</v>
      </c>
      <c r="G625" s="3" t="s">
        <v>7633</v>
      </c>
    </row>
    <row r="626" spans="1:7">
      <c r="A626" s="2">
        <v>22</v>
      </c>
      <c r="B626" s="2" t="s">
        <v>192</v>
      </c>
      <c r="C626" s="2">
        <v>343</v>
      </c>
      <c r="D626" s="2" t="s">
        <v>977</v>
      </c>
      <c r="E626" s="2" t="s">
        <v>7620</v>
      </c>
      <c r="F626" s="2" t="s">
        <v>7649</v>
      </c>
      <c r="G626" s="2" t="s">
        <v>7622</v>
      </c>
    </row>
    <row r="627" spans="1:7">
      <c r="A627" s="3">
        <v>23</v>
      </c>
      <c r="B627" s="3" t="s">
        <v>192</v>
      </c>
      <c r="C627" s="3">
        <v>34</v>
      </c>
      <c r="D627" s="3" t="s">
        <v>160</v>
      </c>
      <c r="E627" s="3" t="s">
        <v>7610</v>
      </c>
      <c r="F627" s="3" t="s">
        <v>7611</v>
      </c>
      <c r="G627" s="3" t="s">
        <v>7624</v>
      </c>
    </row>
    <row r="628" spans="1:7">
      <c r="A628" s="2">
        <v>23</v>
      </c>
      <c r="B628" s="2" t="s">
        <v>192</v>
      </c>
      <c r="C628" s="2">
        <v>35</v>
      </c>
      <c r="D628" s="2" t="s">
        <v>155</v>
      </c>
      <c r="E628" s="2" t="s">
        <v>7610</v>
      </c>
      <c r="F628" s="2" t="s">
        <v>7611</v>
      </c>
      <c r="G628" s="2" t="s">
        <v>7624</v>
      </c>
    </row>
    <row r="629" spans="1:7">
      <c r="A629" s="3">
        <v>23</v>
      </c>
      <c r="B629" s="3" t="s">
        <v>192</v>
      </c>
      <c r="C629" s="3">
        <v>56</v>
      </c>
      <c r="D629" s="3" t="s">
        <v>12</v>
      </c>
      <c r="E629" s="3" t="s">
        <v>7616</v>
      </c>
      <c r="F629" s="3" t="s">
        <v>7649</v>
      </c>
      <c r="G629" s="3" t="s">
        <v>7619</v>
      </c>
    </row>
    <row r="630" spans="1:7">
      <c r="A630" s="2">
        <v>23</v>
      </c>
      <c r="B630" s="2" t="s">
        <v>192</v>
      </c>
      <c r="C630" s="2">
        <v>97</v>
      </c>
      <c r="D630" s="2" t="s">
        <v>457</v>
      </c>
      <c r="E630" s="2" t="s">
        <v>7630</v>
      </c>
      <c r="F630" s="2" t="s">
        <v>7649</v>
      </c>
      <c r="G630" s="2" t="s">
        <v>7632</v>
      </c>
    </row>
    <row r="631" spans="1:7">
      <c r="A631" s="3">
        <v>23</v>
      </c>
      <c r="B631" s="3" t="s">
        <v>192</v>
      </c>
      <c r="C631" s="3">
        <v>101</v>
      </c>
      <c r="D631" s="3" t="s">
        <v>395</v>
      </c>
      <c r="E631" s="3" t="s">
        <v>7620</v>
      </c>
      <c r="F631" s="3" t="s">
        <v>7649</v>
      </c>
      <c r="G631" s="3" t="s">
        <v>7633</v>
      </c>
    </row>
    <row r="632" spans="1:7">
      <c r="A632" s="2">
        <v>23</v>
      </c>
      <c r="B632" s="2" t="s">
        <v>192</v>
      </c>
      <c r="C632" s="2">
        <v>103</v>
      </c>
      <c r="D632" s="2" t="s">
        <v>384</v>
      </c>
      <c r="E632" s="2" t="s">
        <v>7620</v>
      </c>
      <c r="F632" s="2" t="s">
        <v>7650</v>
      </c>
      <c r="G632" s="2" t="s">
        <v>7621</v>
      </c>
    </row>
    <row r="633" spans="1:7">
      <c r="A633" s="3">
        <v>23</v>
      </c>
      <c r="B633" s="3" t="s">
        <v>192</v>
      </c>
      <c r="C633" s="3">
        <v>189</v>
      </c>
      <c r="D633" s="3" t="s">
        <v>742</v>
      </c>
      <c r="E633" s="3" t="s">
        <v>7653</v>
      </c>
      <c r="F633" s="3" t="s">
        <v>7608</v>
      </c>
      <c r="G633" s="3" t="s">
        <v>7625</v>
      </c>
    </row>
    <row r="634" spans="1:7">
      <c r="A634" s="2">
        <v>23</v>
      </c>
      <c r="B634" s="2" t="s">
        <v>192</v>
      </c>
      <c r="C634" s="2">
        <v>191</v>
      </c>
      <c r="D634" s="2" t="s">
        <v>719</v>
      </c>
      <c r="E634" s="2" t="s">
        <v>7618</v>
      </c>
      <c r="F634" s="2" t="s">
        <v>7649</v>
      </c>
      <c r="G634" s="2" t="s">
        <v>7619</v>
      </c>
    </row>
    <row r="635" spans="1:7">
      <c r="A635" s="3">
        <v>23</v>
      </c>
      <c r="B635" s="3" t="s">
        <v>192</v>
      </c>
      <c r="C635" s="3">
        <v>195</v>
      </c>
      <c r="D635" s="3" t="s">
        <v>734</v>
      </c>
      <c r="E635" s="3" t="s">
        <v>7618</v>
      </c>
      <c r="F635" s="3" t="s">
        <v>7649</v>
      </c>
      <c r="G635" s="3" t="s">
        <v>7639</v>
      </c>
    </row>
    <row r="636" spans="1:7">
      <c r="A636" s="2">
        <v>23</v>
      </c>
      <c r="B636" s="2" t="s">
        <v>192</v>
      </c>
      <c r="C636" s="2">
        <v>198</v>
      </c>
      <c r="D636" s="2" t="s">
        <v>698</v>
      </c>
      <c r="E636" s="2" t="s">
        <v>7620</v>
      </c>
      <c r="F636" s="2" t="s">
        <v>7649</v>
      </c>
      <c r="G636" s="2" t="s">
        <v>7609</v>
      </c>
    </row>
    <row r="637" spans="1:7">
      <c r="A637" s="3">
        <v>23</v>
      </c>
      <c r="B637" s="3" t="s">
        <v>192</v>
      </c>
      <c r="C637" s="3">
        <v>199</v>
      </c>
      <c r="D637" s="3" t="s">
        <v>702</v>
      </c>
      <c r="E637" s="3" t="s">
        <v>7676</v>
      </c>
      <c r="F637" s="3" t="s">
        <v>7649</v>
      </c>
      <c r="G637" s="3" t="s">
        <v>7641</v>
      </c>
    </row>
    <row r="638" spans="1:7">
      <c r="A638" s="2">
        <v>23</v>
      </c>
      <c r="B638" s="2" t="s">
        <v>192</v>
      </c>
      <c r="C638" s="2">
        <v>200</v>
      </c>
      <c r="D638" s="2" t="s">
        <v>707</v>
      </c>
      <c r="E638" s="2" t="s">
        <v>7654</v>
      </c>
      <c r="F638" s="2" t="s">
        <v>7649</v>
      </c>
      <c r="G638" s="2" t="s">
        <v>7634</v>
      </c>
    </row>
    <row r="639" spans="1:7">
      <c r="A639" s="3">
        <v>23</v>
      </c>
      <c r="B639" s="3" t="s">
        <v>192</v>
      </c>
      <c r="C639" s="3">
        <v>205</v>
      </c>
      <c r="D639" s="3" t="s">
        <v>746</v>
      </c>
      <c r="E639" s="3" t="s">
        <v>7620</v>
      </c>
      <c r="F639" s="3" t="s">
        <v>7611</v>
      </c>
      <c r="G639" s="3" t="s">
        <v>7622</v>
      </c>
    </row>
    <row r="640" spans="1:7">
      <c r="A640" s="2">
        <v>23</v>
      </c>
      <c r="B640" s="2" t="s">
        <v>192</v>
      </c>
      <c r="C640" s="2">
        <v>207</v>
      </c>
      <c r="D640" s="2" t="s">
        <v>749</v>
      </c>
      <c r="E640" s="2" t="s">
        <v>7618</v>
      </c>
      <c r="F640" s="2" t="s">
        <v>7611</v>
      </c>
      <c r="G640" s="2" t="s">
        <v>7636</v>
      </c>
    </row>
    <row r="641" spans="1:7">
      <c r="A641" s="3">
        <v>23</v>
      </c>
      <c r="B641" s="3" t="s">
        <v>192</v>
      </c>
      <c r="C641" s="3">
        <v>208</v>
      </c>
      <c r="D641" s="3" t="s">
        <v>754</v>
      </c>
      <c r="E641" s="3" t="s">
        <v>7620</v>
      </c>
      <c r="F641" s="3" t="s">
        <v>7611</v>
      </c>
      <c r="G641" s="3" t="s">
        <v>7621</v>
      </c>
    </row>
    <row r="642" spans="1:7">
      <c r="A642" s="2">
        <v>23</v>
      </c>
      <c r="B642" s="2" t="s">
        <v>192</v>
      </c>
      <c r="C642" s="2">
        <v>209</v>
      </c>
      <c r="D642" s="2" t="s">
        <v>758</v>
      </c>
      <c r="E642" s="2" t="s">
        <v>7618</v>
      </c>
      <c r="F642" s="2" t="s">
        <v>7650</v>
      </c>
      <c r="G642" s="2" t="s">
        <v>7619</v>
      </c>
    </row>
    <row r="643" spans="1:7">
      <c r="A643" s="3">
        <v>23</v>
      </c>
      <c r="B643" s="3" t="s">
        <v>192</v>
      </c>
      <c r="C643" s="3">
        <v>221</v>
      </c>
      <c r="D643" s="3" t="s">
        <v>813</v>
      </c>
      <c r="E643" s="3" t="s">
        <v>7610</v>
      </c>
      <c r="F643" s="3" t="s">
        <v>7649</v>
      </c>
      <c r="G643" s="3" t="s">
        <v>7641</v>
      </c>
    </row>
    <row r="644" spans="1:7">
      <c r="A644" s="2">
        <v>23</v>
      </c>
      <c r="B644" s="2" t="s">
        <v>192</v>
      </c>
      <c r="C644" s="2">
        <v>264</v>
      </c>
      <c r="D644" s="2" t="s">
        <v>775</v>
      </c>
      <c r="E644" s="2" t="s">
        <v>7618</v>
      </c>
      <c r="F644" s="2" t="s">
        <v>7649</v>
      </c>
      <c r="G644" s="2" t="s">
        <v>7619</v>
      </c>
    </row>
    <row r="645" spans="1:7">
      <c r="A645" s="3">
        <v>23</v>
      </c>
      <c r="B645" s="3" t="s">
        <v>192</v>
      </c>
      <c r="C645" s="3">
        <v>341</v>
      </c>
      <c r="D645" s="3" t="s">
        <v>1052</v>
      </c>
      <c r="E645" s="3" t="s">
        <v>7620</v>
      </c>
      <c r="F645" s="3" t="s">
        <v>7649</v>
      </c>
      <c r="G645" s="3" t="s">
        <v>7633</v>
      </c>
    </row>
    <row r="646" spans="1:7">
      <c r="A646" s="2">
        <v>23</v>
      </c>
      <c r="B646" s="2" t="s">
        <v>192</v>
      </c>
      <c r="C646" s="2">
        <v>343</v>
      </c>
      <c r="D646" s="2" t="s">
        <v>977</v>
      </c>
      <c r="E646" s="2" t="s">
        <v>7620</v>
      </c>
      <c r="F646" s="2" t="s">
        <v>7649</v>
      </c>
      <c r="G646" s="2" t="s">
        <v>7622</v>
      </c>
    </row>
    <row r="647" spans="1:7">
      <c r="A647" s="3">
        <v>24</v>
      </c>
      <c r="B647" s="3" t="s">
        <v>172</v>
      </c>
      <c r="C647" s="3">
        <v>34</v>
      </c>
      <c r="D647" s="3" t="s">
        <v>160</v>
      </c>
      <c r="E647" s="3" t="s">
        <v>7610</v>
      </c>
      <c r="F647" s="3" t="s">
        <v>7611</v>
      </c>
      <c r="G647" s="3" t="s">
        <v>7639</v>
      </c>
    </row>
    <row r="648" spans="1:7">
      <c r="A648" s="2">
        <v>24</v>
      </c>
      <c r="B648" s="2" t="s">
        <v>172</v>
      </c>
      <c r="C648" s="2">
        <v>35</v>
      </c>
      <c r="D648" s="2" t="s">
        <v>155</v>
      </c>
      <c r="E648" s="2" t="s">
        <v>7610</v>
      </c>
      <c r="F648" s="2" t="s">
        <v>7611</v>
      </c>
      <c r="G648" s="2" t="s">
        <v>7639</v>
      </c>
    </row>
    <row r="649" spans="1:7">
      <c r="A649" s="3">
        <v>24</v>
      </c>
      <c r="B649" s="3" t="s">
        <v>172</v>
      </c>
      <c r="C649" s="3">
        <v>56</v>
      </c>
      <c r="D649" s="3" t="s">
        <v>12</v>
      </c>
      <c r="E649" s="3" t="s">
        <v>7616</v>
      </c>
      <c r="F649" s="3" t="s">
        <v>7649</v>
      </c>
      <c r="G649" s="3" t="s">
        <v>7619</v>
      </c>
    </row>
    <row r="650" spans="1:7">
      <c r="A650" s="2">
        <v>24</v>
      </c>
      <c r="B650" s="2" t="s">
        <v>172</v>
      </c>
      <c r="C650" s="2">
        <v>97</v>
      </c>
      <c r="D650" s="2" t="s">
        <v>457</v>
      </c>
      <c r="E650" s="2" t="s">
        <v>7630</v>
      </c>
      <c r="F650" s="2" t="s">
        <v>7649</v>
      </c>
      <c r="G650" s="2" t="s">
        <v>7619</v>
      </c>
    </row>
    <row r="651" spans="1:7">
      <c r="A651" s="3">
        <v>24</v>
      </c>
      <c r="B651" s="3" t="s">
        <v>172</v>
      </c>
      <c r="C651" s="3">
        <v>101</v>
      </c>
      <c r="D651" s="3" t="s">
        <v>395</v>
      </c>
      <c r="E651" s="3" t="s">
        <v>7620</v>
      </c>
      <c r="F651" s="3" t="s">
        <v>7649</v>
      </c>
      <c r="G651" s="3" t="s">
        <v>7633</v>
      </c>
    </row>
    <row r="652" spans="1:7">
      <c r="A652" s="2">
        <v>24</v>
      </c>
      <c r="B652" s="2" t="s">
        <v>172</v>
      </c>
      <c r="C652" s="2">
        <v>103</v>
      </c>
      <c r="D652" s="2" t="s">
        <v>384</v>
      </c>
      <c r="E652" s="2" t="s">
        <v>7620</v>
      </c>
      <c r="F652" s="2" t="s">
        <v>7650</v>
      </c>
      <c r="G652" s="2" t="s">
        <v>7625</v>
      </c>
    </row>
    <row r="653" spans="1:7">
      <c r="A653" s="3">
        <v>24</v>
      </c>
      <c r="B653" s="3" t="s">
        <v>172</v>
      </c>
      <c r="C653" s="3">
        <v>191</v>
      </c>
      <c r="D653" s="3" t="s">
        <v>719</v>
      </c>
      <c r="E653" s="3" t="s">
        <v>7618</v>
      </c>
      <c r="F653" s="3" t="s">
        <v>7649</v>
      </c>
      <c r="G653" s="3" t="s">
        <v>7634</v>
      </c>
    </row>
    <row r="654" spans="1:7">
      <c r="A654" s="2">
        <v>24</v>
      </c>
      <c r="B654" s="2" t="s">
        <v>172</v>
      </c>
      <c r="C654" s="2">
        <v>195</v>
      </c>
      <c r="D654" s="2" t="s">
        <v>734</v>
      </c>
      <c r="E654" s="2" t="s">
        <v>7630</v>
      </c>
      <c r="F654" s="2" t="s">
        <v>7649</v>
      </c>
      <c r="G654" s="2" t="s">
        <v>7639</v>
      </c>
    </row>
    <row r="655" spans="1:7">
      <c r="A655" s="3">
        <v>24</v>
      </c>
      <c r="B655" s="3" t="s">
        <v>172</v>
      </c>
      <c r="C655" s="3">
        <v>198</v>
      </c>
      <c r="D655" s="3" t="s">
        <v>698</v>
      </c>
      <c r="E655" s="3" t="s">
        <v>7620</v>
      </c>
      <c r="F655" s="3" t="s">
        <v>7649</v>
      </c>
      <c r="G655" s="3" t="s">
        <v>7633</v>
      </c>
    </row>
    <row r="656" spans="1:7">
      <c r="A656" s="2">
        <v>24</v>
      </c>
      <c r="B656" s="2" t="s">
        <v>172</v>
      </c>
      <c r="C656" s="2">
        <v>199</v>
      </c>
      <c r="D656" s="2" t="s">
        <v>702</v>
      </c>
      <c r="E656" s="2" t="s">
        <v>7630</v>
      </c>
      <c r="F656" s="2" t="s">
        <v>7649</v>
      </c>
      <c r="G656" s="2" t="s">
        <v>7634</v>
      </c>
    </row>
    <row r="657" spans="1:7">
      <c r="A657" s="3">
        <v>24</v>
      </c>
      <c r="B657" s="3" t="s">
        <v>172</v>
      </c>
      <c r="C657" s="3">
        <v>200</v>
      </c>
      <c r="D657" s="3" t="s">
        <v>707</v>
      </c>
      <c r="E657" s="3" t="s">
        <v>7620</v>
      </c>
      <c r="F657" s="3" t="s">
        <v>7649</v>
      </c>
      <c r="G657" s="3" t="s">
        <v>7622</v>
      </c>
    </row>
    <row r="658" spans="1:7">
      <c r="A658" s="2">
        <v>24</v>
      </c>
      <c r="B658" s="2" t="s">
        <v>172</v>
      </c>
      <c r="C658" s="2">
        <v>205</v>
      </c>
      <c r="D658" s="2" t="s">
        <v>746</v>
      </c>
      <c r="E658" s="2" t="s">
        <v>7620</v>
      </c>
      <c r="F658" s="2" t="s">
        <v>7611</v>
      </c>
      <c r="G658" s="2" t="s">
        <v>7621</v>
      </c>
    </row>
    <row r="659" spans="1:7">
      <c r="A659" s="3">
        <v>24</v>
      </c>
      <c r="B659" s="3" t="s">
        <v>172</v>
      </c>
      <c r="C659" s="3">
        <v>207</v>
      </c>
      <c r="D659" s="3" t="s">
        <v>749</v>
      </c>
      <c r="E659" s="3" t="s">
        <v>7630</v>
      </c>
      <c r="F659" s="3" t="s">
        <v>7611</v>
      </c>
      <c r="G659" s="3" t="s">
        <v>7636</v>
      </c>
    </row>
    <row r="660" spans="1:7">
      <c r="A660" s="2">
        <v>24</v>
      </c>
      <c r="B660" s="2" t="s">
        <v>172</v>
      </c>
      <c r="C660" s="2">
        <v>208</v>
      </c>
      <c r="D660" s="2" t="s">
        <v>754</v>
      </c>
      <c r="E660" s="2" t="s">
        <v>7620</v>
      </c>
      <c r="F660" s="2" t="s">
        <v>7611</v>
      </c>
      <c r="G660" s="2" t="s">
        <v>7622</v>
      </c>
    </row>
    <row r="661" spans="1:7">
      <c r="A661" s="3">
        <v>24</v>
      </c>
      <c r="B661" s="3" t="s">
        <v>172</v>
      </c>
      <c r="C661" s="3">
        <v>209</v>
      </c>
      <c r="D661" s="3" t="s">
        <v>758</v>
      </c>
      <c r="E661" s="3" t="s">
        <v>7630</v>
      </c>
      <c r="F661" s="3" t="s">
        <v>7650</v>
      </c>
      <c r="G661" s="3" t="s">
        <v>7636</v>
      </c>
    </row>
    <row r="662" spans="1:7">
      <c r="A662" s="2">
        <v>24</v>
      </c>
      <c r="B662" s="2" t="s">
        <v>172</v>
      </c>
      <c r="C662" s="2">
        <v>221</v>
      </c>
      <c r="D662" s="2" t="s">
        <v>813</v>
      </c>
      <c r="E662" s="2" t="s">
        <v>7610</v>
      </c>
      <c r="F662" s="2" t="s">
        <v>7649</v>
      </c>
      <c r="G662" s="2" t="s">
        <v>7632</v>
      </c>
    </row>
    <row r="663" spans="1:7">
      <c r="A663" s="3">
        <v>24</v>
      </c>
      <c r="B663" s="3" t="s">
        <v>172</v>
      </c>
      <c r="C663" s="3">
        <v>264</v>
      </c>
      <c r="D663" s="3" t="s">
        <v>775</v>
      </c>
      <c r="E663" s="3" t="s">
        <v>7630</v>
      </c>
      <c r="F663" s="3" t="s">
        <v>7649</v>
      </c>
      <c r="G663" s="3" t="s">
        <v>7619</v>
      </c>
    </row>
    <row r="664" spans="1:7">
      <c r="A664" s="2">
        <v>24</v>
      </c>
      <c r="B664" s="2" t="s">
        <v>172</v>
      </c>
      <c r="C664" s="2">
        <v>341</v>
      </c>
      <c r="D664" s="2" t="s">
        <v>1052</v>
      </c>
      <c r="E664" s="2" t="s">
        <v>7620</v>
      </c>
      <c r="F664" s="2" t="s">
        <v>7649</v>
      </c>
      <c r="G664" s="2" t="s">
        <v>7609</v>
      </c>
    </row>
    <row r="665" spans="1:7">
      <c r="A665" s="3">
        <v>24</v>
      </c>
      <c r="B665" s="3" t="s">
        <v>172</v>
      </c>
      <c r="C665" s="3">
        <v>343</v>
      </c>
      <c r="D665" s="3" t="s">
        <v>977</v>
      </c>
      <c r="E665" s="3" t="s">
        <v>7620</v>
      </c>
      <c r="F665" s="3" t="s">
        <v>7649</v>
      </c>
      <c r="G665" s="3" t="s">
        <v>7622</v>
      </c>
    </row>
    <row r="666" spans="1:7">
      <c r="A666" s="2">
        <v>25</v>
      </c>
      <c r="B666" s="2" t="s">
        <v>180</v>
      </c>
      <c r="C666" s="2">
        <v>34</v>
      </c>
      <c r="D666" s="2" t="s">
        <v>160</v>
      </c>
      <c r="E666" s="2" t="s">
        <v>7613</v>
      </c>
      <c r="F666" s="2" t="s">
        <v>7611</v>
      </c>
      <c r="G666" s="2" t="s">
        <v>7614</v>
      </c>
    </row>
    <row r="667" spans="1:7">
      <c r="A667" s="3">
        <v>25</v>
      </c>
      <c r="B667" s="3" t="s">
        <v>180</v>
      </c>
      <c r="C667" s="3">
        <v>35</v>
      </c>
      <c r="D667" s="3" t="s">
        <v>155</v>
      </c>
      <c r="E667" s="3" t="s">
        <v>7613</v>
      </c>
      <c r="F667" s="3" t="s">
        <v>7611</v>
      </c>
      <c r="G667" s="3" t="s">
        <v>7614</v>
      </c>
    </row>
    <row r="668" spans="1:7">
      <c r="A668" s="2">
        <v>25</v>
      </c>
      <c r="B668" s="2" t="s">
        <v>180</v>
      </c>
      <c r="C668" s="2">
        <v>56</v>
      </c>
      <c r="D668" s="2" t="s">
        <v>12</v>
      </c>
      <c r="E668" s="2" t="s">
        <v>7616</v>
      </c>
      <c r="F668" s="2" t="s">
        <v>7611</v>
      </c>
      <c r="G668" s="2" t="s">
        <v>7617</v>
      </c>
    </row>
    <row r="669" spans="1:7">
      <c r="A669" s="3">
        <v>25</v>
      </c>
      <c r="B669" s="3" t="s">
        <v>180</v>
      </c>
      <c r="C669" s="3">
        <v>97</v>
      </c>
      <c r="D669" s="3" t="s">
        <v>457</v>
      </c>
      <c r="E669" s="3" t="s">
        <v>7618</v>
      </c>
      <c r="F669" s="3" t="s">
        <v>7611</v>
      </c>
      <c r="G669" s="3" t="s">
        <v>7636</v>
      </c>
    </row>
    <row r="670" spans="1:7">
      <c r="A670" s="2">
        <v>25</v>
      </c>
      <c r="B670" s="2" t="s">
        <v>180</v>
      </c>
      <c r="C670" s="2">
        <v>101</v>
      </c>
      <c r="D670" s="2" t="s">
        <v>395</v>
      </c>
      <c r="E670" s="2" t="s">
        <v>7620</v>
      </c>
      <c r="F670" s="2" t="s">
        <v>7611</v>
      </c>
      <c r="G670" s="2" t="s">
        <v>7621</v>
      </c>
    </row>
    <row r="671" spans="1:7">
      <c r="A671" s="3">
        <v>25</v>
      </c>
      <c r="B671" s="3" t="s">
        <v>180</v>
      </c>
      <c r="C671" s="3">
        <v>191</v>
      </c>
      <c r="D671" s="3" t="s">
        <v>719</v>
      </c>
      <c r="E671" s="3" t="s">
        <v>7618</v>
      </c>
      <c r="F671" s="3" t="s">
        <v>7611</v>
      </c>
      <c r="G671" s="3" t="s">
        <v>7617</v>
      </c>
    </row>
    <row r="672" spans="1:7">
      <c r="A672" s="2">
        <v>25</v>
      </c>
      <c r="B672" s="2" t="s">
        <v>180</v>
      </c>
      <c r="C672" s="2">
        <v>195</v>
      </c>
      <c r="D672" s="2" t="s">
        <v>734</v>
      </c>
      <c r="E672" s="2" t="s">
        <v>7618</v>
      </c>
      <c r="F672" s="2" t="s">
        <v>7611</v>
      </c>
      <c r="G672" s="2" t="s">
        <v>7617</v>
      </c>
    </row>
    <row r="673" spans="1:7">
      <c r="A673" s="3">
        <v>25</v>
      </c>
      <c r="B673" s="3" t="s">
        <v>180</v>
      </c>
      <c r="C673" s="3">
        <v>198</v>
      </c>
      <c r="D673" s="3" t="s">
        <v>698</v>
      </c>
      <c r="E673" s="3" t="s">
        <v>7620</v>
      </c>
      <c r="F673" s="3" t="s">
        <v>7611</v>
      </c>
      <c r="G673" s="3" t="s">
        <v>7621</v>
      </c>
    </row>
    <row r="674" spans="1:7">
      <c r="A674" s="2">
        <v>25</v>
      </c>
      <c r="B674" s="2" t="s">
        <v>180</v>
      </c>
      <c r="C674" s="2">
        <v>199</v>
      </c>
      <c r="D674" s="2" t="s">
        <v>702</v>
      </c>
      <c r="E674" s="2" t="s">
        <v>7618</v>
      </c>
      <c r="F674" s="2" t="s">
        <v>7611</v>
      </c>
      <c r="G674" s="2" t="s">
        <v>7617</v>
      </c>
    </row>
    <row r="675" spans="1:7">
      <c r="A675" s="3">
        <v>25</v>
      </c>
      <c r="B675" s="3" t="s">
        <v>180</v>
      </c>
      <c r="C675" s="3">
        <v>200</v>
      </c>
      <c r="D675" s="3" t="s">
        <v>707</v>
      </c>
      <c r="E675" s="3" t="s">
        <v>7620</v>
      </c>
      <c r="F675" s="3" t="s">
        <v>7611</v>
      </c>
      <c r="G675" s="3" t="s">
        <v>7625</v>
      </c>
    </row>
    <row r="676" spans="1:7">
      <c r="A676" s="2">
        <v>25</v>
      </c>
      <c r="B676" s="2" t="s">
        <v>180</v>
      </c>
      <c r="C676" s="2">
        <v>205</v>
      </c>
      <c r="D676" s="2" t="s">
        <v>746</v>
      </c>
      <c r="E676" s="2" t="s">
        <v>7620</v>
      </c>
      <c r="F676" s="2" t="s">
        <v>7611</v>
      </c>
      <c r="G676" s="2" t="s">
        <v>7621</v>
      </c>
    </row>
    <row r="677" spans="1:7">
      <c r="A677" s="3">
        <v>25</v>
      </c>
      <c r="B677" s="3" t="s">
        <v>180</v>
      </c>
      <c r="C677" s="3">
        <v>207</v>
      </c>
      <c r="D677" s="3" t="s">
        <v>749</v>
      </c>
      <c r="E677" s="3" t="s">
        <v>7623</v>
      </c>
      <c r="F677" s="3" t="s">
        <v>7611</v>
      </c>
      <c r="G677" s="3" t="s">
        <v>7639</v>
      </c>
    </row>
    <row r="678" spans="1:7">
      <c r="A678" s="2">
        <v>25</v>
      </c>
      <c r="B678" s="2" t="s">
        <v>180</v>
      </c>
      <c r="C678" s="2">
        <v>208</v>
      </c>
      <c r="D678" s="2" t="s">
        <v>754</v>
      </c>
      <c r="E678" s="2" t="s">
        <v>7620</v>
      </c>
      <c r="F678" s="2" t="s">
        <v>7611</v>
      </c>
      <c r="G678" s="2" t="s">
        <v>7621</v>
      </c>
    </row>
    <row r="679" spans="1:7">
      <c r="A679" s="3">
        <v>25</v>
      </c>
      <c r="B679" s="3" t="s">
        <v>180</v>
      </c>
      <c r="C679" s="3">
        <v>209</v>
      </c>
      <c r="D679" s="3" t="s">
        <v>758</v>
      </c>
      <c r="E679" s="3" t="s">
        <v>7618</v>
      </c>
      <c r="F679" s="3" t="s">
        <v>7608</v>
      </c>
      <c r="G679" s="3" t="s">
        <v>7633</v>
      </c>
    </row>
    <row r="680" spans="1:7">
      <c r="A680" s="2">
        <v>25</v>
      </c>
      <c r="B680" s="2" t="s">
        <v>180</v>
      </c>
      <c r="C680" s="2">
        <v>221</v>
      </c>
      <c r="D680" s="2" t="s">
        <v>813</v>
      </c>
      <c r="E680" s="2" t="s">
        <v>7613</v>
      </c>
      <c r="F680" s="2" t="s">
        <v>7611</v>
      </c>
      <c r="G680" s="2" t="s">
        <v>7629</v>
      </c>
    </row>
    <row r="681" spans="1:7">
      <c r="A681" s="3">
        <v>25</v>
      </c>
      <c r="B681" s="3" t="s">
        <v>180</v>
      </c>
      <c r="C681" s="3">
        <v>264</v>
      </c>
      <c r="D681" s="3" t="s">
        <v>775</v>
      </c>
      <c r="E681" s="3" t="s">
        <v>7618</v>
      </c>
      <c r="F681" s="3" t="s">
        <v>7611</v>
      </c>
      <c r="G681" s="3" t="s">
        <v>7617</v>
      </c>
    </row>
    <row r="682" spans="1:7">
      <c r="A682" s="2">
        <v>25</v>
      </c>
      <c r="B682" s="2" t="s">
        <v>180</v>
      </c>
      <c r="C682" s="2">
        <v>341</v>
      </c>
      <c r="D682" s="2" t="s">
        <v>1052</v>
      </c>
      <c r="E682" s="2" t="s">
        <v>7620</v>
      </c>
      <c r="F682" s="2" t="s">
        <v>7611</v>
      </c>
      <c r="G682" s="2" t="s">
        <v>7621</v>
      </c>
    </row>
    <row r="683" spans="1:7">
      <c r="A683" s="3">
        <v>25</v>
      </c>
      <c r="B683" s="3" t="s">
        <v>180</v>
      </c>
      <c r="C683" s="3">
        <v>343</v>
      </c>
      <c r="D683" s="3" t="s">
        <v>977</v>
      </c>
      <c r="E683" s="3" t="s">
        <v>7620</v>
      </c>
      <c r="F683" s="3" t="s">
        <v>7611</v>
      </c>
      <c r="G683" s="3" t="s">
        <v>7625</v>
      </c>
    </row>
    <row r="684" spans="1:7">
      <c r="A684" s="2">
        <v>26</v>
      </c>
      <c r="B684" s="2" t="s">
        <v>35</v>
      </c>
      <c r="C684" s="2">
        <v>34</v>
      </c>
      <c r="D684" s="2" t="s">
        <v>160</v>
      </c>
      <c r="E684" s="2" t="s">
        <v>7643</v>
      </c>
      <c r="F684" s="2" t="s">
        <v>7677</v>
      </c>
      <c r="G684" s="2" t="s">
        <v>7633</v>
      </c>
    </row>
    <row r="685" spans="1:7">
      <c r="A685" s="3">
        <v>26</v>
      </c>
      <c r="B685" s="3" t="s">
        <v>35</v>
      </c>
      <c r="C685" s="3">
        <v>35</v>
      </c>
      <c r="D685" s="3" t="s">
        <v>155</v>
      </c>
      <c r="E685" s="3" t="s">
        <v>7643</v>
      </c>
      <c r="F685" s="3" t="s">
        <v>7635</v>
      </c>
      <c r="G685" s="3" t="s">
        <v>7621</v>
      </c>
    </row>
    <row r="686" spans="1:7">
      <c r="A686" s="2">
        <v>26</v>
      </c>
      <c r="B686" s="2" t="s">
        <v>35</v>
      </c>
      <c r="C686" s="2">
        <v>56</v>
      </c>
      <c r="D686" s="2" t="s">
        <v>12</v>
      </c>
      <c r="E686" s="2" t="s">
        <v>7643</v>
      </c>
      <c r="F686" s="2" t="s">
        <v>7652</v>
      </c>
      <c r="G686" s="2" t="s">
        <v>7622</v>
      </c>
    </row>
    <row r="687" spans="1:7">
      <c r="A687" s="3">
        <v>26</v>
      </c>
      <c r="B687" s="3" t="s">
        <v>35</v>
      </c>
      <c r="C687" s="3">
        <v>101</v>
      </c>
      <c r="D687" s="3" t="s">
        <v>395</v>
      </c>
      <c r="E687" s="3" t="s">
        <v>7608</v>
      </c>
      <c r="F687" s="3" t="s">
        <v>7678</v>
      </c>
      <c r="G687" s="3" t="s">
        <v>7621</v>
      </c>
    </row>
    <row r="688" spans="1:7">
      <c r="A688" s="2">
        <v>26</v>
      </c>
      <c r="B688" s="2" t="s">
        <v>35</v>
      </c>
      <c r="C688" s="2">
        <v>197</v>
      </c>
      <c r="D688" s="2" t="s">
        <v>690</v>
      </c>
      <c r="E688" s="2" t="s">
        <v>7608</v>
      </c>
      <c r="F688" s="2" t="s">
        <v>7678</v>
      </c>
      <c r="G688" s="2" t="s">
        <v>7621</v>
      </c>
    </row>
    <row r="689" spans="1:7">
      <c r="A689" s="3">
        <v>26</v>
      </c>
      <c r="B689" s="3" t="s">
        <v>35</v>
      </c>
      <c r="C689" s="3">
        <v>199</v>
      </c>
      <c r="D689" s="3" t="s">
        <v>702</v>
      </c>
      <c r="E689" s="3" t="s">
        <v>7608</v>
      </c>
      <c r="F689" s="3" t="s">
        <v>7678</v>
      </c>
      <c r="G689" s="3" t="s">
        <v>7625</v>
      </c>
    </row>
    <row r="690" spans="1:7">
      <c r="A690" s="2">
        <v>26</v>
      </c>
      <c r="B690" s="2" t="s">
        <v>35</v>
      </c>
      <c r="C690" s="2">
        <v>202</v>
      </c>
      <c r="D690" s="2" t="s">
        <v>712</v>
      </c>
      <c r="E690" s="2" t="s">
        <v>7608</v>
      </c>
      <c r="F690" s="2" t="s">
        <v>7678</v>
      </c>
      <c r="G690" s="2" t="s">
        <v>7625</v>
      </c>
    </row>
    <row r="691" spans="1:7">
      <c r="A691" s="3">
        <v>26</v>
      </c>
      <c r="B691" s="3" t="s">
        <v>35</v>
      </c>
      <c r="C691" s="3">
        <v>209</v>
      </c>
      <c r="D691" s="3" t="s">
        <v>758</v>
      </c>
      <c r="E691" s="3" t="s">
        <v>7608</v>
      </c>
      <c r="F691" s="3" t="s">
        <v>7678</v>
      </c>
      <c r="G691" s="3" t="s">
        <v>7625</v>
      </c>
    </row>
    <row r="692" spans="1:7">
      <c r="A692" s="2">
        <v>26</v>
      </c>
      <c r="B692" s="2" t="s">
        <v>35</v>
      </c>
      <c r="C692" s="2">
        <v>221</v>
      </c>
      <c r="D692" s="2" t="s">
        <v>813</v>
      </c>
      <c r="E692" s="2" t="s">
        <v>7643</v>
      </c>
      <c r="F692" s="2" t="s">
        <v>7650</v>
      </c>
      <c r="G692" s="2" t="s">
        <v>7625</v>
      </c>
    </row>
    <row r="693" spans="1:7">
      <c r="A693" s="3">
        <v>26</v>
      </c>
      <c r="B693" s="3" t="s">
        <v>35</v>
      </c>
      <c r="C693" s="3">
        <v>311</v>
      </c>
      <c r="D693" s="3" t="s">
        <v>954</v>
      </c>
      <c r="E693" s="3" t="s">
        <v>7608</v>
      </c>
      <c r="F693" s="3" t="s">
        <v>7677</v>
      </c>
      <c r="G693" s="3" t="s">
        <v>7625</v>
      </c>
    </row>
    <row r="694" spans="1:7">
      <c r="A694" s="2">
        <v>26</v>
      </c>
      <c r="B694" s="2" t="s">
        <v>35</v>
      </c>
      <c r="C694" s="2">
        <v>320</v>
      </c>
      <c r="D694" s="2" t="s">
        <v>1039</v>
      </c>
      <c r="E694" s="2" t="s">
        <v>7608</v>
      </c>
      <c r="F694" s="2" t="s">
        <v>7678</v>
      </c>
      <c r="G694" s="2" t="s">
        <v>7625</v>
      </c>
    </row>
    <row r="695" spans="1:7">
      <c r="A695" s="3">
        <v>27</v>
      </c>
      <c r="B695" s="3" t="s">
        <v>226</v>
      </c>
      <c r="C695" s="3">
        <v>34</v>
      </c>
      <c r="D695" s="3" t="s">
        <v>160</v>
      </c>
      <c r="E695" s="3" t="s">
        <v>7616</v>
      </c>
      <c r="F695" s="3" t="s">
        <v>7608</v>
      </c>
      <c r="G695" s="3" t="s">
        <v>7633</v>
      </c>
    </row>
    <row r="696" spans="1:7">
      <c r="A696" s="2">
        <v>27</v>
      </c>
      <c r="B696" s="2" t="s">
        <v>226</v>
      </c>
      <c r="C696" s="2">
        <v>35</v>
      </c>
      <c r="D696" s="2" t="s">
        <v>155</v>
      </c>
      <c r="E696" s="2" t="s">
        <v>7616</v>
      </c>
      <c r="F696" s="2" t="s">
        <v>7608</v>
      </c>
      <c r="G696" s="2" t="s">
        <v>7633</v>
      </c>
    </row>
    <row r="697" spans="1:7">
      <c r="A697" s="3">
        <v>27</v>
      </c>
      <c r="B697" s="3" t="s">
        <v>226</v>
      </c>
      <c r="C697" s="3">
        <v>56</v>
      </c>
      <c r="D697" s="3" t="s">
        <v>12</v>
      </c>
      <c r="E697" s="3" t="s">
        <v>7616</v>
      </c>
      <c r="F697" s="3" t="s">
        <v>7650</v>
      </c>
      <c r="G697" s="3" t="s">
        <v>7609</v>
      </c>
    </row>
    <row r="698" spans="1:7">
      <c r="A698" s="2">
        <v>27</v>
      </c>
      <c r="B698" s="2" t="s">
        <v>226</v>
      </c>
      <c r="C698" s="2">
        <v>97</v>
      </c>
      <c r="D698" s="2" t="s">
        <v>457</v>
      </c>
      <c r="E698" s="2" t="s">
        <v>7620</v>
      </c>
      <c r="F698" s="2" t="s">
        <v>7650</v>
      </c>
      <c r="G698" s="2" t="s">
        <v>7625</v>
      </c>
    </row>
    <row r="699" spans="1:7">
      <c r="A699" s="3">
        <v>27</v>
      </c>
      <c r="B699" s="3" t="s">
        <v>226</v>
      </c>
      <c r="C699" s="3">
        <v>101</v>
      </c>
      <c r="D699" s="3" t="s">
        <v>395</v>
      </c>
      <c r="E699" s="3" t="s">
        <v>7620</v>
      </c>
      <c r="F699" s="3" t="s">
        <v>7650</v>
      </c>
      <c r="G699" s="3" t="s">
        <v>7625</v>
      </c>
    </row>
    <row r="700" spans="1:7">
      <c r="A700" s="2">
        <v>27</v>
      </c>
      <c r="B700" s="2" t="s">
        <v>226</v>
      </c>
      <c r="C700" s="2">
        <v>103</v>
      </c>
      <c r="D700" s="2" t="s">
        <v>384</v>
      </c>
      <c r="E700" s="2" t="s">
        <v>7620</v>
      </c>
      <c r="F700" s="2" t="s">
        <v>7650</v>
      </c>
      <c r="G700" s="2" t="s">
        <v>7625</v>
      </c>
    </row>
    <row r="701" spans="1:7">
      <c r="A701" s="3">
        <v>27</v>
      </c>
      <c r="B701" s="3" t="s">
        <v>226</v>
      </c>
      <c r="C701" s="3">
        <v>191</v>
      </c>
      <c r="D701" s="3" t="s">
        <v>719</v>
      </c>
      <c r="E701" s="3" t="s">
        <v>7620</v>
      </c>
      <c r="F701" s="3" t="s">
        <v>7650</v>
      </c>
      <c r="G701" s="3" t="s">
        <v>7625</v>
      </c>
    </row>
    <row r="702" spans="1:7">
      <c r="A702" s="2">
        <v>27</v>
      </c>
      <c r="B702" s="2" t="s">
        <v>226</v>
      </c>
      <c r="C702" s="2">
        <v>195</v>
      </c>
      <c r="D702" s="2" t="s">
        <v>734</v>
      </c>
      <c r="E702" s="2" t="s">
        <v>7620</v>
      </c>
      <c r="F702" s="2" t="s">
        <v>7650</v>
      </c>
      <c r="G702" s="2" t="s">
        <v>7625</v>
      </c>
    </row>
    <row r="703" spans="1:7">
      <c r="A703" s="3">
        <v>27</v>
      </c>
      <c r="B703" s="3" t="s">
        <v>226</v>
      </c>
      <c r="C703" s="3">
        <v>198</v>
      </c>
      <c r="D703" s="3" t="s">
        <v>698</v>
      </c>
      <c r="E703" s="3" t="s">
        <v>7620</v>
      </c>
      <c r="F703" s="3" t="s">
        <v>7650</v>
      </c>
      <c r="G703" s="3" t="s">
        <v>7625</v>
      </c>
    </row>
    <row r="704" spans="1:7">
      <c r="A704" s="2">
        <v>27</v>
      </c>
      <c r="B704" s="2" t="s">
        <v>226</v>
      </c>
      <c r="C704" s="2">
        <v>199</v>
      </c>
      <c r="D704" s="2" t="s">
        <v>702</v>
      </c>
      <c r="E704" s="2" t="s">
        <v>7620</v>
      </c>
      <c r="F704" s="2" t="s">
        <v>7650</v>
      </c>
      <c r="G704" s="2" t="s">
        <v>7625</v>
      </c>
    </row>
    <row r="705" spans="1:7">
      <c r="A705" s="3">
        <v>27</v>
      </c>
      <c r="B705" s="3" t="s">
        <v>226</v>
      </c>
      <c r="C705" s="3">
        <v>200</v>
      </c>
      <c r="D705" s="3" t="s">
        <v>707</v>
      </c>
      <c r="E705" s="3" t="s">
        <v>7620</v>
      </c>
      <c r="F705" s="3" t="s">
        <v>7650</v>
      </c>
      <c r="G705" s="3" t="s">
        <v>7625</v>
      </c>
    </row>
    <row r="706" spans="1:7">
      <c r="A706" s="2">
        <v>27</v>
      </c>
      <c r="B706" s="2" t="s">
        <v>226</v>
      </c>
      <c r="C706" s="2">
        <v>209</v>
      </c>
      <c r="D706" s="2" t="s">
        <v>758</v>
      </c>
      <c r="E706" s="2" t="s">
        <v>7620</v>
      </c>
      <c r="F706" s="2" t="s">
        <v>7650</v>
      </c>
      <c r="G706" s="2" t="s">
        <v>7625</v>
      </c>
    </row>
    <row r="707" spans="1:7">
      <c r="A707" s="3">
        <v>27</v>
      </c>
      <c r="B707" s="3" t="s">
        <v>226</v>
      </c>
      <c r="C707" s="3">
        <v>221</v>
      </c>
      <c r="D707" s="3" t="s">
        <v>813</v>
      </c>
      <c r="E707" s="3" t="s">
        <v>7616</v>
      </c>
      <c r="F707" s="3" t="s">
        <v>7650</v>
      </c>
      <c r="G707" s="3" t="s">
        <v>7617</v>
      </c>
    </row>
    <row r="708" spans="1:7">
      <c r="A708" s="2">
        <v>27</v>
      </c>
      <c r="B708" s="2" t="s">
        <v>226</v>
      </c>
      <c r="C708" s="2">
        <v>264</v>
      </c>
      <c r="D708" s="2" t="s">
        <v>775</v>
      </c>
      <c r="E708" s="2" t="s">
        <v>7620</v>
      </c>
      <c r="F708" s="2" t="s">
        <v>7650</v>
      </c>
      <c r="G708" s="2" t="s">
        <v>7625</v>
      </c>
    </row>
    <row r="709" spans="1:7">
      <c r="A709" s="3">
        <v>27</v>
      </c>
      <c r="B709" s="3" t="s">
        <v>226</v>
      </c>
      <c r="C709" s="3">
        <v>341</v>
      </c>
      <c r="D709" s="3" t="s">
        <v>1052</v>
      </c>
      <c r="E709" s="3" t="s">
        <v>7620</v>
      </c>
      <c r="F709" s="3" t="s">
        <v>7650</v>
      </c>
      <c r="G709" s="3" t="s">
        <v>7625</v>
      </c>
    </row>
    <row r="710" spans="1:7">
      <c r="A710" s="2">
        <v>27</v>
      </c>
      <c r="B710" s="2" t="s">
        <v>226</v>
      </c>
      <c r="C710" s="2">
        <v>343</v>
      </c>
      <c r="D710" s="2" t="s">
        <v>977</v>
      </c>
      <c r="E710" s="2" t="s">
        <v>7620</v>
      </c>
      <c r="F710" s="2" t="s">
        <v>7650</v>
      </c>
      <c r="G710" s="2" t="s">
        <v>7625</v>
      </c>
    </row>
    <row r="711" spans="1:7">
      <c r="A711" s="3">
        <v>28</v>
      </c>
      <c r="B711" s="3" t="s">
        <v>175</v>
      </c>
      <c r="C711" s="3">
        <v>34</v>
      </c>
      <c r="D711" s="3" t="s">
        <v>160</v>
      </c>
      <c r="E711" s="3" t="s">
        <v>7627</v>
      </c>
      <c r="F711" s="3" t="s">
        <v>7611</v>
      </c>
      <c r="G711" s="3" t="s">
        <v>7642</v>
      </c>
    </row>
    <row r="712" spans="1:7">
      <c r="A712" s="2">
        <v>28</v>
      </c>
      <c r="B712" s="2" t="s">
        <v>175</v>
      </c>
      <c r="C712" s="2">
        <v>35</v>
      </c>
      <c r="D712" s="2" t="s">
        <v>155</v>
      </c>
      <c r="E712" s="2" t="s">
        <v>7627</v>
      </c>
      <c r="F712" s="2" t="s">
        <v>7611</v>
      </c>
      <c r="G712" s="2" t="s">
        <v>7629</v>
      </c>
    </row>
    <row r="713" spans="1:7">
      <c r="A713" s="3">
        <v>28</v>
      </c>
      <c r="B713" s="3" t="s">
        <v>175</v>
      </c>
      <c r="C713" s="3">
        <v>56</v>
      </c>
      <c r="D713" s="3" t="s">
        <v>12</v>
      </c>
      <c r="E713" s="3" t="s">
        <v>7616</v>
      </c>
      <c r="F713" s="3" t="s">
        <v>7611</v>
      </c>
      <c r="G713" s="3" t="s">
        <v>7617</v>
      </c>
    </row>
    <row r="714" spans="1:7">
      <c r="A714" s="2">
        <v>28</v>
      </c>
      <c r="B714" s="2" t="s">
        <v>175</v>
      </c>
      <c r="C714" s="2">
        <v>97</v>
      </c>
      <c r="D714" s="2" t="s">
        <v>457</v>
      </c>
      <c r="E714" s="2" t="s">
        <v>7630</v>
      </c>
      <c r="F714" s="2" t="s">
        <v>7611</v>
      </c>
      <c r="G714" s="2" t="s">
        <v>7636</v>
      </c>
    </row>
    <row r="715" spans="1:7">
      <c r="A715" s="3">
        <v>28</v>
      </c>
      <c r="B715" s="3" t="s">
        <v>175</v>
      </c>
      <c r="C715" s="3">
        <v>101</v>
      </c>
      <c r="D715" s="3" t="s">
        <v>395</v>
      </c>
      <c r="E715" s="3" t="s">
        <v>7620</v>
      </c>
      <c r="F715" s="3" t="s">
        <v>7611</v>
      </c>
      <c r="G715" s="3" t="s">
        <v>7621</v>
      </c>
    </row>
    <row r="716" spans="1:7">
      <c r="A716" s="2">
        <v>28</v>
      </c>
      <c r="B716" s="2" t="s">
        <v>175</v>
      </c>
      <c r="C716" s="2">
        <v>191</v>
      </c>
      <c r="D716" s="2" t="s">
        <v>719</v>
      </c>
      <c r="E716" s="2" t="s">
        <v>7618</v>
      </c>
      <c r="F716" s="2" t="s">
        <v>7611</v>
      </c>
      <c r="G716" s="2" t="s">
        <v>7617</v>
      </c>
    </row>
    <row r="717" spans="1:7">
      <c r="A717" s="3">
        <v>28</v>
      </c>
      <c r="B717" s="3" t="s">
        <v>175</v>
      </c>
      <c r="C717" s="3">
        <v>195</v>
      </c>
      <c r="D717" s="3" t="s">
        <v>734</v>
      </c>
      <c r="E717" s="3" t="s">
        <v>7618</v>
      </c>
      <c r="F717" s="3" t="s">
        <v>7611</v>
      </c>
      <c r="G717" s="3" t="s">
        <v>7617</v>
      </c>
    </row>
    <row r="718" spans="1:7">
      <c r="A718" s="2">
        <v>28</v>
      </c>
      <c r="B718" s="2" t="s">
        <v>175</v>
      </c>
      <c r="C718" s="2">
        <v>198</v>
      </c>
      <c r="D718" s="2" t="s">
        <v>698</v>
      </c>
      <c r="E718" s="2" t="s">
        <v>7620</v>
      </c>
      <c r="F718" s="2" t="s">
        <v>7611</v>
      </c>
      <c r="G718" s="2" t="s">
        <v>7621</v>
      </c>
    </row>
    <row r="719" spans="1:7">
      <c r="A719" s="3">
        <v>28</v>
      </c>
      <c r="B719" s="3" t="s">
        <v>175</v>
      </c>
      <c r="C719" s="3">
        <v>199</v>
      </c>
      <c r="D719" s="3" t="s">
        <v>702</v>
      </c>
      <c r="E719" s="3" t="s">
        <v>7630</v>
      </c>
      <c r="F719" s="3" t="s">
        <v>7611</v>
      </c>
      <c r="G719" s="3" t="s">
        <v>7617</v>
      </c>
    </row>
    <row r="720" spans="1:7">
      <c r="A720" s="2">
        <v>28</v>
      </c>
      <c r="B720" s="2" t="s">
        <v>175</v>
      </c>
      <c r="C720" s="2">
        <v>200</v>
      </c>
      <c r="D720" s="2" t="s">
        <v>707</v>
      </c>
      <c r="E720" s="2" t="s">
        <v>7620</v>
      </c>
      <c r="F720" s="2" t="s">
        <v>7611</v>
      </c>
      <c r="G720" s="2" t="s">
        <v>7625</v>
      </c>
    </row>
    <row r="721" spans="1:7">
      <c r="A721" s="3">
        <v>28</v>
      </c>
      <c r="B721" s="3" t="s">
        <v>175</v>
      </c>
      <c r="C721" s="3">
        <v>205</v>
      </c>
      <c r="D721" s="3" t="s">
        <v>746</v>
      </c>
      <c r="E721" s="3" t="s">
        <v>7620</v>
      </c>
      <c r="F721" s="3" t="s">
        <v>7611</v>
      </c>
      <c r="G721" s="3" t="s">
        <v>7621</v>
      </c>
    </row>
    <row r="722" spans="1:7">
      <c r="A722" s="2">
        <v>28</v>
      </c>
      <c r="B722" s="2" t="s">
        <v>175</v>
      </c>
      <c r="C722" s="2">
        <v>207</v>
      </c>
      <c r="D722" s="2" t="s">
        <v>749</v>
      </c>
      <c r="E722" s="2" t="s">
        <v>7623</v>
      </c>
      <c r="F722" s="2" t="s">
        <v>7611</v>
      </c>
      <c r="G722" s="2" t="s">
        <v>7639</v>
      </c>
    </row>
    <row r="723" spans="1:7">
      <c r="A723" s="3">
        <v>28</v>
      </c>
      <c r="B723" s="3" t="s">
        <v>175</v>
      </c>
      <c r="C723" s="3">
        <v>208</v>
      </c>
      <c r="D723" s="3" t="s">
        <v>754</v>
      </c>
      <c r="E723" s="3" t="s">
        <v>7620</v>
      </c>
      <c r="F723" s="3" t="s">
        <v>7611</v>
      </c>
      <c r="G723" s="3" t="s">
        <v>7621</v>
      </c>
    </row>
    <row r="724" spans="1:7">
      <c r="A724" s="2">
        <v>28</v>
      </c>
      <c r="B724" s="2" t="s">
        <v>175</v>
      </c>
      <c r="C724" s="2">
        <v>209</v>
      </c>
      <c r="D724" s="2" t="s">
        <v>758</v>
      </c>
      <c r="E724" s="2" t="s">
        <v>7618</v>
      </c>
      <c r="F724" s="2" t="s">
        <v>7608</v>
      </c>
      <c r="G724" s="2" t="s">
        <v>7633</v>
      </c>
    </row>
    <row r="725" spans="1:7">
      <c r="A725" s="3">
        <v>28</v>
      </c>
      <c r="B725" s="3" t="s">
        <v>175</v>
      </c>
      <c r="C725" s="3">
        <v>221</v>
      </c>
      <c r="D725" s="3" t="s">
        <v>813</v>
      </c>
      <c r="E725" s="3" t="s">
        <v>7627</v>
      </c>
      <c r="F725" s="3" t="s">
        <v>7611</v>
      </c>
      <c r="G725" s="3" t="s">
        <v>7637</v>
      </c>
    </row>
    <row r="726" spans="1:7">
      <c r="A726" s="2">
        <v>28</v>
      </c>
      <c r="B726" s="2" t="s">
        <v>175</v>
      </c>
      <c r="C726" s="2">
        <v>264</v>
      </c>
      <c r="D726" s="2" t="s">
        <v>775</v>
      </c>
      <c r="E726" s="2" t="s">
        <v>7618</v>
      </c>
      <c r="F726" s="2" t="s">
        <v>7611</v>
      </c>
      <c r="G726" s="2" t="s">
        <v>7617</v>
      </c>
    </row>
    <row r="727" spans="1:7">
      <c r="A727" s="3">
        <v>28</v>
      </c>
      <c r="B727" s="3" t="s">
        <v>175</v>
      </c>
      <c r="C727" s="3">
        <v>341</v>
      </c>
      <c r="D727" s="3" t="s">
        <v>1052</v>
      </c>
      <c r="E727" s="3" t="s">
        <v>7620</v>
      </c>
      <c r="F727" s="3" t="s">
        <v>7611</v>
      </c>
      <c r="G727" s="3" t="s">
        <v>7621</v>
      </c>
    </row>
    <row r="728" spans="1:7">
      <c r="A728" s="2">
        <v>28</v>
      </c>
      <c r="B728" s="2" t="s">
        <v>175</v>
      </c>
      <c r="C728" s="2">
        <v>343</v>
      </c>
      <c r="D728" s="2" t="s">
        <v>977</v>
      </c>
      <c r="E728" s="2" t="s">
        <v>7620</v>
      </c>
      <c r="F728" s="2" t="s">
        <v>7611</v>
      </c>
      <c r="G728" s="2" t="s">
        <v>7625</v>
      </c>
    </row>
    <row r="729" spans="1:7">
      <c r="A729" s="3">
        <v>29</v>
      </c>
      <c r="B729" s="3" t="s">
        <v>184</v>
      </c>
      <c r="C729" s="3">
        <v>34</v>
      </c>
      <c r="D729" s="3" t="s">
        <v>160</v>
      </c>
      <c r="E729" s="3" t="s">
        <v>7610</v>
      </c>
      <c r="F729" s="3" t="s">
        <v>7611</v>
      </c>
      <c r="G729" s="3" t="s">
        <v>7639</v>
      </c>
    </row>
    <row r="730" spans="1:7">
      <c r="A730" s="2">
        <v>29</v>
      </c>
      <c r="B730" s="2" t="s">
        <v>184</v>
      </c>
      <c r="C730" s="2">
        <v>35</v>
      </c>
      <c r="D730" s="2" t="s">
        <v>155</v>
      </c>
      <c r="E730" s="2" t="s">
        <v>7610</v>
      </c>
      <c r="F730" s="2" t="s">
        <v>7611</v>
      </c>
      <c r="G730" s="2" t="s">
        <v>7624</v>
      </c>
    </row>
    <row r="731" spans="1:7">
      <c r="A731" s="3">
        <v>29</v>
      </c>
      <c r="B731" s="3" t="s">
        <v>184</v>
      </c>
      <c r="C731" s="3">
        <v>56</v>
      </c>
      <c r="D731" s="3" t="s">
        <v>12</v>
      </c>
      <c r="E731" s="3" t="s">
        <v>7616</v>
      </c>
      <c r="F731" s="3" t="s">
        <v>7611</v>
      </c>
      <c r="G731" s="3" t="s">
        <v>7617</v>
      </c>
    </row>
    <row r="732" spans="1:7">
      <c r="A732" s="2">
        <v>29</v>
      </c>
      <c r="B732" s="2" t="s">
        <v>184</v>
      </c>
      <c r="C732" s="2">
        <v>97</v>
      </c>
      <c r="D732" s="2" t="s">
        <v>457</v>
      </c>
      <c r="E732" s="2" t="s">
        <v>7630</v>
      </c>
      <c r="F732" s="2" t="s">
        <v>7611</v>
      </c>
      <c r="G732" s="2" t="s">
        <v>7617</v>
      </c>
    </row>
    <row r="733" spans="1:7">
      <c r="A733" s="3">
        <v>29</v>
      </c>
      <c r="B733" s="3" t="s">
        <v>184</v>
      </c>
      <c r="C733" s="3">
        <v>101</v>
      </c>
      <c r="D733" s="3" t="s">
        <v>395</v>
      </c>
      <c r="E733" s="3" t="s">
        <v>7620</v>
      </c>
      <c r="F733" s="3" t="s">
        <v>7611</v>
      </c>
      <c r="G733" s="3" t="s">
        <v>7621</v>
      </c>
    </row>
    <row r="734" spans="1:7">
      <c r="A734" s="2">
        <v>29</v>
      </c>
      <c r="B734" s="2" t="s">
        <v>184</v>
      </c>
      <c r="C734" s="2">
        <v>191</v>
      </c>
      <c r="D734" s="2" t="s">
        <v>719</v>
      </c>
      <c r="E734" s="2" t="s">
        <v>7618</v>
      </c>
      <c r="F734" s="2" t="s">
        <v>7611</v>
      </c>
      <c r="G734" s="2" t="s">
        <v>7636</v>
      </c>
    </row>
    <row r="735" spans="1:7">
      <c r="A735" s="3">
        <v>29</v>
      </c>
      <c r="B735" s="3" t="s">
        <v>184</v>
      </c>
      <c r="C735" s="3">
        <v>195</v>
      </c>
      <c r="D735" s="3" t="s">
        <v>734</v>
      </c>
      <c r="E735" s="3" t="s">
        <v>7630</v>
      </c>
      <c r="F735" s="3" t="s">
        <v>7611</v>
      </c>
      <c r="G735" s="3" t="s">
        <v>7619</v>
      </c>
    </row>
    <row r="736" spans="1:7">
      <c r="A736" s="2">
        <v>29</v>
      </c>
      <c r="B736" s="2" t="s">
        <v>184</v>
      </c>
      <c r="C736" s="2">
        <v>198</v>
      </c>
      <c r="D736" s="2" t="s">
        <v>698</v>
      </c>
      <c r="E736" s="2" t="s">
        <v>7620</v>
      </c>
      <c r="F736" s="2" t="s">
        <v>7611</v>
      </c>
      <c r="G736" s="2" t="s">
        <v>7622</v>
      </c>
    </row>
    <row r="737" spans="1:7">
      <c r="A737" s="3">
        <v>29</v>
      </c>
      <c r="B737" s="3" t="s">
        <v>184</v>
      </c>
      <c r="C737" s="3">
        <v>199</v>
      </c>
      <c r="D737" s="3" t="s">
        <v>702</v>
      </c>
      <c r="E737" s="3" t="s">
        <v>7630</v>
      </c>
      <c r="F737" s="3" t="s">
        <v>7611</v>
      </c>
      <c r="G737" s="3" t="s">
        <v>7619</v>
      </c>
    </row>
    <row r="738" spans="1:7">
      <c r="A738" s="2">
        <v>29</v>
      </c>
      <c r="B738" s="2" t="s">
        <v>184</v>
      </c>
      <c r="C738" s="2">
        <v>200</v>
      </c>
      <c r="D738" s="2" t="s">
        <v>707</v>
      </c>
      <c r="E738" s="2" t="s">
        <v>7620</v>
      </c>
      <c r="F738" s="2" t="s">
        <v>7611</v>
      </c>
      <c r="G738" s="2" t="s">
        <v>7625</v>
      </c>
    </row>
    <row r="739" spans="1:7">
      <c r="A739" s="3">
        <v>29</v>
      </c>
      <c r="B739" s="3" t="s">
        <v>184</v>
      </c>
      <c r="C739" s="3">
        <v>205</v>
      </c>
      <c r="D739" s="3" t="s">
        <v>746</v>
      </c>
      <c r="E739" s="3" t="s">
        <v>7620</v>
      </c>
      <c r="F739" s="3" t="s">
        <v>7611</v>
      </c>
      <c r="G739" s="3" t="s">
        <v>7621</v>
      </c>
    </row>
    <row r="740" spans="1:7">
      <c r="A740" s="2">
        <v>29</v>
      </c>
      <c r="B740" s="2" t="s">
        <v>184</v>
      </c>
      <c r="C740" s="2">
        <v>207</v>
      </c>
      <c r="D740" s="2" t="s">
        <v>749</v>
      </c>
      <c r="E740" s="2" t="s">
        <v>7630</v>
      </c>
      <c r="F740" s="2" t="s">
        <v>7611</v>
      </c>
      <c r="G740" s="2" t="s">
        <v>7636</v>
      </c>
    </row>
    <row r="741" spans="1:7">
      <c r="A741" s="3">
        <v>29</v>
      </c>
      <c r="B741" s="3" t="s">
        <v>184</v>
      </c>
      <c r="C741" s="3">
        <v>208</v>
      </c>
      <c r="D741" s="3" t="s">
        <v>754</v>
      </c>
      <c r="E741" s="3" t="s">
        <v>7620</v>
      </c>
      <c r="F741" s="3" t="s">
        <v>7611</v>
      </c>
      <c r="G741" s="3" t="s">
        <v>7622</v>
      </c>
    </row>
    <row r="742" spans="1:7">
      <c r="A742" s="2">
        <v>29</v>
      </c>
      <c r="B742" s="2" t="s">
        <v>184</v>
      </c>
      <c r="C742" s="2">
        <v>209</v>
      </c>
      <c r="D742" s="2" t="s">
        <v>758</v>
      </c>
      <c r="E742" s="2" t="s">
        <v>7630</v>
      </c>
      <c r="F742" s="2" t="s">
        <v>7608</v>
      </c>
      <c r="G742" s="2" t="s">
        <v>7617</v>
      </c>
    </row>
    <row r="743" spans="1:7">
      <c r="A743" s="3">
        <v>29</v>
      </c>
      <c r="B743" s="3" t="s">
        <v>184</v>
      </c>
      <c r="C743" s="3">
        <v>221</v>
      </c>
      <c r="D743" s="3" t="s">
        <v>813</v>
      </c>
      <c r="E743" s="3" t="s">
        <v>7610</v>
      </c>
      <c r="F743" s="3" t="s">
        <v>7611</v>
      </c>
      <c r="G743" s="3" t="s">
        <v>7639</v>
      </c>
    </row>
    <row r="744" spans="1:7">
      <c r="A744" s="2">
        <v>29</v>
      </c>
      <c r="B744" s="2" t="s">
        <v>184</v>
      </c>
      <c r="C744" s="2">
        <v>264</v>
      </c>
      <c r="D744" s="2" t="s">
        <v>775</v>
      </c>
      <c r="E744" s="2" t="s">
        <v>7630</v>
      </c>
      <c r="F744" s="2" t="s">
        <v>7611</v>
      </c>
      <c r="G744" s="2" t="s">
        <v>7617</v>
      </c>
    </row>
    <row r="745" spans="1:7">
      <c r="A745" s="3">
        <v>29</v>
      </c>
      <c r="B745" s="3" t="s">
        <v>184</v>
      </c>
      <c r="C745" s="3">
        <v>341</v>
      </c>
      <c r="D745" s="3" t="s">
        <v>1052</v>
      </c>
      <c r="E745" s="3" t="s">
        <v>7620</v>
      </c>
      <c r="F745" s="3" t="s">
        <v>7611</v>
      </c>
      <c r="G745" s="3" t="s">
        <v>7622</v>
      </c>
    </row>
    <row r="746" spans="1:7">
      <c r="A746" s="2">
        <v>29</v>
      </c>
      <c r="B746" s="2" t="s">
        <v>184</v>
      </c>
      <c r="C746" s="2">
        <v>343</v>
      </c>
      <c r="D746" s="2" t="s">
        <v>977</v>
      </c>
      <c r="E746" s="2" t="s">
        <v>7620</v>
      </c>
      <c r="F746" s="2" t="s">
        <v>7611</v>
      </c>
      <c r="G746" s="2" t="s">
        <v>7621</v>
      </c>
    </row>
    <row r="747" spans="1:7">
      <c r="A747" s="3">
        <v>30</v>
      </c>
      <c r="B747" s="3" t="s">
        <v>209</v>
      </c>
      <c r="C747" s="3">
        <v>34</v>
      </c>
      <c r="D747" s="3" t="s">
        <v>160</v>
      </c>
      <c r="E747" s="3" t="s">
        <v>7610</v>
      </c>
      <c r="F747" s="3" t="s">
        <v>7611</v>
      </c>
      <c r="G747" s="3" t="s">
        <v>7639</v>
      </c>
    </row>
    <row r="748" spans="1:7">
      <c r="A748" s="2">
        <v>30</v>
      </c>
      <c r="B748" s="2" t="s">
        <v>209</v>
      </c>
      <c r="C748" s="2">
        <v>35</v>
      </c>
      <c r="D748" s="2" t="s">
        <v>155</v>
      </c>
      <c r="E748" s="2" t="s">
        <v>7610</v>
      </c>
      <c r="F748" s="2" t="s">
        <v>7611</v>
      </c>
      <c r="G748" s="2" t="s">
        <v>7639</v>
      </c>
    </row>
    <row r="749" spans="1:7">
      <c r="A749" s="3">
        <v>30</v>
      </c>
      <c r="B749" s="3" t="s">
        <v>209</v>
      </c>
      <c r="C749" s="3">
        <v>56</v>
      </c>
      <c r="D749" s="3" t="s">
        <v>12</v>
      </c>
      <c r="E749" s="3" t="s">
        <v>7616</v>
      </c>
      <c r="F749" s="3" t="s">
        <v>7611</v>
      </c>
      <c r="G749" s="3" t="s">
        <v>7636</v>
      </c>
    </row>
    <row r="750" spans="1:7">
      <c r="A750" s="2">
        <v>30</v>
      </c>
      <c r="B750" s="2" t="s">
        <v>209</v>
      </c>
      <c r="C750" s="2">
        <v>97</v>
      </c>
      <c r="D750" s="2" t="s">
        <v>457</v>
      </c>
      <c r="E750" s="2" t="s">
        <v>7630</v>
      </c>
      <c r="F750" s="2" t="s">
        <v>7611</v>
      </c>
      <c r="G750" s="2" t="s">
        <v>7617</v>
      </c>
    </row>
    <row r="751" spans="1:7">
      <c r="A751" s="3">
        <v>30</v>
      </c>
      <c r="B751" s="3" t="s">
        <v>209</v>
      </c>
      <c r="C751" s="3">
        <v>101</v>
      </c>
      <c r="D751" s="3" t="s">
        <v>395</v>
      </c>
      <c r="E751" s="3" t="s">
        <v>7620</v>
      </c>
      <c r="F751" s="3" t="s">
        <v>7611</v>
      </c>
      <c r="G751" s="3" t="s">
        <v>7621</v>
      </c>
    </row>
    <row r="752" spans="1:7">
      <c r="A752" s="2">
        <v>30</v>
      </c>
      <c r="B752" s="2" t="s">
        <v>209</v>
      </c>
      <c r="C752" s="2">
        <v>103</v>
      </c>
      <c r="D752" s="2" t="s">
        <v>384</v>
      </c>
      <c r="E752" s="2" t="s">
        <v>7620</v>
      </c>
      <c r="F752" s="2" t="s">
        <v>7608</v>
      </c>
      <c r="G752" s="2" t="s">
        <v>7625</v>
      </c>
    </row>
    <row r="753" spans="1:7">
      <c r="A753" s="3">
        <v>30</v>
      </c>
      <c r="B753" s="3" t="s">
        <v>209</v>
      </c>
      <c r="C753" s="3">
        <v>191</v>
      </c>
      <c r="D753" s="3" t="s">
        <v>719</v>
      </c>
      <c r="E753" s="3" t="s">
        <v>7618</v>
      </c>
      <c r="F753" s="3" t="s">
        <v>7611</v>
      </c>
      <c r="G753" s="3" t="s">
        <v>7617</v>
      </c>
    </row>
    <row r="754" spans="1:7">
      <c r="A754" s="2">
        <v>30</v>
      </c>
      <c r="B754" s="2" t="s">
        <v>209</v>
      </c>
      <c r="C754" s="2">
        <v>195</v>
      </c>
      <c r="D754" s="2" t="s">
        <v>734</v>
      </c>
      <c r="E754" s="2" t="s">
        <v>7630</v>
      </c>
      <c r="F754" s="2" t="s">
        <v>7611</v>
      </c>
      <c r="G754" s="2" t="s">
        <v>7636</v>
      </c>
    </row>
    <row r="755" spans="1:7">
      <c r="A755" s="3">
        <v>30</v>
      </c>
      <c r="B755" s="3" t="s">
        <v>209</v>
      </c>
      <c r="C755" s="3">
        <v>198</v>
      </c>
      <c r="D755" s="3" t="s">
        <v>698</v>
      </c>
      <c r="E755" s="3" t="s">
        <v>7620</v>
      </c>
      <c r="F755" s="3" t="s">
        <v>7611</v>
      </c>
      <c r="G755" s="3" t="s">
        <v>7633</v>
      </c>
    </row>
    <row r="756" spans="1:7">
      <c r="A756" s="2">
        <v>30</v>
      </c>
      <c r="B756" s="2" t="s">
        <v>209</v>
      </c>
      <c r="C756" s="2">
        <v>199</v>
      </c>
      <c r="D756" s="2" t="s">
        <v>702</v>
      </c>
      <c r="E756" s="2" t="s">
        <v>7630</v>
      </c>
      <c r="F756" s="2" t="s">
        <v>7611</v>
      </c>
      <c r="G756" s="2" t="s">
        <v>7617</v>
      </c>
    </row>
    <row r="757" spans="1:7">
      <c r="A757" s="3">
        <v>30</v>
      </c>
      <c r="B757" s="3" t="s">
        <v>209</v>
      </c>
      <c r="C757" s="3">
        <v>200</v>
      </c>
      <c r="D757" s="3" t="s">
        <v>707</v>
      </c>
      <c r="E757" s="3" t="s">
        <v>7620</v>
      </c>
      <c r="F757" s="3" t="s">
        <v>7611</v>
      </c>
      <c r="G757" s="3" t="s">
        <v>7622</v>
      </c>
    </row>
    <row r="758" spans="1:7">
      <c r="A758" s="2">
        <v>30</v>
      </c>
      <c r="B758" s="2" t="s">
        <v>209</v>
      </c>
      <c r="C758" s="2">
        <v>205</v>
      </c>
      <c r="D758" s="2" t="s">
        <v>746</v>
      </c>
      <c r="E758" s="2" t="s">
        <v>7620</v>
      </c>
      <c r="F758" s="2" t="s">
        <v>7611</v>
      </c>
      <c r="G758" s="2" t="s">
        <v>7622</v>
      </c>
    </row>
    <row r="759" spans="1:7">
      <c r="A759" s="3">
        <v>30</v>
      </c>
      <c r="B759" s="3" t="s">
        <v>209</v>
      </c>
      <c r="C759" s="3">
        <v>207</v>
      </c>
      <c r="D759" s="3" t="s">
        <v>749</v>
      </c>
      <c r="E759" s="3" t="s">
        <v>7630</v>
      </c>
      <c r="F759" s="3" t="s">
        <v>7611</v>
      </c>
      <c r="G759" s="3" t="s">
        <v>7636</v>
      </c>
    </row>
    <row r="760" spans="1:7">
      <c r="A760" s="2">
        <v>30</v>
      </c>
      <c r="B760" s="2" t="s">
        <v>209</v>
      </c>
      <c r="C760" s="2">
        <v>208</v>
      </c>
      <c r="D760" s="2" t="s">
        <v>754</v>
      </c>
      <c r="E760" s="2" t="s">
        <v>7620</v>
      </c>
      <c r="F760" s="2" t="s">
        <v>7611</v>
      </c>
      <c r="G760" s="2" t="s">
        <v>7621</v>
      </c>
    </row>
    <row r="761" spans="1:7">
      <c r="A761" s="3">
        <v>30</v>
      </c>
      <c r="B761" s="3" t="s">
        <v>209</v>
      </c>
      <c r="C761" s="3">
        <v>209</v>
      </c>
      <c r="D761" s="3" t="s">
        <v>758</v>
      </c>
      <c r="E761" s="3" t="s">
        <v>7630</v>
      </c>
      <c r="F761" s="3" t="s">
        <v>7608</v>
      </c>
      <c r="G761" s="3" t="s">
        <v>7609</v>
      </c>
    </row>
    <row r="762" spans="1:7">
      <c r="A762" s="2">
        <v>30</v>
      </c>
      <c r="B762" s="2" t="s">
        <v>209</v>
      </c>
      <c r="C762" s="2">
        <v>221</v>
      </c>
      <c r="D762" s="2" t="s">
        <v>813</v>
      </c>
      <c r="E762" s="2" t="s">
        <v>7610</v>
      </c>
      <c r="F762" s="2" t="s">
        <v>7611</v>
      </c>
      <c r="G762" s="2" t="s">
        <v>7639</v>
      </c>
    </row>
    <row r="763" spans="1:7">
      <c r="A763" s="3">
        <v>30</v>
      </c>
      <c r="B763" s="3" t="s">
        <v>209</v>
      </c>
      <c r="C763" s="3">
        <v>264</v>
      </c>
      <c r="D763" s="3" t="s">
        <v>775</v>
      </c>
      <c r="E763" s="3" t="s">
        <v>7630</v>
      </c>
      <c r="F763" s="3" t="s">
        <v>7611</v>
      </c>
      <c r="G763" s="3" t="s">
        <v>7617</v>
      </c>
    </row>
    <row r="764" spans="1:7">
      <c r="A764" s="2">
        <v>30</v>
      </c>
      <c r="B764" s="2" t="s">
        <v>209</v>
      </c>
      <c r="C764" s="2">
        <v>341</v>
      </c>
      <c r="D764" s="2" t="s">
        <v>1052</v>
      </c>
      <c r="E764" s="2" t="s">
        <v>7620</v>
      </c>
      <c r="F764" s="2" t="s">
        <v>7611</v>
      </c>
      <c r="G764" s="2" t="s">
        <v>7621</v>
      </c>
    </row>
    <row r="765" spans="1:7">
      <c r="A765" s="3">
        <v>30</v>
      </c>
      <c r="B765" s="3" t="s">
        <v>209</v>
      </c>
      <c r="C765" s="3">
        <v>343</v>
      </c>
      <c r="D765" s="3" t="s">
        <v>977</v>
      </c>
      <c r="E765" s="3" t="s">
        <v>7620</v>
      </c>
      <c r="F765" s="3" t="s">
        <v>7611</v>
      </c>
      <c r="G765" s="3" t="s">
        <v>7625</v>
      </c>
    </row>
    <row r="766" spans="1:7">
      <c r="A766" s="2">
        <v>31</v>
      </c>
      <c r="B766" s="2" t="s">
        <v>207</v>
      </c>
      <c r="C766" s="2">
        <v>34</v>
      </c>
      <c r="D766" s="2" t="s">
        <v>160</v>
      </c>
      <c r="E766" s="2" t="s">
        <v>7616</v>
      </c>
      <c r="F766" s="2" t="s">
        <v>7611</v>
      </c>
      <c r="G766" s="2" t="s">
        <v>7609</v>
      </c>
    </row>
    <row r="767" spans="1:7">
      <c r="A767" s="3">
        <v>31</v>
      </c>
      <c r="B767" s="3" t="s">
        <v>207</v>
      </c>
      <c r="C767" s="3">
        <v>35</v>
      </c>
      <c r="D767" s="3" t="s">
        <v>155</v>
      </c>
      <c r="E767" s="3" t="s">
        <v>7616</v>
      </c>
      <c r="F767" s="3" t="s">
        <v>7611</v>
      </c>
      <c r="G767" s="3" t="s">
        <v>7609</v>
      </c>
    </row>
    <row r="768" spans="1:7">
      <c r="A768" s="2">
        <v>31</v>
      </c>
      <c r="B768" s="2" t="s">
        <v>207</v>
      </c>
      <c r="C768" s="2">
        <v>56</v>
      </c>
      <c r="D768" s="2" t="s">
        <v>12</v>
      </c>
      <c r="E768" s="2" t="s">
        <v>7616</v>
      </c>
      <c r="F768" s="2" t="s">
        <v>7611</v>
      </c>
      <c r="G768" s="2" t="s">
        <v>7617</v>
      </c>
    </row>
    <row r="769" spans="1:7">
      <c r="A769" s="3">
        <v>31</v>
      </c>
      <c r="B769" s="3" t="s">
        <v>207</v>
      </c>
      <c r="C769" s="3">
        <v>97</v>
      </c>
      <c r="D769" s="3" t="s">
        <v>457</v>
      </c>
      <c r="E769" s="3" t="s">
        <v>7620</v>
      </c>
      <c r="F769" s="3" t="s">
        <v>7611</v>
      </c>
      <c r="G769" s="3" t="s">
        <v>7625</v>
      </c>
    </row>
    <row r="770" spans="1:7">
      <c r="A770" s="2">
        <v>31</v>
      </c>
      <c r="B770" s="2" t="s">
        <v>207</v>
      </c>
      <c r="C770" s="2">
        <v>101</v>
      </c>
      <c r="D770" s="2" t="s">
        <v>395</v>
      </c>
      <c r="E770" s="2" t="s">
        <v>7620</v>
      </c>
      <c r="F770" s="2" t="s">
        <v>7611</v>
      </c>
      <c r="G770" s="2" t="s">
        <v>7625</v>
      </c>
    </row>
    <row r="771" spans="1:7">
      <c r="A771" s="3">
        <v>31</v>
      </c>
      <c r="B771" s="3" t="s">
        <v>207</v>
      </c>
      <c r="C771" s="3">
        <v>103</v>
      </c>
      <c r="D771" s="3" t="s">
        <v>384</v>
      </c>
      <c r="E771" s="3" t="s">
        <v>7620</v>
      </c>
      <c r="F771" s="3" t="s">
        <v>7608</v>
      </c>
      <c r="G771" s="3" t="s">
        <v>7625</v>
      </c>
    </row>
    <row r="772" spans="1:7">
      <c r="A772" s="2">
        <v>31</v>
      </c>
      <c r="B772" s="2" t="s">
        <v>207</v>
      </c>
      <c r="C772" s="2">
        <v>191</v>
      </c>
      <c r="D772" s="2" t="s">
        <v>719</v>
      </c>
      <c r="E772" s="2" t="s">
        <v>7620</v>
      </c>
      <c r="F772" s="2" t="s">
        <v>7611</v>
      </c>
      <c r="G772" s="2" t="s">
        <v>7621</v>
      </c>
    </row>
    <row r="773" spans="1:7">
      <c r="A773" s="3">
        <v>31</v>
      </c>
      <c r="B773" s="3" t="s">
        <v>207</v>
      </c>
      <c r="C773" s="3">
        <v>195</v>
      </c>
      <c r="D773" s="3" t="s">
        <v>734</v>
      </c>
      <c r="E773" s="3" t="s">
        <v>7620</v>
      </c>
      <c r="F773" s="3" t="s">
        <v>7611</v>
      </c>
      <c r="G773" s="3" t="s">
        <v>7622</v>
      </c>
    </row>
    <row r="774" spans="1:7">
      <c r="A774" s="2">
        <v>31</v>
      </c>
      <c r="B774" s="2" t="s">
        <v>207</v>
      </c>
      <c r="C774" s="2">
        <v>198</v>
      </c>
      <c r="D774" s="2" t="s">
        <v>698</v>
      </c>
      <c r="E774" s="2" t="s">
        <v>7620</v>
      </c>
      <c r="F774" s="2" t="s">
        <v>7611</v>
      </c>
      <c r="G774" s="2" t="s">
        <v>7622</v>
      </c>
    </row>
    <row r="775" spans="1:7">
      <c r="A775" s="3">
        <v>31</v>
      </c>
      <c r="B775" s="3" t="s">
        <v>207</v>
      </c>
      <c r="C775" s="3">
        <v>199</v>
      </c>
      <c r="D775" s="3" t="s">
        <v>702</v>
      </c>
      <c r="E775" s="3" t="s">
        <v>7620</v>
      </c>
      <c r="F775" s="3" t="s">
        <v>7611</v>
      </c>
      <c r="G775" s="3" t="s">
        <v>7625</v>
      </c>
    </row>
    <row r="776" spans="1:7">
      <c r="A776" s="2">
        <v>31</v>
      </c>
      <c r="B776" s="2" t="s">
        <v>207</v>
      </c>
      <c r="C776" s="2">
        <v>200</v>
      </c>
      <c r="D776" s="2" t="s">
        <v>707</v>
      </c>
      <c r="E776" s="2" t="s">
        <v>7620</v>
      </c>
      <c r="F776" s="2" t="s">
        <v>7611</v>
      </c>
      <c r="G776" s="2" t="s">
        <v>7622</v>
      </c>
    </row>
    <row r="777" spans="1:7">
      <c r="A777" s="3">
        <v>31</v>
      </c>
      <c r="B777" s="3" t="s">
        <v>207</v>
      </c>
      <c r="C777" s="3">
        <v>205</v>
      </c>
      <c r="D777" s="3" t="s">
        <v>746</v>
      </c>
      <c r="E777" s="3" t="s">
        <v>7620</v>
      </c>
      <c r="F777" s="3" t="s">
        <v>7611</v>
      </c>
      <c r="G777" s="3" t="s">
        <v>7621</v>
      </c>
    </row>
    <row r="778" spans="1:7">
      <c r="A778" s="2">
        <v>31</v>
      </c>
      <c r="B778" s="2" t="s">
        <v>207</v>
      </c>
      <c r="C778" s="2">
        <v>207</v>
      </c>
      <c r="D778" s="2" t="s">
        <v>749</v>
      </c>
      <c r="E778" s="2" t="s">
        <v>7620</v>
      </c>
      <c r="F778" s="2" t="s">
        <v>7611</v>
      </c>
      <c r="G778" s="2" t="s">
        <v>7622</v>
      </c>
    </row>
    <row r="779" spans="1:7">
      <c r="A779" s="3">
        <v>31</v>
      </c>
      <c r="B779" s="3" t="s">
        <v>207</v>
      </c>
      <c r="C779" s="3">
        <v>208</v>
      </c>
      <c r="D779" s="3" t="s">
        <v>754</v>
      </c>
      <c r="E779" s="3" t="s">
        <v>7620</v>
      </c>
      <c r="F779" s="3" t="s">
        <v>7611</v>
      </c>
      <c r="G779" s="3" t="s">
        <v>7622</v>
      </c>
    </row>
    <row r="780" spans="1:7">
      <c r="A780" s="2">
        <v>31</v>
      </c>
      <c r="B780" s="2" t="s">
        <v>207</v>
      </c>
      <c r="C780" s="2">
        <v>221</v>
      </c>
      <c r="D780" s="2" t="s">
        <v>813</v>
      </c>
      <c r="E780" s="2" t="s">
        <v>7616</v>
      </c>
      <c r="F780" s="2" t="s">
        <v>7611</v>
      </c>
      <c r="G780" s="2" t="s">
        <v>7609</v>
      </c>
    </row>
    <row r="781" spans="1:7">
      <c r="A781" s="3">
        <v>31</v>
      </c>
      <c r="B781" s="3" t="s">
        <v>207</v>
      </c>
      <c r="C781" s="3">
        <v>264</v>
      </c>
      <c r="D781" s="3" t="s">
        <v>775</v>
      </c>
      <c r="E781" s="3" t="s">
        <v>7620</v>
      </c>
      <c r="F781" s="3" t="s">
        <v>7611</v>
      </c>
      <c r="G781" s="3" t="s">
        <v>7625</v>
      </c>
    </row>
    <row r="782" spans="1:7">
      <c r="A782" s="2">
        <v>31</v>
      </c>
      <c r="B782" s="2" t="s">
        <v>207</v>
      </c>
      <c r="C782" s="2">
        <v>341</v>
      </c>
      <c r="D782" s="2" t="s">
        <v>1052</v>
      </c>
      <c r="E782" s="2" t="s">
        <v>7620</v>
      </c>
      <c r="F782" s="2" t="s">
        <v>7611</v>
      </c>
      <c r="G782" s="2" t="s">
        <v>7622</v>
      </c>
    </row>
    <row r="783" spans="1:7">
      <c r="A783" s="3">
        <v>31</v>
      </c>
      <c r="B783" s="3" t="s">
        <v>207</v>
      </c>
      <c r="C783" s="3">
        <v>343</v>
      </c>
      <c r="D783" s="3" t="s">
        <v>977</v>
      </c>
      <c r="E783" s="3" t="s">
        <v>7620</v>
      </c>
      <c r="F783" s="3" t="s">
        <v>7611</v>
      </c>
      <c r="G783" s="3" t="s">
        <v>7625</v>
      </c>
    </row>
    <row r="784" spans="1:7">
      <c r="A784" s="2">
        <v>32</v>
      </c>
      <c r="B784" s="2" t="s">
        <v>164</v>
      </c>
      <c r="C784" s="2">
        <v>34</v>
      </c>
      <c r="D784" s="2" t="s">
        <v>160</v>
      </c>
      <c r="E784" s="2" t="s">
        <v>7613</v>
      </c>
      <c r="F784" s="2" t="s">
        <v>7611</v>
      </c>
      <c r="G784" s="2" t="s">
        <v>7657</v>
      </c>
    </row>
    <row r="785" spans="1:7">
      <c r="A785" s="3">
        <v>32</v>
      </c>
      <c r="B785" s="3" t="s">
        <v>164</v>
      </c>
      <c r="C785" s="3">
        <v>35</v>
      </c>
      <c r="D785" s="3" t="s">
        <v>155</v>
      </c>
      <c r="E785" s="3" t="s">
        <v>7613</v>
      </c>
      <c r="F785" s="3" t="s">
        <v>7611</v>
      </c>
      <c r="G785" s="3" t="s">
        <v>7657</v>
      </c>
    </row>
    <row r="786" spans="1:7">
      <c r="A786" s="2">
        <v>32</v>
      </c>
      <c r="B786" s="2" t="s">
        <v>164</v>
      </c>
      <c r="C786" s="2">
        <v>56</v>
      </c>
      <c r="D786" s="2" t="s">
        <v>12</v>
      </c>
      <c r="E786" s="2" t="s">
        <v>7616</v>
      </c>
      <c r="F786" s="2" t="s">
        <v>7611</v>
      </c>
      <c r="G786" s="2" t="s">
        <v>7617</v>
      </c>
    </row>
    <row r="787" spans="1:7">
      <c r="A787" s="3">
        <v>32</v>
      </c>
      <c r="B787" s="3" t="s">
        <v>164</v>
      </c>
      <c r="C787" s="3">
        <v>97</v>
      </c>
      <c r="D787" s="3" t="s">
        <v>457</v>
      </c>
      <c r="E787" s="3" t="s">
        <v>7618</v>
      </c>
      <c r="F787" s="3" t="s">
        <v>7611</v>
      </c>
      <c r="G787" s="3" t="s">
        <v>7619</v>
      </c>
    </row>
    <row r="788" spans="1:7">
      <c r="A788" s="2">
        <v>32</v>
      </c>
      <c r="B788" s="2" t="s">
        <v>164</v>
      </c>
      <c r="C788" s="2">
        <v>101</v>
      </c>
      <c r="D788" s="2" t="s">
        <v>395</v>
      </c>
      <c r="E788" s="2" t="s">
        <v>7620</v>
      </c>
      <c r="F788" s="2" t="s">
        <v>7611</v>
      </c>
      <c r="G788" s="2" t="s">
        <v>7621</v>
      </c>
    </row>
    <row r="789" spans="1:7">
      <c r="A789" s="3">
        <v>32</v>
      </c>
      <c r="B789" s="3" t="s">
        <v>164</v>
      </c>
      <c r="C789" s="3">
        <v>191</v>
      </c>
      <c r="D789" s="3" t="s">
        <v>719</v>
      </c>
      <c r="E789" s="3" t="s">
        <v>7618</v>
      </c>
      <c r="F789" s="3" t="s">
        <v>7611</v>
      </c>
      <c r="G789" s="3" t="s">
        <v>7636</v>
      </c>
    </row>
    <row r="790" spans="1:7">
      <c r="A790" s="2">
        <v>32</v>
      </c>
      <c r="B790" s="2" t="s">
        <v>164</v>
      </c>
      <c r="C790" s="2">
        <v>195</v>
      </c>
      <c r="D790" s="2" t="s">
        <v>734</v>
      </c>
      <c r="E790" s="2" t="s">
        <v>7618</v>
      </c>
      <c r="F790" s="2" t="s">
        <v>7611</v>
      </c>
      <c r="G790" s="2" t="s">
        <v>7636</v>
      </c>
    </row>
    <row r="791" spans="1:7">
      <c r="A791" s="3">
        <v>32</v>
      </c>
      <c r="B791" s="3" t="s">
        <v>164</v>
      </c>
      <c r="C791" s="3">
        <v>198</v>
      </c>
      <c r="D791" s="3" t="s">
        <v>698</v>
      </c>
      <c r="E791" s="3" t="s">
        <v>7620</v>
      </c>
      <c r="F791" s="3" t="s">
        <v>7611</v>
      </c>
      <c r="G791" s="3" t="s">
        <v>7622</v>
      </c>
    </row>
    <row r="792" spans="1:7">
      <c r="A792" s="2">
        <v>32</v>
      </c>
      <c r="B792" s="2" t="s">
        <v>164</v>
      </c>
      <c r="C792" s="2">
        <v>199</v>
      </c>
      <c r="D792" s="2" t="s">
        <v>702</v>
      </c>
      <c r="E792" s="2" t="s">
        <v>7618</v>
      </c>
      <c r="F792" s="2" t="s">
        <v>7611</v>
      </c>
      <c r="G792" s="2" t="s">
        <v>7619</v>
      </c>
    </row>
    <row r="793" spans="1:7">
      <c r="A793" s="3">
        <v>32</v>
      </c>
      <c r="B793" s="3" t="s">
        <v>164</v>
      </c>
      <c r="C793" s="3">
        <v>200</v>
      </c>
      <c r="D793" s="3" t="s">
        <v>707</v>
      </c>
      <c r="E793" s="3" t="s">
        <v>7620</v>
      </c>
      <c r="F793" s="3" t="s">
        <v>7611</v>
      </c>
      <c r="G793" s="3" t="s">
        <v>7621</v>
      </c>
    </row>
    <row r="794" spans="1:7">
      <c r="A794" s="2">
        <v>32</v>
      </c>
      <c r="B794" s="2" t="s">
        <v>164</v>
      </c>
      <c r="C794" s="2">
        <v>205</v>
      </c>
      <c r="D794" s="2" t="s">
        <v>746</v>
      </c>
      <c r="E794" s="2" t="s">
        <v>7620</v>
      </c>
      <c r="F794" s="2" t="s">
        <v>7611</v>
      </c>
      <c r="G794" s="2" t="s">
        <v>7621</v>
      </c>
    </row>
    <row r="795" spans="1:7">
      <c r="A795" s="3">
        <v>32</v>
      </c>
      <c r="B795" s="3" t="s">
        <v>164</v>
      </c>
      <c r="C795" s="3">
        <v>207</v>
      </c>
      <c r="D795" s="3" t="s">
        <v>749</v>
      </c>
      <c r="E795" s="3" t="s">
        <v>7623</v>
      </c>
      <c r="F795" s="3" t="s">
        <v>7611</v>
      </c>
      <c r="G795" s="3" t="s">
        <v>7639</v>
      </c>
    </row>
    <row r="796" spans="1:7">
      <c r="A796" s="2">
        <v>32</v>
      </c>
      <c r="B796" s="2" t="s">
        <v>164</v>
      </c>
      <c r="C796" s="2">
        <v>208</v>
      </c>
      <c r="D796" s="2" t="s">
        <v>754</v>
      </c>
      <c r="E796" s="2" t="s">
        <v>7620</v>
      </c>
      <c r="F796" s="2" t="s">
        <v>7611</v>
      </c>
      <c r="G796" s="2" t="s">
        <v>7633</v>
      </c>
    </row>
    <row r="797" spans="1:7">
      <c r="A797" s="3">
        <v>32</v>
      </c>
      <c r="B797" s="3" t="s">
        <v>164</v>
      </c>
      <c r="C797" s="3">
        <v>209</v>
      </c>
      <c r="D797" s="3" t="s">
        <v>758</v>
      </c>
      <c r="E797" s="3" t="s">
        <v>7618</v>
      </c>
      <c r="F797" s="3" t="s">
        <v>7608</v>
      </c>
      <c r="G797" s="3" t="s">
        <v>7609</v>
      </c>
    </row>
    <row r="798" spans="1:7">
      <c r="A798" s="2">
        <v>32</v>
      </c>
      <c r="B798" s="2" t="s">
        <v>164</v>
      </c>
      <c r="C798" s="2">
        <v>221</v>
      </c>
      <c r="D798" s="2" t="s">
        <v>813</v>
      </c>
      <c r="E798" s="2" t="s">
        <v>7613</v>
      </c>
      <c r="F798" s="2" t="s">
        <v>7611</v>
      </c>
      <c r="G798" s="2" t="s">
        <v>7614</v>
      </c>
    </row>
    <row r="799" spans="1:7">
      <c r="A799" s="3">
        <v>32</v>
      </c>
      <c r="B799" s="3" t="s">
        <v>164</v>
      </c>
      <c r="C799" s="3">
        <v>264</v>
      </c>
      <c r="D799" s="3" t="s">
        <v>775</v>
      </c>
      <c r="E799" s="3" t="s">
        <v>7618</v>
      </c>
      <c r="F799" s="3" t="s">
        <v>7611</v>
      </c>
      <c r="G799" s="3" t="s">
        <v>7617</v>
      </c>
    </row>
    <row r="800" spans="1:7">
      <c r="A800" s="2">
        <v>32</v>
      </c>
      <c r="B800" s="2" t="s">
        <v>164</v>
      </c>
      <c r="C800" s="2">
        <v>341</v>
      </c>
      <c r="D800" s="2" t="s">
        <v>1052</v>
      </c>
      <c r="E800" s="2" t="s">
        <v>7620</v>
      </c>
      <c r="F800" s="2" t="s">
        <v>7611</v>
      </c>
      <c r="G800" s="2" t="s">
        <v>7622</v>
      </c>
    </row>
    <row r="801" spans="1:7">
      <c r="A801" s="3">
        <v>32</v>
      </c>
      <c r="B801" s="3" t="s">
        <v>164</v>
      </c>
      <c r="C801" s="3">
        <v>343</v>
      </c>
      <c r="D801" s="3" t="s">
        <v>977</v>
      </c>
      <c r="E801" s="3" t="s">
        <v>7620</v>
      </c>
      <c r="F801" s="3" t="s">
        <v>7611</v>
      </c>
      <c r="G801" s="3" t="s">
        <v>7621</v>
      </c>
    </row>
    <row r="802" spans="1:7">
      <c r="A802" s="2">
        <v>33</v>
      </c>
      <c r="B802" s="2" t="s">
        <v>23</v>
      </c>
      <c r="C802" s="2">
        <v>34</v>
      </c>
      <c r="D802" s="2" t="s">
        <v>160</v>
      </c>
      <c r="E802" s="2" t="s">
        <v>7679</v>
      </c>
      <c r="F802" s="2" t="s">
        <v>7628</v>
      </c>
      <c r="G802" s="2" t="s">
        <v>7637</v>
      </c>
    </row>
    <row r="803" spans="1:7">
      <c r="A803" s="3">
        <v>33</v>
      </c>
      <c r="B803" s="3" t="s">
        <v>23</v>
      </c>
      <c r="C803" s="3">
        <v>35</v>
      </c>
      <c r="D803" s="3" t="s">
        <v>155</v>
      </c>
      <c r="E803" s="3" t="s">
        <v>7638</v>
      </c>
      <c r="F803" s="3" t="s">
        <v>7628</v>
      </c>
      <c r="G803" s="3" t="s">
        <v>7644</v>
      </c>
    </row>
    <row r="804" spans="1:7">
      <c r="A804" s="2">
        <v>33</v>
      </c>
      <c r="B804" s="2" t="s">
        <v>23</v>
      </c>
      <c r="C804" s="2">
        <v>56</v>
      </c>
      <c r="D804" s="2" t="s">
        <v>12</v>
      </c>
      <c r="E804" s="2" t="s">
        <v>7616</v>
      </c>
      <c r="F804" s="2" t="s">
        <v>7628</v>
      </c>
      <c r="G804" s="2" t="s">
        <v>7619</v>
      </c>
    </row>
    <row r="805" spans="1:7">
      <c r="A805" s="3">
        <v>33</v>
      </c>
      <c r="B805" s="3" t="s">
        <v>23</v>
      </c>
      <c r="C805" s="3">
        <v>97</v>
      </c>
      <c r="D805" s="3" t="s">
        <v>457</v>
      </c>
      <c r="E805" s="3" t="s">
        <v>7620</v>
      </c>
      <c r="F805" s="3" t="s">
        <v>7628</v>
      </c>
      <c r="G805" s="3" t="s">
        <v>7633</v>
      </c>
    </row>
    <row r="806" spans="1:7">
      <c r="A806" s="2">
        <v>33</v>
      </c>
      <c r="B806" s="2" t="s">
        <v>23</v>
      </c>
      <c r="C806" s="2">
        <v>101</v>
      </c>
      <c r="D806" s="2" t="s">
        <v>395</v>
      </c>
      <c r="E806" s="2" t="s">
        <v>7620</v>
      </c>
      <c r="F806" s="2" t="s">
        <v>7628</v>
      </c>
      <c r="G806" s="2" t="s">
        <v>7633</v>
      </c>
    </row>
    <row r="807" spans="1:7">
      <c r="A807" s="3">
        <v>33</v>
      </c>
      <c r="B807" s="3" t="s">
        <v>23</v>
      </c>
      <c r="C807" s="3">
        <v>191</v>
      </c>
      <c r="D807" s="3" t="s">
        <v>719</v>
      </c>
      <c r="E807" s="3" t="s">
        <v>7620</v>
      </c>
      <c r="F807" s="3" t="s">
        <v>7628</v>
      </c>
      <c r="G807" s="3" t="s">
        <v>7609</v>
      </c>
    </row>
    <row r="808" spans="1:7">
      <c r="A808" s="2">
        <v>33</v>
      </c>
      <c r="B808" s="2" t="s">
        <v>23</v>
      </c>
      <c r="C808" s="2">
        <v>195</v>
      </c>
      <c r="D808" s="2" t="s">
        <v>734</v>
      </c>
      <c r="E808" s="2" t="s">
        <v>7620</v>
      </c>
      <c r="F808" s="2" t="s">
        <v>7628</v>
      </c>
      <c r="G808" s="2" t="s">
        <v>7609</v>
      </c>
    </row>
    <row r="809" spans="1:7">
      <c r="A809" s="3">
        <v>33</v>
      </c>
      <c r="B809" s="3" t="s">
        <v>23</v>
      </c>
      <c r="C809" s="3">
        <v>198</v>
      </c>
      <c r="D809" s="3" t="s">
        <v>698</v>
      </c>
      <c r="E809" s="3" t="s">
        <v>7620</v>
      </c>
      <c r="F809" s="3" t="s">
        <v>7628</v>
      </c>
      <c r="G809" s="3" t="s">
        <v>7609</v>
      </c>
    </row>
    <row r="810" spans="1:7">
      <c r="A810" s="2">
        <v>33</v>
      </c>
      <c r="B810" s="2" t="s">
        <v>23</v>
      </c>
      <c r="C810" s="2">
        <v>199</v>
      </c>
      <c r="D810" s="2" t="s">
        <v>702</v>
      </c>
      <c r="E810" s="2" t="s">
        <v>7620</v>
      </c>
      <c r="F810" s="2" t="s">
        <v>7628</v>
      </c>
      <c r="G810" s="2" t="s">
        <v>7633</v>
      </c>
    </row>
    <row r="811" spans="1:7">
      <c r="A811" s="3">
        <v>33</v>
      </c>
      <c r="B811" s="3" t="s">
        <v>23</v>
      </c>
      <c r="C811" s="3">
        <v>200</v>
      </c>
      <c r="D811" s="3" t="s">
        <v>707</v>
      </c>
      <c r="E811" s="3" t="s">
        <v>7620</v>
      </c>
      <c r="F811" s="3" t="s">
        <v>7628</v>
      </c>
      <c r="G811" s="3" t="s">
        <v>7633</v>
      </c>
    </row>
    <row r="812" spans="1:7">
      <c r="A812" s="2">
        <v>33</v>
      </c>
      <c r="B812" s="2" t="s">
        <v>23</v>
      </c>
      <c r="C812" s="2">
        <v>205</v>
      </c>
      <c r="D812" s="2" t="s">
        <v>746</v>
      </c>
      <c r="E812" s="2" t="s">
        <v>7620</v>
      </c>
      <c r="F812" s="2" t="s">
        <v>7628</v>
      </c>
      <c r="G812" s="2" t="s">
        <v>7609</v>
      </c>
    </row>
    <row r="813" spans="1:7">
      <c r="A813" s="3">
        <v>33</v>
      </c>
      <c r="B813" s="3" t="s">
        <v>23</v>
      </c>
      <c r="C813" s="3">
        <v>207</v>
      </c>
      <c r="D813" s="3" t="s">
        <v>749</v>
      </c>
      <c r="E813" s="3" t="s">
        <v>7640</v>
      </c>
      <c r="F813" s="3" t="s">
        <v>7611</v>
      </c>
      <c r="G813" s="3" t="s">
        <v>7636</v>
      </c>
    </row>
    <row r="814" spans="1:7">
      <c r="A814" s="2">
        <v>33</v>
      </c>
      <c r="B814" s="2" t="s">
        <v>23</v>
      </c>
      <c r="C814" s="2">
        <v>208</v>
      </c>
      <c r="D814" s="2" t="s">
        <v>754</v>
      </c>
      <c r="E814" s="2" t="s">
        <v>7620</v>
      </c>
      <c r="F814" s="2" t="s">
        <v>7628</v>
      </c>
      <c r="G814" s="2" t="s">
        <v>7609</v>
      </c>
    </row>
    <row r="815" spans="1:7">
      <c r="A815" s="3">
        <v>33</v>
      </c>
      <c r="B815" s="3" t="s">
        <v>23</v>
      </c>
      <c r="C815" s="3">
        <v>209</v>
      </c>
      <c r="D815" s="3" t="s">
        <v>758</v>
      </c>
      <c r="E815" s="3" t="s">
        <v>7620</v>
      </c>
      <c r="F815" s="3" t="s">
        <v>7635</v>
      </c>
      <c r="G815" s="3" t="s">
        <v>7622</v>
      </c>
    </row>
    <row r="816" spans="1:7">
      <c r="A816" s="2">
        <v>33</v>
      </c>
      <c r="B816" s="2" t="s">
        <v>23</v>
      </c>
      <c r="C816" s="2">
        <v>221</v>
      </c>
      <c r="D816" s="2" t="s">
        <v>813</v>
      </c>
      <c r="E816" s="2" t="s">
        <v>7638</v>
      </c>
      <c r="F816" s="2" t="s">
        <v>7611</v>
      </c>
      <c r="G816" s="2" t="s">
        <v>7639</v>
      </c>
    </row>
    <row r="817" spans="1:7">
      <c r="A817" s="3">
        <v>33</v>
      </c>
      <c r="B817" s="3" t="s">
        <v>23</v>
      </c>
      <c r="C817" s="3">
        <v>264</v>
      </c>
      <c r="D817" s="3" t="s">
        <v>775</v>
      </c>
      <c r="E817" s="3" t="s">
        <v>7620</v>
      </c>
      <c r="F817" s="3" t="s">
        <v>7628</v>
      </c>
      <c r="G817" s="3" t="s">
        <v>7633</v>
      </c>
    </row>
    <row r="818" spans="1:7">
      <c r="A818" s="2">
        <v>33</v>
      </c>
      <c r="B818" s="2" t="s">
        <v>23</v>
      </c>
      <c r="C818" s="2">
        <v>341</v>
      </c>
      <c r="D818" s="2" t="s">
        <v>1052</v>
      </c>
      <c r="E818" s="2" t="s">
        <v>7620</v>
      </c>
      <c r="F818" s="2" t="s">
        <v>7611</v>
      </c>
      <c r="G818" s="2" t="s">
        <v>7622</v>
      </c>
    </row>
    <row r="819" spans="1:7">
      <c r="A819" s="3">
        <v>33</v>
      </c>
      <c r="B819" s="3" t="s">
        <v>23</v>
      </c>
      <c r="C819" s="3">
        <v>343</v>
      </c>
      <c r="D819" s="3" t="s">
        <v>977</v>
      </c>
      <c r="E819" s="3" t="s">
        <v>7620</v>
      </c>
      <c r="F819" s="3" t="s">
        <v>7628</v>
      </c>
      <c r="G819" s="3" t="s">
        <v>7622</v>
      </c>
    </row>
    <row r="820" spans="1:7">
      <c r="A820" s="2">
        <v>34</v>
      </c>
      <c r="B820" s="2" t="s">
        <v>160</v>
      </c>
      <c r="C820" s="2">
        <v>35</v>
      </c>
      <c r="D820" s="2" t="s">
        <v>155</v>
      </c>
      <c r="E820" s="2" t="s">
        <v>7680</v>
      </c>
      <c r="F820" s="2" t="s">
        <v>7628</v>
      </c>
      <c r="G820" s="2" t="s">
        <v>7681</v>
      </c>
    </row>
    <row r="821" spans="1:7">
      <c r="A821" s="3">
        <v>34</v>
      </c>
      <c r="B821" s="3" t="s">
        <v>160</v>
      </c>
      <c r="C821" s="3">
        <v>36</v>
      </c>
      <c r="D821" s="3" t="s">
        <v>94</v>
      </c>
      <c r="E821" s="3" t="s">
        <v>7616</v>
      </c>
      <c r="F821" s="3" t="s">
        <v>7628</v>
      </c>
      <c r="G821" s="3" t="s">
        <v>7619</v>
      </c>
    </row>
    <row r="822" spans="1:7">
      <c r="A822" s="2">
        <v>34</v>
      </c>
      <c r="B822" s="2" t="s">
        <v>160</v>
      </c>
      <c r="C822" s="2">
        <v>39</v>
      </c>
      <c r="D822" s="2" t="s">
        <v>133</v>
      </c>
      <c r="E822" s="2" t="s">
        <v>7616</v>
      </c>
      <c r="F822" s="2" t="s">
        <v>7628</v>
      </c>
      <c r="G822" s="2" t="s">
        <v>7636</v>
      </c>
    </row>
    <row r="823" spans="1:7">
      <c r="A823" s="3">
        <v>34</v>
      </c>
      <c r="B823" s="3" t="s">
        <v>160</v>
      </c>
      <c r="C823" s="3">
        <v>40</v>
      </c>
      <c r="D823" s="3" t="s">
        <v>188</v>
      </c>
      <c r="E823" s="3" t="s">
        <v>7682</v>
      </c>
      <c r="F823" s="3" t="s">
        <v>7628</v>
      </c>
      <c r="G823" s="3" t="s">
        <v>7642</v>
      </c>
    </row>
    <row r="824" spans="1:7">
      <c r="A824" s="2">
        <v>34</v>
      </c>
      <c r="B824" s="2" t="s">
        <v>160</v>
      </c>
      <c r="C824" s="2">
        <v>41</v>
      </c>
      <c r="D824" s="2" t="s">
        <v>56</v>
      </c>
      <c r="E824" s="2" t="s">
        <v>7627</v>
      </c>
      <c r="F824" s="2" t="s">
        <v>7628</v>
      </c>
      <c r="G824" s="2" t="s">
        <v>7637</v>
      </c>
    </row>
    <row r="825" spans="1:7">
      <c r="A825" s="3">
        <v>34</v>
      </c>
      <c r="B825" s="3" t="s">
        <v>160</v>
      </c>
      <c r="C825" s="3">
        <v>42</v>
      </c>
      <c r="D825" s="3" t="s">
        <v>62</v>
      </c>
      <c r="E825" s="3" t="s">
        <v>7658</v>
      </c>
      <c r="F825" s="3" t="s">
        <v>7628</v>
      </c>
      <c r="G825" s="3" t="s">
        <v>7670</v>
      </c>
    </row>
    <row r="826" spans="1:7">
      <c r="A826" s="2">
        <v>34</v>
      </c>
      <c r="B826" s="2" t="s">
        <v>160</v>
      </c>
      <c r="C826" s="2">
        <v>43</v>
      </c>
      <c r="D826" s="2" t="s">
        <v>205</v>
      </c>
      <c r="E826" s="2" t="s">
        <v>7638</v>
      </c>
      <c r="F826" s="2" t="s">
        <v>7611</v>
      </c>
      <c r="G826" s="2" t="s">
        <v>7624</v>
      </c>
    </row>
    <row r="827" spans="1:7">
      <c r="A827" s="3">
        <v>34</v>
      </c>
      <c r="B827" s="3" t="s">
        <v>160</v>
      </c>
      <c r="C827" s="3">
        <v>44</v>
      </c>
      <c r="D827" s="3" t="s">
        <v>137</v>
      </c>
      <c r="E827" s="3" t="s">
        <v>7627</v>
      </c>
      <c r="F827" s="3" t="s">
        <v>7611</v>
      </c>
      <c r="G827" s="3" t="s">
        <v>7641</v>
      </c>
    </row>
    <row r="828" spans="1:7">
      <c r="A828" s="2">
        <v>34</v>
      </c>
      <c r="B828" s="2" t="s">
        <v>160</v>
      </c>
      <c r="C828" s="2">
        <v>45</v>
      </c>
      <c r="D828" s="2" t="s">
        <v>197</v>
      </c>
      <c r="E828" s="2" t="s">
        <v>7616</v>
      </c>
      <c r="F828" s="2" t="s">
        <v>7683</v>
      </c>
      <c r="G828" s="2" t="s">
        <v>7619</v>
      </c>
    </row>
    <row r="829" spans="1:7">
      <c r="A829" s="3">
        <v>34</v>
      </c>
      <c r="B829" s="3" t="s">
        <v>160</v>
      </c>
      <c r="C829" s="3">
        <v>46</v>
      </c>
      <c r="D829" s="3" t="s">
        <v>89</v>
      </c>
      <c r="E829" s="3" t="s">
        <v>7610</v>
      </c>
      <c r="F829" s="3" t="s">
        <v>7611</v>
      </c>
      <c r="G829" s="3" t="s">
        <v>7632</v>
      </c>
    </row>
    <row r="830" spans="1:7">
      <c r="A830" s="2">
        <v>34</v>
      </c>
      <c r="B830" s="2" t="s">
        <v>160</v>
      </c>
      <c r="C830" s="2">
        <v>47</v>
      </c>
      <c r="D830" s="2" t="s">
        <v>100</v>
      </c>
      <c r="E830" s="2" t="s">
        <v>7679</v>
      </c>
      <c r="F830" s="2" t="s">
        <v>7628</v>
      </c>
      <c r="G830" s="2" t="s">
        <v>7626</v>
      </c>
    </row>
    <row r="831" spans="1:7">
      <c r="A831" s="3">
        <v>34</v>
      </c>
      <c r="B831" s="3" t="s">
        <v>160</v>
      </c>
      <c r="C831" s="3">
        <v>48</v>
      </c>
      <c r="D831" s="3" t="s">
        <v>167</v>
      </c>
      <c r="E831" s="3" t="s">
        <v>7638</v>
      </c>
      <c r="F831" s="3" t="s">
        <v>7611</v>
      </c>
      <c r="G831" s="3" t="s">
        <v>7644</v>
      </c>
    </row>
    <row r="832" spans="1:7">
      <c r="A832" s="2">
        <v>34</v>
      </c>
      <c r="B832" s="2" t="s">
        <v>160</v>
      </c>
      <c r="C832" s="2">
        <v>49</v>
      </c>
      <c r="D832" s="2" t="s">
        <v>158</v>
      </c>
      <c r="E832" s="2" t="s">
        <v>7616</v>
      </c>
      <c r="F832" s="2" t="s">
        <v>7608</v>
      </c>
      <c r="G832" s="2" t="s">
        <v>7633</v>
      </c>
    </row>
    <row r="833" spans="1:7">
      <c r="A833" s="3">
        <v>34</v>
      </c>
      <c r="B833" s="3" t="s">
        <v>160</v>
      </c>
      <c r="C833" s="3">
        <v>50</v>
      </c>
      <c r="D833" s="3" t="s">
        <v>212</v>
      </c>
      <c r="E833" s="3" t="s">
        <v>7610</v>
      </c>
      <c r="F833" s="3" t="s">
        <v>7611</v>
      </c>
      <c r="G833" s="3" t="s">
        <v>7624</v>
      </c>
    </row>
    <row r="834" spans="1:7">
      <c r="A834" s="2">
        <v>34</v>
      </c>
      <c r="B834" s="2" t="s">
        <v>160</v>
      </c>
      <c r="C834" s="2">
        <v>51</v>
      </c>
      <c r="D834" s="2" t="s">
        <v>144</v>
      </c>
      <c r="E834" s="2" t="s">
        <v>7613</v>
      </c>
      <c r="F834" s="2" t="s">
        <v>7611</v>
      </c>
      <c r="G834" s="2" t="s">
        <v>7657</v>
      </c>
    </row>
    <row r="835" spans="1:7">
      <c r="A835" s="3">
        <v>34</v>
      </c>
      <c r="B835" s="3" t="s">
        <v>160</v>
      </c>
      <c r="C835" s="3">
        <v>52</v>
      </c>
      <c r="D835" s="3" t="s">
        <v>149</v>
      </c>
      <c r="E835" s="3" t="s">
        <v>7658</v>
      </c>
      <c r="F835" s="3" t="s">
        <v>7611</v>
      </c>
      <c r="G835" s="3" t="s">
        <v>7641</v>
      </c>
    </row>
    <row r="836" spans="1:7">
      <c r="A836" s="2">
        <v>34</v>
      </c>
      <c r="B836" s="2" t="s">
        <v>160</v>
      </c>
      <c r="C836" s="2">
        <v>53</v>
      </c>
      <c r="D836" s="2" t="s">
        <v>215</v>
      </c>
      <c r="E836" s="2" t="s">
        <v>7607</v>
      </c>
      <c r="F836" s="2" t="s">
        <v>7611</v>
      </c>
      <c r="G836" s="2" t="s">
        <v>7617</v>
      </c>
    </row>
    <row r="837" spans="1:7">
      <c r="A837" s="3">
        <v>34</v>
      </c>
      <c r="B837" s="3" t="s">
        <v>160</v>
      </c>
      <c r="C837" s="3">
        <v>55</v>
      </c>
      <c r="D837" s="3" t="s">
        <v>218</v>
      </c>
      <c r="E837" s="3" t="s">
        <v>7656</v>
      </c>
      <c r="F837" s="3" t="s">
        <v>7628</v>
      </c>
      <c r="G837" s="3" t="s">
        <v>7666</v>
      </c>
    </row>
    <row r="838" spans="1:7">
      <c r="A838" s="2">
        <v>34</v>
      </c>
      <c r="B838" s="2" t="s">
        <v>160</v>
      </c>
      <c r="C838" s="2">
        <v>56</v>
      </c>
      <c r="D838" s="2" t="s">
        <v>12</v>
      </c>
      <c r="E838" s="2" t="s">
        <v>7684</v>
      </c>
      <c r="F838" s="2" t="s">
        <v>7628</v>
      </c>
      <c r="G838" s="2" t="s">
        <v>7632</v>
      </c>
    </row>
    <row r="839" spans="1:7">
      <c r="A839" s="3">
        <v>34</v>
      </c>
      <c r="B839" s="3" t="s">
        <v>160</v>
      </c>
      <c r="C839" s="3">
        <v>57</v>
      </c>
      <c r="D839" s="3" t="s">
        <v>39</v>
      </c>
      <c r="E839" s="3" t="s">
        <v>7667</v>
      </c>
      <c r="F839" s="3" t="s">
        <v>7611</v>
      </c>
      <c r="G839" s="3" t="s">
        <v>7685</v>
      </c>
    </row>
    <row r="840" spans="1:7">
      <c r="A840" s="2">
        <v>34</v>
      </c>
      <c r="B840" s="2" t="s">
        <v>160</v>
      </c>
      <c r="C840" s="2">
        <v>58</v>
      </c>
      <c r="D840" s="2" t="s">
        <v>152</v>
      </c>
      <c r="E840" s="2" t="s">
        <v>7658</v>
      </c>
      <c r="F840" s="2" t="s">
        <v>7628</v>
      </c>
      <c r="G840" s="2" t="s">
        <v>7629</v>
      </c>
    </row>
    <row r="841" spans="1:7">
      <c r="A841" s="3">
        <v>34</v>
      </c>
      <c r="B841" s="3" t="s">
        <v>160</v>
      </c>
      <c r="C841" s="3">
        <v>59</v>
      </c>
      <c r="D841" s="3" t="s">
        <v>28</v>
      </c>
      <c r="E841" s="3" t="s">
        <v>7616</v>
      </c>
      <c r="F841" s="3" t="s">
        <v>7611</v>
      </c>
      <c r="G841" s="3" t="s">
        <v>7609</v>
      </c>
    </row>
    <row r="842" spans="1:7">
      <c r="A842" s="2">
        <v>34</v>
      </c>
      <c r="B842" s="2" t="s">
        <v>160</v>
      </c>
      <c r="C842" s="2">
        <v>60</v>
      </c>
      <c r="D842" s="2" t="s">
        <v>285</v>
      </c>
      <c r="E842" s="2" t="s">
        <v>7686</v>
      </c>
      <c r="F842" s="2" t="s">
        <v>7611</v>
      </c>
      <c r="G842" s="2" t="s">
        <v>7636</v>
      </c>
    </row>
    <row r="843" spans="1:7">
      <c r="A843" s="3">
        <v>34</v>
      </c>
      <c r="B843" s="3" t="s">
        <v>160</v>
      </c>
      <c r="C843" s="3">
        <v>61</v>
      </c>
      <c r="D843" s="3" t="s">
        <v>273</v>
      </c>
      <c r="E843" s="3" t="s">
        <v>7686</v>
      </c>
      <c r="F843" s="3" t="s">
        <v>7611</v>
      </c>
      <c r="G843" s="3" t="s">
        <v>7617</v>
      </c>
    </row>
    <row r="844" spans="1:7">
      <c r="A844" s="2">
        <v>34</v>
      </c>
      <c r="B844" s="2" t="s">
        <v>160</v>
      </c>
      <c r="C844" s="2">
        <v>62</v>
      </c>
      <c r="D844" s="2" t="s">
        <v>280</v>
      </c>
      <c r="E844" s="2" t="s">
        <v>7687</v>
      </c>
      <c r="F844" s="2" t="s">
        <v>7611</v>
      </c>
      <c r="G844" s="2" t="s">
        <v>7644</v>
      </c>
    </row>
    <row r="845" spans="1:7">
      <c r="A845" s="3">
        <v>34</v>
      </c>
      <c r="B845" s="3" t="s">
        <v>160</v>
      </c>
      <c r="C845" s="3">
        <v>63</v>
      </c>
      <c r="D845" s="3" t="s">
        <v>265</v>
      </c>
      <c r="E845" s="3" t="s">
        <v>7688</v>
      </c>
      <c r="F845" s="3" t="s">
        <v>7628</v>
      </c>
      <c r="G845" s="3" t="s">
        <v>7642</v>
      </c>
    </row>
    <row r="846" spans="1:7">
      <c r="A846" s="2">
        <v>34</v>
      </c>
      <c r="B846" s="2" t="s">
        <v>160</v>
      </c>
      <c r="C846" s="2">
        <v>64</v>
      </c>
      <c r="D846" s="2" t="s">
        <v>283</v>
      </c>
      <c r="E846" s="2" t="s">
        <v>7687</v>
      </c>
      <c r="F846" s="2" t="s">
        <v>7611</v>
      </c>
      <c r="G846" s="2" t="s">
        <v>7632</v>
      </c>
    </row>
    <row r="847" spans="1:7">
      <c r="A847" s="3">
        <v>34</v>
      </c>
      <c r="B847" s="3" t="s">
        <v>160</v>
      </c>
      <c r="C847" s="3">
        <v>65</v>
      </c>
      <c r="D847" s="3" t="s">
        <v>243</v>
      </c>
      <c r="E847" s="3" t="s">
        <v>7686</v>
      </c>
      <c r="F847" s="3" t="s">
        <v>7628</v>
      </c>
      <c r="G847" s="3" t="s">
        <v>7639</v>
      </c>
    </row>
    <row r="848" spans="1:7">
      <c r="A848" s="2">
        <v>34</v>
      </c>
      <c r="B848" s="2" t="s">
        <v>160</v>
      </c>
      <c r="C848" s="2">
        <v>66</v>
      </c>
      <c r="D848" s="2" t="s">
        <v>249</v>
      </c>
      <c r="E848" s="2" t="s">
        <v>7689</v>
      </c>
      <c r="F848" s="2" t="s">
        <v>7611</v>
      </c>
      <c r="G848" s="2" t="s">
        <v>7626</v>
      </c>
    </row>
    <row r="849" spans="1:7">
      <c r="A849" s="3">
        <v>34</v>
      </c>
      <c r="B849" s="3" t="s">
        <v>160</v>
      </c>
      <c r="C849" s="3">
        <v>67</v>
      </c>
      <c r="D849" s="3" t="s">
        <v>252</v>
      </c>
      <c r="E849" s="3" t="s">
        <v>7687</v>
      </c>
      <c r="F849" s="3" t="s">
        <v>7628</v>
      </c>
      <c r="G849" s="3" t="s">
        <v>7644</v>
      </c>
    </row>
    <row r="850" spans="1:7">
      <c r="A850" s="2">
        <v>34</v>
      </c>
      <c r="B850" s="2" t="s">
        <v>160</v>
      </c>
      <c r="C850" s="2">
        <v>68</v>
      </c>
      <c r="D850" s="2" t="s">
        <v>254</v>
      </c>
      <c r="E850" s="2" t="s">
        <v>7688</v>
      </c>
      <c r="F850" s="2" t="s">
        <v>7608</v>
      </c>
      <c r="G850" s="2" t="s">
        <v>7641</v>
      </c>
    </row>
    <row r="851" spans="1:7">
      <c r="A851" s="3">
        <v>34</v>
      </c>
      <c r="B851" s="3" t="s">
        <v>160</v>
      </c>
      <c r="C851" s="3">
        <v>69</v>
      </c>
      <c r="D851" s="3" t="s">
        <v>259</v>
      </c>
      <c r="E851" s="3" t="s">
        <v>7688</v>
      </c>
      <c r="F851" s="3" t="s">
        <v>7611</v>
      </c>
      <c r="G851" s="3" t="s">
        <v>7612</v>
      </c>
    </row>
    <row r="852" spans="1:7">
      <c r="A852" s="2">
        <v>34</v>
      </c>
      <c r="B852" s="2" t="s">
        <v>160</v>
      </c>
      <c r="C852" s="2">
        <v>70</v>
      </c>
      <c r="D852" s="2" t="s">
        <v>262</v>
      </c>
      <c r="E852" s="2" t="s">
        <v>7690</v>
      </c>
      <c r="F852" s="2" t="s">
        <v>7611</v>
      </c>
      <c r="G852" s="2" t="s">
        <v>7670</v>
      </c>
    </row>
    <row r="853" spans="1:7">
      <c r="A853" s="3">
        <v>34</v>
      </c>
      <c r="B853" s="3" t="s">
        <v>160</v>
      </c>
      <c r="C853" s="3">
        <v>71</v>
      </c>
      <c r="D853" s="3" t="s">
        <v>235</v>
      </c>
      <c r="E853" s="3" t="s">
        <v>7688</v>
      </c>
      <c r="F853" s="3" t="s">
        <v>7611</v>
      </c>
      <c r="G853" s="3" t="s">
        <v>7612</v>
      </c>
    </row>
    <row r="854" spans="1:7">
      <c r="A854" s="2">
        <v>34</v>
      </c>
      <c r="B854" s="2" t="s">
        <v>160</v>
      </c>
      <c r="C854" s="2">
        <v>72</v>
      </c>
      <c r="D854" s="2" t="s">
        <v>238</v>
      </c>
      <c r="E854" s="2" t="s">
        <v>7687</v>
      </c>
      <c r="F854" s="2" t="s">
        <v>7628</v>
      </c>
      <c r="G854" s="2" t="s">
        <v>7644</v>
      </c>
    </row>
    <row r="855" spans="1:7">
      <c r="A855" s="3">
        <v>34</v>
      </c>
      <c r="B855" s="3" t="s">
        <v>160</v>
      </c>
      <c r="C855" s="3">
        <v>73</v>
      </c>
      <c r="D855" s="3" t="s">
        <v>240</v>
      </c>
      <c r="E855" s="3" t="s">
        <v>7691</v>
      </c>
      <c r="F855" s="3" t="s">
        <v>7628</v>
      </c>
      <c r="G855" s="3" t="s">
        <v>7632</v>
      </c>
    </row>
    <row r="856" spans="1:7">
      <c r="A856" s="2">
        <v>34</v>
      </c>
      <c r="B856" s="2" t="s">
        <v>160</v>
      </c>
      <c r="C856" s="2">
        <v>74</v>
      </c>
      <c r="D856" s="2" t="s">
        <v>293</v>
      </c>
      <c r="E856" s="2" t="s">
        <v>7692</v>
      </c>
      <c r="F856" s="2" t="s">
        <v>7611</v>
      </c>
      <c r="G856" s="2" t="s">
        <v>7639</v>
      </c>
    </row>
    <row r="857" spans="1:7">
      <c r="A857" s="3">
        <v>34</v>
      </c>
      <c r="B857" s="3" t="s">
        <v>160</v>
      </c>
      <c r="C857" s="3">
        <v>75</v>
      </c>
      <c r="D857" s="3" t="s">
        <v>230</v>
      </c>
      <c r="E857" s="3" t="s">
        <v>7687</v>
      </c>
      <c r="F857" s="3" t="s">
        <v>7635</v>
      </c>
      <c r="G857" s="3" t="s">
        <v>7624</v>
      </c>
    </row>
    <row r="858" spans="1:7">
      <c r="A858" s="2">
        <v>34</v>
      </c>
      <c r="B858" s="2" t="s">
        <v>160</v>
      </c>
      <c r="C858" s="2">
        <v>76</v>
      </c>
      <c r="D858" s="2" t="s">
        <v>268</v>
      </c>
      <c r="E858" s="2" t="s">
        <v>7690</v>
      </c>
      <c r="F858" s="2" t="s">
        <v>7611</v>
      </c>
      <c r="G858" s="2" t="s">
        <v>7629</v>
      </c>
    </row>
    <row r="859" spans="1:7">
      <c r="A859" s="3">
        <v>34</v>
      </c>
      <c r="B859" s="3" t="s">
        <v>160</v>
      </c>
      <c r="C859" s="3">
        <v>77</v>
      </c>
      <c r="D859" s="3" t="s">
        <v>297</v>
      </c>
      <c r="E859" s="3" t="s">
        <v>7687</v>
      </c>
      <c r="F859" s="3" t="s">
        <v>7611</v>
      </c>
      <c r="G859" s="3" t="s">
        <v>7639</v>
      </c>
    </row>
    <row r="860" spans="1:7">
      <c r="A860" s="2">
        <v>34</v>
      </c>
      <c r="B860" s="2" t="s">
        <v>160</v>
      </c>
      <c r="C860" s="2">
        <v>78</v>
      </c>
      <c r="D860" s="2" t="s">
        <v>301</v>
      </c>
      <c r="E860" s="2" t="s">
        <v>7691</v>
      </c>
      <c r="F860" s="2" t="s">
        <v>7611</v>
      </c>
      <c r="G860" s="2" t="s">
        <v>7639</v>
      </c>
    </row>
    <row r="861" spans="1:7">
      <c r="A861" s="3">
        <v>34</v>
      </c>
      <c r="B861" s="3" t="s">
        <v>160</v>
      </c>
      <c r="C861" s="3">
        <v>79</v>
      </c>
      <c r="D861" s="3" t="s">
        <v>246</v>
      </c>
      <c r="E861" s="3" t="s">
        <v>7691</v>
      </c>
      <c r="F861" s="3" t="s">
        <v>7611</v>
      </c>
      <c r="G861" s="3" t="s">
        <v>7644</v>
      </c>
    </row>
    <row r="862" spans="1:7">
      <c r="A862" s="2">
        <v>34</v>
      </c>
      <c r="B862" s="2" t="s">
        <v>160</v>
      </c>
      <c r="C862" s="2">
        <v>80</v>
      </c>
      <c r="D862" s="2" t="s">
        <v>289</v>
      </c>
      <c r="E862" s="2" t="s">
        <v>7691</v>
      </c>
      <c r="F862" s="2" t="s">
        <v>7628</v>
      </c>
      <c r="G862" s="2" t="s">
        <v>7644</v>
      </c>
    </row>
    <row r="863" spans="1:7">
      <c r="A863" s="3">
        <v>34</v>
      </c>
      <c r="B863" s="3" t="s">
        <v>160</v>
      </c>
      <c r="C863" s="3">
        <v>81</v>
      </c>
      <c r="D863" s="3" t="s">
        <v>308</v>
      </c>
      <c r="E863" s="3" t="s">
        <v>7692</v>
      </c>
      <c r="F863" s="3" t="s">
        <v>7611</v>
      </c>
      <c r="G863" s="3" t="s">
        <v>7624</v>
      </c>
    </row>
    <row r="864" spans="1:7">
      <c r="A864" s="2">
        <v>34</v>
      </c>
      <c r="B864" s="2" t="s">
        <v>160</v>
      </c>
      <c r="C864" s="2">
        <v>82</v>
      </c>
      <c r="D864" s="2" t="s">
        <v>277</v>
      </c>
      <c r="E864" s="2" t="s">
        <v>7689</v>
      </c>
      <c r="F864" s="2" t="s">
        <v>7611</v>
      </c>
      <c r="G864" s="2" t="s">
        <v>7626</v>
      </c>
    </row>
    <row r="865" spans="1:7">
      <c r="A865" s="3">
        <v>34</v>
      </c>
      <c r="B865" s="3" t="s">
        <v>160</v>
      </c>
      <c r="C865" s="3">
        <v>83</v>
      </c>
      <c r="D865" s="3" t="s">
        <v>304</v>
      </c>
      <c r="E865" s="3" t="s">
        <v>7692</v>
      </c>
      <c r="F865" s="3" t="s">
        <v>7611</v>
      </c>
      <c r="G865" s="3" t="s">
        <v>7624</v>
      </c>
    </row>
    <row r="866" spans="1:7">
      <c r="A866" s="2">
        <v>34</v>
      </c>
      <c r="B866" s="2" t="s">
        <v>160</v>
      </c>
      <c r="C866" s="2">
        <v>85</v>
      </c>
      <c r="D866" s="2" t="s">
        <v>334</v>
      </c>
      <c r="E866" s="2" t="s">
        <v>7620</v>
      </c>
      <c r="F866" s="2" t="s">
        <v>7611</v>
      </c>
      <c r="G866" s="2" t="s">
        <v>7625</v>
      </c>
    </row>
    <row r="867" spans="1:7">
      <c r="A867" s="3">
        <v>34</v>
      </c>
      <c r="B867" s="3" t="s">
        <v>160</v>
      </c>
      <c r="C867" s="3">
        <v>86</v>
      </c>
      <c r="D867" s="3" t="s">
        <v>322</v>
      </c>
      <c r="E867" s="3" t="s">
        <v>7618</v>
      </c>
      <c r="F867" s="3" t="s">
        <v>7608</v>
      </c>
      <c r="G867" s="3" t="s">
        <v>7633</v>
      </c>
    </row>
    <row r="868" spans="1:7">
      <c r="A868" s="2">
        <v>34</v>
      </c>
      <c r="B868" s="2" t="s">
        <v>160</v>
      </c>
      <c r="C868" s="2">
        <v>88</v>
      </c>
      <c r="D868" s="2" t="s">
        <v>312</v>
      </c>
      <c r="E868" s="2" t="s">
        <v>7618</v>
      </c>
      <c r="F868" s="2" t="s">
        <v>7611</v>
      </c>
      <c r="G868" s="2" t="s">
        <v>7636</v>
      </c>
    </row>
    <row r="869" spans="1:7">
      <c r="A869" s="3">
        <v>34</v>
      </c>
      <c r="B869" s="3" t="s">
        <v>160</v>
      </c>
      <c r="C869" s="3">
        <v>89</v>
      </c>
      <c r="D869" s="3" t="s">
        <v>339</v>
      </c>
      <c r="E869" s="3" t="s">
        <v>7618</v>
      </c>
      <c r="F869" s="3" t="s">
        <v>7608</v>
      </c>
      <c r="G869" s="3" t="s">
        <v>7633</v>
      </c>
    </row>
    <row r="870" spans="1:7">
      <c r="A870" s="2">
        <v>34</v>
      </c>
      <c r="B870" s="2" t="s">
        <v>160</v>
      </c>
      <c r="C870" s="2">
        <v>91</v>
      </c>
      <c r="D870" s="2" t="s">
        <v>326</v>
      </c>
      <c r="E870" s="2" t="s">
        <v>7687</v>
      </c>
      <c r="F870" s="2" t="s">
        <v>7611</v>
      </c>
      <c r="G870" s="2" t="s">
        <v>7632</v>
      </c>
    </row>
    <row r="871" spans="1:7">
      <c r="A871" s="3">
        <v>34</v>
      </c>
      <c r="B871" s="3" t="s">
        <v>160</v>
      </c>
      <c r="C871" s="3">
        <v>92</v>
      </c>
      <c r="D871" s="3" t="s">
        <v>330</v>
      </c>
      <c r="E871" s="3" t="s">
        <v>7618</v>
      </c>
      <c r="F871" s="3" t="s">
        <v>7628</v>
      </c>
      <c r="G871" s="3" t="s">
        <v>7634</v>
      </c>
    </row>
    <row r="872" spans="1:7">
      <c r="A872" s="2">
        <v>34</v>
      </c>
      <c r="B872" s="2" t="s">
        <v>160</v>
      </c>
      <c r="C872" s="2">
        <v>93</v>
      </c>
      <c r="D872" s="2" t="s">
        <v>351</v>
      </c>
      <c r="E872" s="2" t="s">
        <v>7686</v>
      </c>
      <c r="F872" s="2" t="s">
        <v>7608</v>
      </c>
      <c r="G872" s="2" t="s">
        <v>7633</v>
      </c>
    </row>
    <row r="873" spans="1:7">
      <c r="A873" s="3">
        <v>34</v>
      </c>
      <c r="B873" s="3" t="s">
        <v>160</v>
      </c>
      <c r="C873" s="3">
        <v>94</v>
      </c>
      <c r="D873" s="3" t="s">
        <v>316</v>
      </c>
      <c r="E873" s="3" t="s">
        <v>7618</v>
      </c>
      <c r="F873" s="3" t="s">
        <v>7635</v>
      </c>
      <c r="G873" s="3" t="s">
        <v>7617</v>
      </c>
    </row>
    <row r="874" spans="1:7">
      <c r="A874" s="2">
        <v>34</v>
      </c>
      <c r="B874" s="2" t="s">
        <v>160</v>
      </c>
      <c r="C874" s="2">
        <v>95</v>
      </c>
      <c r="D874" s="2" t="s">
        <v>342</v>
      </c>
      <c r="E874" s="2" t="s">
        <v>7620</v>
      </c>
      <c r="F874" s="2" t="s">
        <v>7611</v>
      </c>
      <c r="G874" s="2" t="s">
        <v>7621</v>
      </c>
    </row>
    <row r="875" spans="1:7">
      <c r="A875" s="3">
        <v>34</v>
      </c>
      <c r="B875" s="3" t="s">
        <v>160</v>
      </c>
      <c r="C875" s="3">
        <v>96</v>
      </c>
      <c r="D875" s="3" t="s">
        <v>359</v>
      </c>
      <c r="E875" s="3" t="s">
        <v>7687</v>
      </c>
      <c r="F875" s="3" t="s">
        <v>7611</v>
      </c>
      <c r="G875" s="3" t="s">
        <v>7624</v>
      </c>
    </row>
    <row r="876" spans="1:7">
      <c r="A876" s="2">
        <v>34</v>
      </c>
      <c r="B876" s="2" t="s">
        <v>160</v>
      </c>
      <c r="C876" s="2">
        <v>97</v>
      </c>
      <c r="D876" s="2" t="s">
        <v>457</v>
      </c>
      <c r="E876" s="2" t="s">
        <v>7693</v>
      </c>
      <c r="F876" s="2" t="s">
        <v>7628</v>
      </c>
      <c r="G876" s="2" t="s">
        <v>7644</v>
      </c>
    </row>
    <row r="877" spans="1:7">
      <c r="A877" s="3">
        <v>34</v>
      </c>
      <c r="B877" s="3" t="s">
        <v>160</v>
      </c>
      <c r="C877" s="3">
        <v>98</v>
      </c>
      <c r="D877" s="3" t="s">
        <v>440</v>
      </c>
      <c r="E877" s="3" t="s">
        <v>7640</v>
      </c>
      <c r="F877" s="3" t="s">
        <v>7611</v>
      </c>
      <c r="G877" s="3" t="s">
        <v>7609</v>
      </c>
    </row>
    <row r="878" spans="1:7">
      <c r="A878" s="2">
        <v>34</v>
      </c>
      <c r="B878" s="2" t="s">
        <v>160</v>
      </c>
      <c r="C878" s="2">
        <v>99</v>
      </c>
      <c r="D878" s="2" t="s">
        <v>446</v>
      </c>
      <c r="E878" s="2" t="s">
        <v>7620</v>
      </c>
      <c r="F878" s="2" t="s">
        <v>7628</v>
      </c>
      <c r="G878" s="2" t="s">
        <v>7622</v>
      </c>
    </row>
    <row r="879" spans="1:7">
      <c r="A879" s="3">
        <v>34</v>
      </c>
      <c r="B879" s="3" t="s">
        <v>160</v>
      </c>
      <c r="C879" s="3">
        <v>101</v>
      </c>
      <c r="D879" s="3" t="s">
        <v>395</v>
      </c>
      <c r="E879" s="3" t="s">
        <v>7694</v>
      </c>
      <c r="F879" s="3" t="s">
        <v>7695</v>
      </c>
      <c r="G879" s="3" t="s">
        <v>7624</v>
      </c>
    </row>
    <row r="880" spans="1:7">
      <c r="A880" s="2">
        <v>34</v>
      </c>
      <c r="B880" s="2" t="s">
        <v>160</v>
      </c>
      <c r="C880" s="2">
        <v>102</v>
      </c>
      <c r="D880" s="2" t="s">
        <v>540</v>
      </c>
      <c r="E880" s="2" t="s">
        <v>7620</v>
      </c>
      <c r="F880" s="2" t="s">
        <v>7611</v>
      </c>
      <c r="G880" s="2" t="s">
        <v>7625</v>
      </c>
    </row>
    <row r="881" spans="1:7">
      <c r="A881" s="3">
        <v>34</v>
      </c>
      <c r="B881" s="3" t="s">
        <v>160</v>
      </c>
      <c r="C881" s="3">
        <v>103</v>
      </c>
      <c r="D881" s="3" t="s">
        <v>384</v>
      </c>
      <c r="E881" s="3" t="s">
        <v>7694</v>
      </c>
      <c r="F881" s="3" t="s">
        <v>7608</v>
      </c>
      <c r="G881" s="3" t="s">
        <v>7622</v>
      </c>
    </row>
    <row r="882" spans="1:7">
      <c r="A882" s="2">
        <v>34</v>
      </c>
      <c r="B882" s="2" t="s">
        <v>160</v>
      </c>
      <c r="C882" s="2">
        <v>104</v>
      </c>
      <c r="D882" s="2" t="s">
        <v>493</v>
      </c>
      <c r="E882" s="2" t="s">
        <v>7620</v>
      </c>
      <c r="F882" s="2" t="s">
        <v>7611</v>
      </c>
      <c r="G882" s="2" t="s">
        <v>7621</v>
      </c>
    </row>
    <row r="883" spans="1:7">
      <c r="A883" s="3">
        <v>34</v>
      </c>
      <c r="B883" s="3" t="s">
        <v>160</v>
      </c>
      <c r="C883" s="3">
        <v>105</v>
      </c>
      <c r="D883" s="3" t="s">
        <v>582</v>
      </c>
      <c r="E883" s="3" t="s">
        <v>7620</v>
      </c>
      <c r="F883" s="3" t="s">
        <v>7611</v>
      </c>
      <c r="G883" s="3" t="s">
        <v>7625</v>
      </c>
    </row>
    <row r="884" spans="1:7">
      <c r="A884" s="2">
        <v>34</v>
      </c>
      <c r="B884" s="2" t="s">
        <v>160</v>
      </c>
      <c r="C884" s="2">
        <v>107</v>
      </c>
      <c r="D884" s="2" t="s">
        <v>536</v>
      </c>
      <c r="E884" s="2" t="s">
        <v>7618</v>
      </c>
      <c r="F884" s="2" t="s">
        <v>7611</v>
      </c>
      <c r="G884" s="2" t="s">
        <v>7617</v>
      </c>
    </row>
    <row r="885" spans="1:7">
      <c r="A885" s="3">
        <v>34</v>
      </c>
      <c r="B885" s="3" t="s">
        <v>160</v>
      </c>
      <c r="C885" s="3">
        <v>108</v>
      </c>
      <c r="D885" s="3" t="s">
        <v>548</v>
      </c>
      <c r="E885" s="3" t="s">
        <v>7618</v>
      </c>
      <c r="F885" s="3" t="s">
        <v>7611</v>
      </c>
      <c r="G885" s="3" t="s">
        <v>7617</v>
      </c>
    </row>
    <row r="886" spans="1:7">
      <c r="A886" s="2">
        <v>34</v>
      </c>
      <c r="B886" s="2" t="s">
        <v>160</v>
      </c>
      <c r="C886" s="2">
        <v>109</v>
      </c>
      <c r="D886" s="2" t="s">
        <v>489</v>
      </c>
      <c r="E886" s="2" t="s">
        <v>7618</v>
      </c>
      <c r="F886" s="2" t="s">
        <v>7608</v>
      </c>
      <c r="G886" s="2" t="s">
        <v>7633</v>
      </c>
    </row>
    <row r="887" spans="1:7">
      <c r="A887" s="3">
        <v>34</v>
      </c>
      <c r="B887" s="3" t="s">
        <v>160</v>
      </c>
      <c r="C887" s="3">
        <v>111</v>
      </c>
      <c r="D887" s="3" t="s">
        <v>407</v>
      </c>
      <c r="E887" s="3" t="s">
        <v>7618</v>
      </c>
      <c r="F887" s="3" t="s">
        <v>7608</v>
      </c>
      <c r="G887" s="3" t="s">
        <v>7609</v>
      </c>
    </row>
    <row r="888" spans="1:7">
      <c r="A888" s="2">
        <v>34</v>
      </c>
      <c r="B888" s="2" t="s">
        <v>160</v>
      </c>
      <c r="C888" s="2">
        <v>112</v>
      </c>
      <c r="D888" s="2" t="s">
        <v>517</v>
      </c>
      <c r="E888" s="2" t="s">
        <v>7620</v>
      </c>
      <c r="F888" s="2" t="s">
        <v>7628</v>
      </c>
      <c r="G888" s="2" t="s">
        <v>7633</v>
      </c>
    </row>
    <row r="889" spans="1:7">
      <c r="A889" s="3">
        <v>34</v>
      </c>
      <c r="B889" s="3" t="s">
        <v>160</v>
      </c>
      <c r="C889" s="3">
        <v>113</v>
      </c>
      <c r="D889" s="3" t="s">
        <v>595</v>
      </c>
      <c r="E889" s="3" t="s">
        <v>7640</v>
      </c>
      <c r="F889" s="3" t="s">
        <v>7611</v>
      </c>
      <c r="G889" s="3" t="s">
        <v>7617</v>
      </c>
    </row>
    <row r="890" spans="1:7">
      <c r="A890" s="2">
        <v>34</v>
      </c>
      <c r="B890" s="2" t="s">
        <v>160</v>
      </c>
      <c r="C890" s="2">
        <v>114</v>
      </c>
      <c r="D890" s="2" t="s">
        <v>461</v>
      </c>
      <c r="E890" s="2" t="s">
        <v>7620</v>
      </c>
      <c r="F890" s="2" t="s">
        <v>7611</v>
      </c>
      <c r="G890" s="2" t="s">
        <v>7625</v>
      </c>
    </row>
    <row r="891" spans="1:7">
      <c r="A891" s="3">
        <v>34</v>
      </c>
      <c r="B891" s="3" t="s">
        <v>160</v>
      </c>
      <c r="C891" s="3">
        <v>115</v>
      </c>
      <c r="D891" s="3" t="s">
        <v>476</v>
      </c>
      <c r="E891" s="3" t="s">
        <v>7620</v>
      </c>
      <c r="F891" s="3" t="s">
        <v>7611</v>
      </c>
      <c r="G891" s="3" t="s">
        <v>7625</v>
      </c>
    </row>
    <row r="892" spans="1:7">
      <c r="A892" s="2">
        <v>34</v>
      </c>
      <c r="B892" s="2" t="s">
        <v>160</v>
      </c>
      <c r="C892" s="2">
        <v>116</v>
      </c>
      <c r="D892" s="2" t="s">
        <v>584</v>
      </c>
      <c r="E892" s="2" t="s">
        <v>7640</v>
      </c>
      <c r="F892" s="2" t="s">
        <v>7611</v>
      </c>
      <c r="G892" s="2" t="s">
        <v>7609</v>
      </c>
    </row>
    <row r="893" spans="1:7">
      <c r="A893" s="3">
        <v>34</v>
      </c>
      <c r="B893" s="3" t="s">
        <v>160</v>
      </c>
      <c r="C893" s="3">
        <v>117</v>
      </c>
      <c r="D893" s="3" t="s">
        <v>528</v>
      </c>
      <c r="E893" s="3" t="s">
        <v>7620</v>
      </c>
      <c r="F893" s="3" t="s">
        <v>7611</v>
      </c>
      <c r="G893" s="3" t="s">
        <v>7621</v>
      </c>
    </row>
    <row r="894" spans="1:7">
      <c r="A894" s="2">
        <v>34</v>
      </c>
      <c r="B894" s="2" t="s">
        <v>160</v>
      </c>
      <c r="C894" s="2">
        <v>118</v>
      </c>
      <c r="D894" s="2" t="s">
        <v>514</v>
      </c>
      <c r="E894" s="2" t="s">
        <v>7696</v>
      </c>
      <c r="F894" s="2" t="s">
        <v>7611</v>
      </c>
      <c r="G894" s="2" t="s">
        <v>7617</v>
      </c>
    </row>
    <row r="895" spans="1:7">
      <c r="A895" s="3">
        <v>34</v>
      </c>
      <c r="B895" s="3" t="s">
        <v>160</v>
      </c>
      <c r="C895" s="3">
        <v>119</v>
      </c>
      <c r="D895" s="3" t="s">
        <v>367</v>
      </c>
      <c r="E895" s="3" t="s">
        <v>7620</v>
      </c>
      <c r="F895" s="3" t="s">
        <v>7628</v>
      </c>
      <c r="G895" s="3" t="s">
        <v>7633</v>
      </c>
    </row>
    <row r="896" spans="1:7">
      <c r="A896" s="2">
        <v>34</v>
      </c>
      <c r="B896" s="2" t="s">
        <v>160</v>
      </c>
      <c r="C896" s="2">
        <v>120</v>
      </c>
      <c r="D896" s="2" t="s">
        <v>465</v>
      </c>
      <c r="E896" s="2" t="s">
        <v>7620</v>
      </c>
      <c r="F896" s="2" t="s">
        <v>7611</v>
      </c>
      <c r="G896" s="2" t="s">
        <v>7621</v>
      </c>
    </row>
    <row r="897" spans="1:7">
      <c r="A897" s="3">
        <v>34</v>
      </c>
      <c r="B897" s="3" t="s">
        <v>160</v>
      </c>
      <c r="C897" s="3">
        <v>121</v>
      </c>
      <c r="D897" s="3" t="s">
        <v>510</v>
      </c>
      <c r="E897" s="3" t="s">
        <v>7640</v>
      </c>
      <c r="F897" s="3" t="s">
        <v>7611</v>
      </c>
      <c r="G897" s="3" t="s">
        <v>7617</v>
      </c>
    </row>
    <row r="898" spans="1:7">
      <c r="A898" s="2">
        <v>34</v>
      </c>
      <c r="B898" s="2" t="s">
        <v>160</v>
      </c>
      <c r="C898" s="2">
        <v>122</v>
      </c>
      <c r="D898" s="2" t="s">
        <v>391</v>
      </c>
      <c r="E898" s="2" t="s">
        <v>7688</v>
      </c>
      <c r="F898" s="2" t="s">
        <v>7611</v>
      </c>
      <c r="G898" s="2" t="s">
        <v>7612</v>
      </c>
    </row>
    <row r="899" spans="1:7">
      <c r="A899" s="3">
        <v>34</v>
      </c>
      <c r="B899" s="3" t="s">
        <v>160</v>
      </c>
      <c r="C899" s="3">
        <v>123</v>
      </c>
      <c r="D899" s="3" t="s">
        <v>571</v>
      </c>
      <c r="E899" s="3" t="s">
        <v>7620</v>
      </c>
      <c r="F899" s="3" t="s">
        <v>7628</v>
      </c>
      <c r="G899" s="3" t="s">
        <v>7622</v>
      </c>
    </row>
    <row r="900" spans="1:7">
      <c r="A900" s="2">
        <v>34</v>
      </c>
      <c r="B900" s="2" t="s">
        <v>160</v>
      </c>
      <c r="C900" s="2">
        <v>124</v>
      </c>
      <c r="D900" s="2" t="s">
        <v>524</v>
      </c>
      <c r="E900" s="2" t="s">
        <v>7620</v>
      </c>
      <c r="F900" s="2" t="s">
        <v>7611</v>
      </c>
      <c r="G900" s="2" t="s">
        <v>7621</v>
      </c>
    </row>
    <row r="901" spans="1:7">
      <c r="A901" s="3">
        <v>34</v>
      </c>
      <c r="B901" s="3" t="s">
        <v>160</v>
      </c>
      <c r="C901" s="3">
        <v>125</v>
      </c>
      <c r="D901" s="3" t="s">
        <v>565</v>
      </c>
      <c r="E901" s="3" t="s">
        <v>7620</v>
      </c>
      <c r="F901" s="3" t="s">
        <v>7611</v>
      </c>
      <c r="G901" s="3" t="s">
        <v>7621</v>
      </c>
    </row>
    <row r="902" spans="1:7">
      <c r="A902" s="2">
        <v>34</v>
      </c>
      <c r="B902" s="2" t="s">
        <v>160</v>
      </c>
      <c r="C902" s="2">
        <v>127</v>
      </c>
      <c r="D902" s="2" t="s">
        <v>575</v>
      </c>
      <c r="E902" s="2" t="s">
        <v>7620</v>
      </c>
      <c r="F902" s="2" t="s">
        <v>7611</v>
      </c>
      <c r="G902" s="2" t="s">
        <v>7625</v>
      </c>
    </row>
    <row r="903" spans="1:7">
      <c r="A903" s="3">
        <v>34</v>
      </c>
      <c r="B903" s="3" t="s">
        <v>160</v>
      </c>
      <c r="C903" s="3">
        <v>128</v>
      </c>
      <c r="D903" s="3" t="s">
        <v>355</v>
      </c>
      <c r="E903" s="3" t="s">
        <v>7686</v>
      </c>
      <c r="F903" s="3" t="s">
        <v>7611</v>
      </c>
      <c r="G903" s="3" t="s">
        <v>7636</v>
      </c>
    </row>
    <row r="904" spans="1:7">
      <c r="A904" s="2">
        <v>34</v>
      </c>
      <c r="B904" s="2" t="s">
        <v>160</v>
      </c>
      <c r="C904" s="2">
        <v>129</v>
      </c>
      <c r="D904" s="2" t="s">
        <v>499</v>
      </c>
      <c r="E904" s="2" t="s">
        <v>7696</v>
      </c>
      <c r="F904" s="2" t="s">
        <v>7611</v>
      </c>
      <c r="G904" s="2" t="s">
        <v>7609</v>
      </c>
    </row>
    <row r="905" spans="1:7">
      <c r="A905" s="3">
        <v>34</v>
      </c>
      <c r="B905" s="3" t="s">
        <v>160</v>
      </c>
      <c r="C905" s="3">
        <v>130</v>
      </c>
      <c r="D905" s="3" t="s">
        <v>504</v>
      </c>
      <c r="E905" s="3" t="s">
        <v>7618</v>
      </c>
      <c r="F905" s="3" t="s">
        <v>7611</v>
      </c>
      <c r="G905" s="3" t="s">
        <v>7636</v>
      </c>
    </row>
    <row r="906" spans="1:7">
      <c r="A906" s="2">
        <v>34</v>
      </c>
      <c r="B906" s="2" t="s">
        <v>160</v>
      </c>
      <c r="C906" s="2">
        <v>131</v>
      </c>
      <c r="D906" s="2" t="s">
        <v>577</v>
      </c>
      <c r="E906" s="2" t="s">
        <v>7620</v>
      </c>
      <c r="F906" s="2" t="s">
        <v>7611</v>
      </c>
      <c r="G906" s="2" t="s">
        <v>7625</v>
      </c>
    </row>
    <row r="907" spans="1:7">
      <c r="A907" s="3">
        <v>34</v>
      </c>
      <c r="B907" s="3" t="s">
        <v>160</v>
      </c>
      <c r="C907" s="3">
        <v>133</v>
      </c>
      <c r="D907" s="3" t="s">
        <v>212</v>
      </c>
      <c r="E907" s="3" t="s">
        <v>7618</v>
      </c>
      <c r="F907" s="3" t="s">
        <v>7608</v>
      </c>
      <c r="G907" s="3" t="s">
        <v>7633</v>
      </c>
    </row>
    <row r="908" spans="1:7">
      <c r="A908" s="2">
        <v>34</v>
      </c>
      <c r="B908" s="2" t="s">
        <v>160</v>
      </c>
      <c r="C908" s="2">
        <v>134</v>
      </c>
      <c r="D908" s="2" t="s">
        <v>591</v>
      </c>
      <c r="E908" s="2" t="s">
        <v>7623</v>
      </c>
      <c r="F908" s="2" t="s">
        <v>7611</v>
      </c>
      <c r="G908" s="2" t="s">
        <v>7624</v>
      </c>
    </row>
    <row r="909" spans="1:7">
      <c r="A909" s="3">
        <v>34</v>
      </c>
      <c r="B909" s="3" t="s">
        <v>160</v>
      </c>
      <c r="C909" s="3">
        <v>135</v>
      </c>
      <c r="D909" s="3" t="s">
        <v>469</v>
      </c>
      <c r="E909" s="3" t="s">
        <v>7696</v>
      </c>
      <c r="F909" s="3" t="s">
        <v>7611</v>
      </c>
      <c r="G909" s="3" t="s">
        <v>7617</v>
      </c>
    </row>
    <row r="910" spans="1:7">
      <c r="A910" s="2">
        <v>34</v>
      </c>
      <c r="B910" s="2" t="s">
        <v>160</v>
      </c>
      <c r="C910" s="2">
        <v>136</v>
      </c>
      <c r="D910" s="2" t="s">
        <v>413</v>
      </c>
      <c r="E910" s="2" t="s">
        <v>7623</v>
      </c>
      <c r="F910" s="2" t="s">
        <v>7611</v>
      </c>
      <c r="G910" s="2" t="s">
        <v>7639</v>
      </c>
    </row>
    <row r="911" spans="1:7">
      <c r="A911" s="3">
        <v>34</v>
      </c>
      <c r="B911" s="3" t="s">
        <v>160</v>
      </c>
      <c r="C911" s="3">
        <v>137</v>
      </c>
      <c r="D911" s="3" t="s">
        <v>546</v>
      </c>
      <c r="E911" s="3" t="s">
        <v>7620</v>
      </c>
      <c r="F911" s="3" t="s">
        <v>7611</v>
      </c>
      <c r="G911" s="3" t="s">
        <v>7625</v>
      </c>
    </row>
    <row r="912" spans="1:7">
      <c r="A912" s="2">
        <v>34</v>
      </c>
      <c r="B912" s="2" t="s">
        <v>160</v>
      </c>
      <c r="C912" s="2">
        <v>138</v>
      </c>
      <c r="D912" s="2" t="s">
        <v>561</v>
      </c>
      <c r="E912" s="2" t="s">
        <v>7620</v>
      </c>
      <c r="F912" s="2" t="s">
        <v>7611</v>
      </c>
      <c r="G912" s="2" t="s">
        <v>7621</v>
      </c>
    </row>
    <row r="913" spans="1:7">
      <c r="A913" s="3">
        <v>34</v>
      </c>
      <c r="B913" s="3" t="s">
        <v>160</v>
      </c>
      <c r="C913" s="3">
        <v>139</v>
      </c>
      <c r="D913" s="3" t="s">
        <v>531</v>
      </c>
      <c r="E913" s="3" t="s">
        <v>7618</v>
      </c>
      <c r="F913" s="3" t="s">
        <v>7611</v>
      </c>
      <c r="G913" s="3" t="s">
        <v>7617</v>
      </c>
    </row>
    <row r="914" spans="1:7">
      <c r="A914" s="2">
        <v>34</v>
      </c>
      <c r="B914" s="2" t="s">
        <v>160</v>
      </c>
      <c r="C914" s="2">
        <v>140</v>
      </c>
      <c r="D914" s="2" t="s">
        <v>580</v>
      </c>
      <c r="E914" s="2" t="s">
        <v>7620</v>
      </c>
      <c r="F914" s="2" t="s">
        <v>7611</v>
      </c>
      <c r="G914" s="2" t="s">
        <v>7625</v>
      </c>
    </row>
    <row r="915" spans="1:7">
      <c r="A915" s="3">
        <v>34</v>
      </c>
      <c r="B915" s="3" t="s">
        <v>160</v>
      </c>
      <c r="C915" s="3">
        <v>141</v>
      </c>
      <c r="D915" s="3" t="s">
        <v>480</v>
      </c>
      <c r="E915" s="3" t="s">
        <v>7638</v>
      </c>
      <c r="F915" s="3" t="s">
        <v>7611</v>
      </c>
      <c r="G915" s="3" t="s">
        <v>7632</v>
      </c>
    </row>
    <row r="916" spans="1:7">
      <c r="A916" s="2">
        <v>34</v>
      </c>
      <c r="B916" s="2" t="s">
        <v>160</v>
      </c>
      <c r="C916" s="2">
        <v>142</v>
      </c>
      <c r="D916" s="2" t="s">
        <v>543</v>
      </c>
      <c r="E916" s="2" t="s">
        <v>7620</v>
      </c>
      <c r="F916" s="2" t="s">
        <v>7611</v>
      </c>
      <c r="G916" s="2" t="s">
        <v>7625</v>
      </c>
    </row>
    <row r="917" spans="1:7">
      <c r="A917" s="3">
        <v>34</v>
      </c>
      <c r="B917" s="3" t="s">
        <v>160</v>
      </c>
      <c r="C917" s="3">
        <v>143</v>
      </c>
      <c r="D917" s="3" t="s">
        <v>371</v>
      </c>
      <c r="E917" s="3" t="s">
        <v>7623</v>
      </c>
      <c r="F917" s="3" t="s">
        <v>7611</v>
      </c>
      <c r="G917" s="3" t="s">
        <v>7624</v>
      </c>
    </row>
    <row r="918" spans="1:7">
      <c r="A918" s="2">
        <v>34</v>
      </c>
      <c r="B918" s="2" t="s">
        <v>160</v>
      </c>
      <c r="C918" s="2">
        <v>144</v>
      </c>
      <c r="D918" s="2" t="s">
        <v>375</v>
      </c>
      <c r="E918" s="2" t="s">
        <v>7618</v>
      </c>
      <c r="F918" s="2" t="s">
        <v>7611</v>
      </c>
      <c r="G918" s="2" t="s">
        <v>7617</v>
      </c>
    </row>
    <row r="919" spans="1:7">
      <c r="A919" s="3">
        <v>34</v>
      </c>
      <c r="B919" s="3" t="s">
        <v>160</v>
      </c>
      <c r="C919" s="3">
        <v>145</v>
      </c>
      <c r="D919" s="3" t="s">
        <v>431</v>
      </c>
      <c r="E919" s="3" t="s">
        <v>7618</v>
      </c>
      <c r="F919" s="3" t="s">
        <v>7608</v>
      </c>
      <c r="G919" s="3" t="s">
        <v>7633</v>
      </c>
    </row>
    <row r="920" spans="1:7">
      <c r="A920" s="2">
        <v>34</v>
      </c>
      <c r="B920" s="2" t="s">
        <v>160</v>
      </c>
      <c r="C920" s="2">
        <v>146</v>
      </c>
      <c r="D920" s="2" t="s">
        <v>416</v>
      </c>
      <c r="E920" s="2" t="s">
        <v>7620</v>
      </c>
      <c r="F920" s="2" t="s">
        <v>7611</v>
      </c>
      <c r="G920" s="2" t="s">
        <v>7621</v>
      </c>
    </row>
    <row r="921" spans="1:7">
      <c r="A921" s="3">
        <v>34</v>
      </c>
      <c r="B921" s="3" t="s">
        <v>160</v>
      </c>
      <c r="C921" s="3">
        <v>147</v>
      </c>
      <c r="D921" s="3" t="s">
        <v>454</v>
      </c>
      <c r="E921" s="3" t="s">
        <v>7618</v>
      </c>
      <c r="F921" s="3" t="s">
        <v>7608</v>
      </c>
      <c r="G921" s="3" t="s">
        <v>7633</v>
      </c>
    </row>
    <row r="922" spans="1:7">
      <c r="A922" s="2">
        <v>34</v>
      </c>
      <c r="B922" s="2" t="s">
        <v>160</v>
      </c>
      <c r="C922" s="2">
        <v>148</v>
      </c>
      <c r="D922" s="2" t="s">
        <v>420</v>
      </c>
      <c r="E922" s="2" t="s">
        <v>7688</v>
      </c>
      <c r="F922" s="2" t="s">
        <v>7683</v>
      </c>
      <c r="G922" s="2" t="s">
        <v>7629</v>
      </c>
    </row>
    <row r="923" spans="1:7">
      <c r="A923" s="3">
        <v>34</v>
      </c>
      <c r="B923" s="3" t="s">
        <v>160</v>
      </c>
      <c r="C923" s="3">
        <v>149</v>
      </c>
      <c r="D923" s="3" t="s">
        <v>443</v>
      </c>
      <c r="E923" s="3" t="s">
        <v>7620</v>
      </c>
      <c r="F923" s="3" t="s">
        <v>7611</v>
      </c>
      <c r="G923" s="3" t="s">
        <v>7625</v>
      </c>
    </row>
    <row r="924" spans="1:7">
      <c r="A924" s="2">
        <v>34</v>
      </c>
      <c r="B924" s="2" t="s">
        <v>160</v>
      </c>
      <c r="C924" s="2">
        <v>150</v>
      </c>
      <c r="D924" s="2" t="s">
        <v>379</v>
      </c>
      <c r="E924" s="2" t="s">
        <v>7618</v>
      </c>
      <c r="F924" s="2" t="s">
        <v>7683</v>
      </c>
      <c r="G924" s="2" t="s">
        <v>7619</v>
      </c>
    </row>
    <row r="925" spans="1:7">
      <c r="A925" s="3">
        <v>34</v>
      </c>
      <c r="B925" s="3" t="s">
        <v>160</v>
      </c>
      <c r="C925" s="3">
        <v>152</v>
      </c>
      <c r="D925" s="3" t="s">
        <v>508</v>
      </c>
      <c r="E925" s="3" t="s">
        <v>7640</v>
      </c>
      <c r="F925" s="3" t="s">
        <v>7611</v>
      </c>
      <c r="G925" s="3" t="s">
        <v>7617</v>
      </c>
    </row>
    <row r="926" spans="1:7">
      <c r="A926" s="2">
        <v>34</v>
      </c>
      <c r="B926" s="2" t="s">
        <v>160</v>
      </c>
      <c r="C926" s="2">
        <v>153</v>
      </c>
      <c r="D926" s="2" t="s">
        <v>435</v>
      </c>
      <c r="E926" s="2" t="s">
        <v>7640</v>
      </c>
      <c r="F926" s="2" t="s">
        <v>7611</v>
      </c>
      <c r="G926" s="2" t="s">
        <v>7617</v>
      </c>
    </row>
    <row r="927" spans="1:7">
      <c r="A927" s="3">
        <v>34</v>
      </c>
      <c r="B927" s="3" t="s">
        <v>160</v>
      </c>
      <c r="C927" s="3">
        <v>154</v>
      </c>
      <c r="D927" s="3" t="s">
        <v>589</v>
      </c>
      <c r="E927" s="3" t="s">
        <v>7640</v>
      </c>
      <c r="F927" s="3" t="s">
        <v>7611</v>
      </c>
      <c r="G927" s="3" t="s">
        <v>7609</v>
      </c>
    </row>
    <row r="928" spans="1:7">
      <c r="A928" s="2">
        <v>34</v>
      </c>
      <c r="B928" s="2" t="s">
        <v>160</v>
      </c>
      <c r="C928" s="2">
        <v>155</v>
      </c>
      <c r="D928" s="2" t="s">
        <v>400</v>
      </c>
      <c r="E928" s="2" t="s">
        <v>7688</v>
      </c>
      <c r="F928" s="2" t="s">
        <v>7628</v>
      </c>
      <c r="G928" s="2" t="s">
        <v>7670</v>
      </c>
    </row>
    <row r="929" spans="1:7">
      <c r="A929" s="3">
        <v>34</v>
      </c>
      <c r="B929" s="3" t="s">
        <v>160</v>
      </c>
      <c r="C929" s="3">
        <v>156</v>
      </c>
      <c r="D929" s="3" t="s">
        <v>560</v>
      </c>
      <c r="E929" s="3" t="s">
        <v>7618</v>
      </c>
      <c r="F929" s="3" t="s">
        <v>7611</v>
      </c>
      <c r="G929" s="3" t="s">
        <v>7617</v>
      </c>
    </row>
    <row r="930" spans="1:7">
      <c r="A930" s="2">
        <v>34</v>
      </c>
      <c r="B930" s="2" t="s">
        <v>160</v>
      </c>
      <c r="C930" s="2">
        <v>157</v>
      </c>
      <c r="D930" s="2" t="s">
        <v>556</v>
      </c>
      <c r="E930" s="2" t="s">
        <v>7618</v>
      </c>
      <c r="F930" s="2" t="s">
        <v>7611</v>
      </c>
      <c r="G930" s="2" t="s">
        <v>7617</v>
      </c>
    </row>
    <row r="931" spans="1:7">
      <c r="A931" s="3">
        <v>34</v>
      </c>
      <c r="B931" s="3" t="s">
        <v>160</v>
      </c>
      <c r="C931" s="3">
        <v>158</v>
      </c>
      <c r="D931" s="3" t="s">
        <v>521</v>
      </c>
      <c r="E931" s="3" t="s">
        <v>7618</v>
      </c>
      <c r="F931" s="3" t="s">
        <v>7611</v>
      </c>
      <c r="G931" s="3" t="s">
        <v>7617</v>
      </c>
    </row>
    <row r="932" spans="1:7">
      <c r="A932" s="2">
        <v>34</v>
      </c>
      <c r="B932" s="2" t="s">
        <v>160</v>
      </c>
      <c r="C932" s="2">
        <v>159</v>
      </c>
      <c r="D932" s="2" t="s">
        <v>598</v>
      </c>
      <c r="E932" s="2" t="s">
        <v>7620</v>
      </c>
      <c r="F932" s="2" t="s">
        <v>7611</v>
      </c>
      <c r="G932" s="2" t="s">
        <v>7621</v>
      </c>
    </row>
    <row r="933" spans="1:7">
      <c r="A933" s="3">
        <v>34</v>
      </c>
      <c r="B933" s="3" t="s">
        <v>160</v>
      </c>
      <c r="C933" s="3">
        <v>160</v>
      </c>
      <c r="D933" s="3" t="s">
        <v>425</v>
      </c>
      <c r="E933" s="3" t="s">
        <v>7618</v>
      </c>
      <c r="F933" s="3" t="s">
        <v>7628</v>
      </c>
      <c r="G933" s="3" t="s">
        <v>7634</v>
      </c>
    </row>
    <row r="934" spans="1:7">
      <c r="A934" s="2">
        <v>34</v>
      </c>
      <c r="B934" s="2" t="s">
        <v>160</v>
      </c>
      <c r="C934" s="2">
        <v>162</v>
      </c>
      <c r="D934" s="2" t="s">
        <v>473</v>
      </c>
      <c r="E934" s="2" t="s">
        <v>7620</v>
      </c>
      <c r="F934" s="2" t="s">
        <v>7611</v>
      </c>
      <c r="G934" s="2" t="s">
        <v>7625</v>
      </c>
    </row>
    <row r="935" spans="1:7">
      <c r="A935" s="3">
        <v>34</v>
      </c>
      <c r="B935" s="3" t="s">
        <v>160</v>
      </c>
      <c r="C935" s="3">
        <v>163</v>
      </c>
      <c r="D935" s="3" t="s">
        <v>587</v>
      </c>
      <c r="E935" s="3" t="s">
        <v>7620</v>
      </c>
      <c r="F935" s="3" t="s">
        <v>7611</v>
      </c>
      <c r="G935" s="3" t="s">
        <v>7625</v>
      </c>
    </row>
    <row r="936" spans="1:7">
      <c r="A936" s="2">
        <v>34</v>
      </c>
      <c r="B936" s="2" t="s">
        <v>160</v>
      </c>
      <c r="C936" s="2">
        <v>164</v>
      </c>
      <c r="D936" s="2" t="s">
        <v>552</v>
      </c>
      <c r="E936" s="2" t="s">
        <v>7696</v>
      </c>
      <c r="F936" s="2" t="s">
        <v>7611</v>
      </c>
      <c r="G936" s="2" t="s">
        <v>7617</v>
      </c>
    </row>
    <row r="937" spans="1:7">
      <c r="A937" s="3">
        <v>34</v>
      </c>
      <c r="B937" s="3" t="s">
        <v>160</v>
      </c>
      <c r="C937" s="3">
        <v>165</v>
      </c>
      <c r="D937" s="3" t="s">
        <v>568</v>
      </c>
      <c r="E937" s="3" t="s">
        <v>7618</v>
      </c>
      <c r="F937" s="3" t="s">
        <v>7608</v>
      </c>
      <c r="G937" s="3" t="s">
        <v>7633</v>
      </c>
    </row>
    <row r="938" spans="1:7">
      <c r="A938" s="2">
        <v>34</v>
      </c>
      <c r="B938" s="2" t="s">
        <v>160</v>
      </c>
      <c r="C938" s="2">
        <v>166</v>
      </c>
      <c r="D938" s="2" t="s">
        <v>483</v>
      </c>
      <c r="E938" s="2" t="s">
        <v>7623</v>
      </c>
      <c r="F938" s="2" t="s">
        <v>7611</v>
      </c>
      <c r="G938" s="2" t="s">
        <v>7639</v>
      </c>
    </row>
    <row r="939" spans="1:7">
      <c r="A939" s="3">
        <v>34</v>
      </c>
      <c r="B939" s="3" t="s">
        <v>160</v>
      </c>
      <c r="C939" s="3">
        <v>167</v>
      </c>
      <c r="D939" s="3" t="s">
        <v>469</v>
      </c>
      <c r="E939" s="3" t="s">
        <v>7620</v>
      </c>
      <c r="F939" s="3" t="s">
        <v>7611</v>
      </c>
      <c r="G939" s="3" t="s">
        <v>7621</v>
      </c>
    </row>
    <row r="940" spans="1:7">
      <c r="A940" s="2">
        <v>34</v>
      </c>
      <c r="B940" s="2" t="s">
        <v>160</v>
      </c>
      <c r="C940" s="2">
        <v>168</v>
      </c>
      <c r="D940" s="2" t="s">
        <v>626</v>
      </c>
      <c r="E940" s="2" t="s">
        <v>7697</v>
      </c>
      <c r="F940" s="2" t="s">
        <v>7611</v>
      </c>
      <c r="G940" s="2" t="s">
        <v>7624</v>
      </c>
    </row>
    <row r="941" spans="1:7">
      <c r="A941" s="3">
        <v>34</v>
      </c>
      <c r="B941" s="3" t="s">
        <v>160</v>
      </c>
      <c r="C941" s="3">
        <v>169</v>
      </c>
      <c r="D941" s="3" t="s">
        <v>616</v>
      </c>
      <c r="E941" s="3" t="s">
        <v>7698</v>
      </c>
      <c r="F941" s="3" t="s">
        <v>7611</v>
      </c>
      <c r="G941" s="3" t="s">
        <v>7609</v>
      </c>
    </row>
    <row r="942" spans="1:7">
      <c r="A942" s="2">
        <v>34</v>
      </c>
      <c r="B942" s="2" t="s">
        <v>160</v>
      </c>
      <c r="C942" s="2">
        <v>170</v>
      </c>
      <c r="D942" s="2" t="s">
        <v>619</v>
      </c>
      <c r="E942" s="2" t="s">
        <v>7698</v>
      </c>
      <c r="F942" s="2" t="s">
        <v>7608</v>
      </c>
      <c r="G942" s="2" t="s">
        <v>7633</v>
      </c>
    </row>
    <row r="943" spans="1:7">
      <c r="A943" s="3">
        <v>34</v>
      </c>
      <c r="B943" s="3" t="s">
        <v>160</v>
      </c>
      <c r="C943" s="3">
        <v>171</v>
      </c>
      <c r="D943" s="3" t="s">
        <v>622</v>
      </c>
      <c r="E943" s="3" t="s">
        <v>7698</v>
      </c>
      <c r="F943" s="3" t="s">
        <v>7611</v>
      </c>
      <c r="G943" s="3" t="s">
        <v>7609</v>
      </c>
    </row>
    <row r="944" spans="1:7">
      <c r="A944" s="2">
        <v>34</v>
      </c>
      <c r="B944" s="2" t="s">
        <v>160</v>
      </c>
      <c r="C944" s="2">
        <v>172</v>
      </c>
      <c r="D944" s="2" t="s">
        <v>630</v>
      </c>
      <c r="E944" s="2" t="s">
        <v>7698</v>
      </c>
      <c r="F944" s="2" t="s">
        <v>7611</v>
      </c>
      <c r="G944" s="2" t="s">
        <v>7609</v>
      </c>
    </row>
    <row r="945" spans="1:7">
      <c r="A945" s="3">
        <v>34</v>
      </c>
      <c r="B945" s="3" t="s">
        <v>160</v>
      </c>
      <c r="C945" s="3">
        <v>173</v>
      </c>
      <c r="D945" s="3" t="s">
        <v>633</v>
      </c>
      <c r="E945" s="3" t="s">
        <v>7698</v>
      </c>
      <c r="F945" s="3" t="s">
        <v>7611</v>
      </c>
      <c r="G945" s="3" t="s">
        <v>7609</v>
      </c>
    </row>
    <row r="946" spans="1:7">
      <c r="A946" s="2">
        <v>34</v>
      </c>
      <c r="B946" s="2" t="s">
        <v>160</v>
      </c>
      <c r="C946" s="2">
        <v>174</v>
      </c>
      <c r="D946" s="2" t="s">
        <v>612</v>
      </c>
      <c r="E946" s="2" t="s">
        <v>7698</v>
      </c>
      <c r="F946" s="2" t="s">
        <v>7608</v>
      </c>
      <c r="G946" s="2" t="s">
        <v>7622</v>
      </c>
    </row>
    <row r="947" spans="1:7">
      <c r="A947" s="3">
        <v>34</v>
      </c>
      <c r="B947" s="3" t="s">
        <v>160</v>
      </c>
      <c r="C947" s="3">
        <v>175</v>
      </c>
      <c r="D947" s="3" t="s">
        <v>636</v>
      </c>
      <c r="E947" s="3" t="s">
        <v>7698</v>
      </c>
      <c r="F947" s="3" t="s">
        <v>7628</v>
      </c>
      <c r="G947" s="3" t="s">
        <v>7636</v>
      </c>
    </row>
    <row r="948" spans="1:7">
      <c r="A948" s="2">
        <v>34</v>
      </c>
      <c r="B948" s="2" t="s">
        <v>160</v>
      </c>
      <c r="C948" s="2">
        <v>176</v>
      </c>
      <c r="D948" s="2" t="s">
        <v>609</v>
      </c>
      <c r="E948" s="2" t="s">
        <v>7698</v>
      </c>
      <c r="F948" s="2" t="s">
        <v>7628</v>
      </c>
      <c r="G948" s="2" t="s">
        <v>7636</v>
      </c>
    </row>
    <row r="949" spans="1:7">
      <c r="A949" s="3">
        <v>34</v>
      </c>
      <c r="B949" s="3" t="s">
        <v>160</v>
      </c>
      <c r="C949" s="3">
        <v>177</v>
      </c>
      <c r="D949" s="3" t="s">
        <v>605</v>
      </c>
      <c r="E949" s="3" t="s">
        <v>7698</v>
      </c>
      <c r="F949" s="3" t="s">
        <v>7608</v>
      </c>
      <c r="G949" s="3" t="s">
        <v>7633</v>
      </c>
    </row>
    <row r="950" spans="1:7">
      <c r="A950" s="2">
        <v>34</v>
      </c>
      <c r="B950" s="2" t="s">
        <v>160</v>
      </c>
      <c r="C950" s="2">
        <v>178</v>
      </c>
      <c r="D950" s="2" t="s">
        <v>640</v>
      </c>
      <c r="E950" s="2" t="s">
        <v>7699</v>
      </c>
      <c r="F950" s="2" t="s">
        <v>7611</v>
      </c>
      <c r="G950" s="2" t="s">
        <v>7637</v>
      </c>
    </row>
    <row r="951" spans="1:7">
      <c r="A951" s="3">
        <v>34</v>
      </c>
      <c r="B951" s="3" t="s">
        <v>160</v>
      </c>
      <c r="C951" s="3">
        <v>179</v>
      </c>
      <c r="D951" s="3" t="s">
        <v>603</v>
      </c>
      <c r="E951" s="3" t="s">
        <v>7698</v>
      </c>
      <c r="F951" s="3" t="s">
        <v>7608</v>
      </c>
      <c r="G951" s="3" t="s">
        <v>7633</v>
      </c>
    </row>
    <row r="952" spans="1:7">
      <c r="A952" s="2">
        <v>34</v>
      </c>
      <c r="B952" s="2" t="s">
        <v>160</v>
      </c>
      <c r="C952" s="2">
        <v>181</v>
      </c>
      <c r="D952" s="2" t="s">
        <v>653</v>
      </c>
      <c r="E952" s="2" t="s">
        <v>7635</v>
      </c>
      <c r="F952" s="2" t="s">
        <v>7635</v>
      </c>
      <c r="G952" s="2" t="s">
        <v>7633</v>
      </c>
    </row>
    <row r="953" spans="1:7">
      <c r="A953" s="3">
        <v>34</v>
      </c>
      <c r="B953" s="3" t="s">
        <v>160</v>
      </c>
      <c r="C953" s="3">
        <v>183</v>
      </c>
      <c r="D953" s="3" t="s">
        <v>660</v>
      </c>
      <c r="E953" s="3" t="s">
        <v>7618</v>
      </c>
      <c r="F953" s="3" t="s">
        <v>7611</v>
      </c>
      <c r="G953" s="3" t="s">
        <v>7619</v>
      </c>
    </row>
    <row r="954" spans="1:7">
      <c r="A954" s="2">
        <v>34</v>
      </c>
      <c r="B954" s="2" t="s">
        <v>160</v>
      </c>
      <c r="C954" s="2">
        <v>184</v>
      </c>
      <c r="D954" s="2" t="s">
        <v>662</v>
      </c>
      <c r="E954" s="2" t="s">
        <v>7623</v>
      </c>
      <c r="F954" s="2" t="s">
        <v>7611</v>
      </c>
      <c r="G954" s="2" t="s">
        <v>7639</v>
      </c>
    </row>
    <row r="955" spans="1:7">
      <c r="A955" s="3">
        <v>34</v>
      </c>
      <c r="B955" s="3" t="s">
        <v>160</v>
      </c>
      <c r="C955" s="3">
        <v>185</v>
      </c>
      <c r="D955" s="3" t="s">
        <v>667</v>
      </c>
      <c r="E955" s="3" t="s">
        <v>7697</v>
      </c>
      <c r="F955" s="3" t="s">
        <v>7611</v>
      </c>
      <c r="G955" s="3" t="s">
        <v>7639</v>
      </c>
    </row>
    <row r="956" spans="1:7">
      <c r="A956" s="2">
        <v>34</v>
      </c>
      <c r="B956" s="2" t="s">
        <v>160</v>
      </c>
      <c r="C956" s="2">
        <v>186</v>
      </c>
      <c r="D956" s="2" t="s">
        <v>469</v>
      </c>
      <c r="E956" s="2" t="s">
        <v>7696</v>
      </c>
      <c r="F956" s="2" t="s">
        <v>7611</v>
      </c>
      <c r="G956" s="2" t="s">
        <v>7617</v>
      </c>
    </row>
    <row r="957" spans="1:7">
      <c r="A957" s="3">
        <v>34</v>
      </c>
      <c r="B957" s="3" t="s">
        <v>160</v>
      </c>
      <c r="C957" s="3">
        <v>190</v>
      </c>
      <c r="D957" s="3" t="s">
        <v>717</v>
      </c>
      <c r="E957" s="3" t="s">
        <v>7700</v>
      </c>
      <c r="F957" s="3" t="s">
        <v>7608</v>
      </c>
      <c r="G957" s="3" t="s">
        <v>7622</v>
      </c>
    </row>
    <row r="958" spans="1:7">
      <c r="A958" s="2">
        <v>34</v>
      </c>
      <c r="B958" s="2" t="s">
        <v>160</v>
      </c>
      <c r="C958" s="2">
        <v>191</v>
      </c>
      <c r="D958" s="2" t="s">
        <v>719</v>
      </c>
      <c r="E958" s="2" t="s">
        <v>7693</v>
      </c>
      <c r="F958" s="2" t="s">
        <v>7628</v>
      </c>
      <c r="G958" s="2" t="s">
        <v>7632</v>
      </c>
    </row>
    <row r="959" spans="1:7">
      <c r="A959" s="3">
        <v>34</v>
      </c>
      <c r="B959" s="3" t="s">
        <v>160</v>
      </c>
      <c r="C959" s="3">
        <v>192</v>
      </c>
      <c r="D959" s="3" t="s">
        <v>727</v>
      </c>
      <c r="E959" s="3" t="s">
        <v>7635</v>
      </c>
      <c r="F959" s="3" t="s">
        <v>7635</v>
      </c>
      <c r="G959" s="3" t="s">
        <v>7625</v>
      </c>
    </row>
    <row r="960" spans="1:7">
      <c r="A960" s="2">
        <v>34</v>
      </c>
      <c r="B960" s="2" t="s">
        <v>160</v>
      </c>
      <c r="C960" s="2">
        <v>195</v>
      </c>
      <c r="D960" s="2" t="s">
        <v>734</v>
      </c>
      <c r="E960" s="2" t="s">
        <v>7693</v>
      </c>
      <c r="F960" s="2" t="s">
        <v>7628</v>
      </c>
      <c r="G960" s="2" t="s">
        <v>7632</v>
      </c>
    </row>
    <row r="961" spans="1:7">
      <c r="A961" s="3">
        <v>34</v>
      </c>
      <c r="B961" s="3" t="s">
        <v>160</v>
      </c>
      <c r="C961" s="3">
        <v>196</v>
      </c>
      <c r="D961" s="3" t="s">
        <v>736</v>
      </c>
      <c r="E961" s="3" t="s">
        <v>7635</v>
      </c>
      <c r="F961" s="3" t="s">
        <v>7635</v>
      </c>
      <c r="G961" s="3" t="s">
        <v>7622</v>
      </c>
    </row>
    <row r="962" spans="1:7">
      <c r="A962" s="2">
        <v>34</v>
      </c>
      <c r="B962" s="2" t="s">
        <v>160</v>
      </c>
      <c r="C962" s="2">
        <v>197</v>
      </c>
      <c r="D962" s="2" t="s">
        <v>690</v>
      </c>
      <c r="E962" s="2" t="s">
        <v>7635</v>
      </c>
      <c r="F962" s="2" t="s">
        <v>7677</v>
      </c>
      <c r="G962" s="2" t="s">
        <v>7633</v>
      </c>
    </row>
    <row r="963" spans="1:7">
      <c r="A963" s="3">
        <v>34</v>
      </c>
      <c r="B963" s="3" t="s">
        <v>160</v>
      </c>
      <c r="C963" s="3">
        <v>198</v>
      </c>
      <c r="D963" s="3" t="s">
        <v>698</v>
      </c>
      <c r="E963" s="3" t="s">
        <v>7694</v>
      </c>
      <c r="F963" s="3" t="s">
        <v>7628</v>
      </c>
      <c r="G963" s="3" t="s">
        <v>7634</v>
      </c>
    </row>
    <row r="964" spans="1:7">
      <c r="A964" s="2">
        <v>34</v>
      </c>
      <c r="B964" s="2" t="s">
        <v>160</v>
      </c>
      <c r="C964" s="2">
        <v>199</v>
      </c>
      <c r="D964" s="2" t="s">
        <v>702</v>
      </c>
      <c r="E964" s="2" t="s">
        <v>7693</v>
      </c>
      <c r="F964" s="2" t="s">
        <v>7695</v>
      </c>
      <c r="G964" s="2" t="s">
        <v>7641</v>
      </c>
    </row>
    <row r="965" spans="1:7">
      <c r="A965" s="3">
        <v>34</v>
      </c>
      <c r="B965" s="3" t="s">
        <v>160</v>
      </c>
      <c r="C965" s="3">
        <v>200</v>
      </c>
      <c r="D965" s="3" t="s">
        <v>707</v>
      </c>
      <c r="E965" s="3" t="s">
        <v>7694</v>
      </c>
      <c r="F965" s="3" t="s">
        <v>7628</v>
      </c>
      <c r="G965" s="3" t="s">
        <v>7636</v>
      </c>
    </row>
    <row r="966" spans="1:7">
      <c r="A966" s="2">
        <v>34</v>
      </c>
      <c r="B966" s="2" t="s">
        <v>160</v>
      </c>
      <c r="C966" s="2">
        <v>201</v>
      </c>
      <c r="D966" s="2" t="s">
        <v>695</v>
      </c>
      <c r="E966" s="2" t="s">
        <v>7635</v>
      </c>
      <c r="F966" s="2" t="s">
        <v>7628</v>
      </c>
      <c r="G966" s="2" t="s">
        <v>7622</v>
      </c>
    </row>
    <row r="967" spans="1:7">
      <c r="A967" s="3">
        <v>34</v>
      </c>
      <c r="B967" s="3" t="s">
        <v>160</v>
      </c>
      <c r="C967" s="3">
        <v>202</v>
      </c>
      <c r="D967" s="3" t="s">
        <v>712</v>
      </c>
      <c r="E967" s="3" t="s">
        <v>7635</v>
      </c>
      <c r="F967" s="3" t="s">
        <v>7677</v>
      </c>
      <c r="G967" s="3" t="s">
        <v>7622</v>
      </c>
    </row>
    <row r="968" spans="1:7">
      <c r="A968" s="2">
        <v>34</v>
      </c>
      <c r="B968" s="2" t="s">
        <v>160</v>
      </c>
      <c r="C968" s="2">
        <v>203</v>
      </c>
      <c r="D968" s="2" t="s">
        <v>681</v>
      </c>
      <c r="E968" s="2" t="s">
        <v>7635</v>
      </c>
      <c r="F968" s="2" t="s">
        <v>7635</v>
      </c>
      <c r="G968" s="2" t="s">
        <v>7622</v>
      </c>
    </row>
    <row r="969" spans="1:7">
      <c r="A969" s="3">
        <v>34</v>
      </c>
      <c r="B969" s="3" t="s">
        <v>160</v>
      </c>
      <c r="C969" s="3">
        <v>204</v>
      </c>
      <c r="D969" s="3" t="s">
        <v>685</v>
      </c>
      <c r="E969" s="3" t="s">
        <v>7635</v>
      </c>
      <c r="F969" s="3" t="s">
        <v>7628</v>
      </c>
      <c r="G969" s="3" t="s">
        <v>7622</v>
      </c>
    </row>
    <row r="970" spans="1:7">
      <c r="A970" s="2">
        <v>34</v>
      </c>
      <c r="B970" s="2" t="s">
        <v>160</v>
      </c>
      <c r="C970" s="2">
        <v>205</v>
      </c>
      <c r="D970" s="2" t="s">
        <v>746</v>
      </c>
      <c r="E970" s="2" t="s">
        <v>7694</v>
      </c>
      <c r="F970" s="2" t="s">
        <v>7695</v>
      </c>
      <c r="G970" s="2" t="s">
        <v>7639</v>
      </c>
    </row>
    <row r="971" spans="1:7">
      <c r="A971" s="3">
        <v>34</v>
      </c>
      <c r="B971" s="3" t="s">
        <v>160</v>
      </c>
      <c r="C971" s="3">
        <v>206</v>
      </c>
      <c r="D971" s="3" t="s">
        <v>723</v>
      </c>
      <c r="E971" s="3" t="s">
        <v>7635</v>
      </c>
      <c r="F971" s="3" t="s">
        <v>7677</v>
      </c>
      <c r="G971" s="3" t="s">
        <v>7622</v>
      </c>
    </row>
    <row r="972" spans="1:7">
      <c r="A972" s="2">
        <v>34</v>
      </c>
      <c r="B972" s="2" t="s">
        <v>160</v>
      </c>
      <c r="C972" s="2">
        <v>207</v>
      </c>
      <c r="D972" s="2" t="s">
        <v>749</v>
      </c>
      <c r="E972" s="2" t="s">
        <v>7701</v>
      </c>
      <c r="F972" s="2" t="s">
        <v>7611</v>
      </c>
      <c r="G972" s="2" t="s">
        <v>7641</v>
      </c>
    </row>
    <row r="973" spans="1:7">
      <c r="A973" s="3">
        <v>34</v>
      </c>
      <c r="B973" s="3" t="s">
        <v>160</v>
      </c>
      <c r="C973" s="3">
        <v>208</v>
      </c>
      <c r="D973" s="3" t="s">
        <v>754</v>
      </c>
      <c r="E973" s="3" t="s">
        <v>7694</v>
      </c>
      <c r="F973" s="3" t="s">
        <v>7695</v>
      </c>
      <c r="G973" s="3" t="s">
        <v>7639</v>
      </c>
    </row>
    <row r="974" spans="1:7">
      <c r="A974" s="2">
        <v>34</v>
      </c>
      <c r="B974" s="2" t="s">
        <v>160</v>
      </c>
      <c r="C974" s="2">
        <v>209</v>
      </c>
      <c r="D974" s="2" t="s">
        <v>758</v>
      </c>
      <c r="E974" s="2" t="s">
        <v>7618</v>
      </c>
      <c r="F974" s="2" t="s">
        <v>7677</v>
      </c>
      <c r="G974" s="2" t="s">
        <v>7619</v>
      </c>
    </row>
    <row r="975" spans="1:7">
      <c r="A975" s="3">
        <v>34</v>
      </c>
      <c r="B975" s="3" t="s">
        <v>160</v>
      </c>
      <c r="C975" s="3">
        <v>214</v>
      </c>
      <c r="D975" s="3" t="s">
        <v>870</v>
      </c>
      <c r="E975" s="3" t="s">
        <v>7620</v>
      </c>
      <c r="F975" s="3" t="s">
        <v>7611</v>
      </c>
      <c r="G975" s="3" t="s">
        <v>7621</v>
      </c>
    </row>
    <row r="976" spans="1:7">
      <c r="A976" s="2">
        <v>34</v>
      </c>
      <c r="B976" s="2" t="s">
        <v>160</v>
      </c>
      <c r="C976" s="2">
        <v>215</v>
      </c>
      <c r="D976" s="2" t="s">
        <v>844</v>
      </c>
      <c r="E976" s="2" t="s">
        <v>7627</v>
      </c>
      <c r="F976" s="2" t="s">
        <v>7611</v>
      </c>
      <c r="G976" s="2" t="s">
        <v>7637</v>
      </c>
    </row>
    <row r="977" spans="1:7">
      <c r="A977" s="3">
        <v>34</v>
      </c>
      <c r="B977" s="3" t="s">
        <v>160</v>
      </c>
      <c r="C977" s="3">
        <v>216</v>
      </c>
      <c r="D977" s="3"/>
      <c r="E977" s="3" t="s">
        <v>7610</v>
      </c>
      <c r="F977" s="3" t="s">
        <v>7611</v>
      </c>
      <c r="G977" s="3" t="s">
        <v>7644</v>
      </c>
    </row>
    <row r="978" spans="1:7">
      <c r="A978" s="2">
        <v>34</v>
      </c>
      <c r="B978" s="2" t="s">
        <v>160</v>
      </c>
      <c r="C978" s="2">
        <v>217</v>
      </c>
      <c r="D978" s="2" t="s">
        <v>795</v>
      </c>
      <c r="E978" s="2" t="s">
        <v>7613</v>
      </c>
      <c r="F978" s="2" t="s">
        <v>7611</v>
      </c>
      <c r="G978" s="2" t="s">
        <v>7614</v>
      </c>
    </row>
    <row r="979" spans="1:7">
      <c r="A979" s="3">
        <v>34</v>
      </c>
      <c r="B979" s="3" t="s">
        <v>160</v>
      </c>
      <c r="C979" s="3">
        <v>218</v>
      </c>
      <c r="D979" s="3" t="s">
        <v>789</v>
      </c>
      <c r="E979" s="3" t="s">
        <v>7627</v>
      </c>
      <c r="F979" s="3" t="s">
        <v>7611</v>
      </c>
      <c r="G979" s="3" t="s">
        <v>7637</v>
      </c>
    </row>
    <row r="980" spans="1:7">
      <c r="A980" s="2">
        <v>34</v>
      </c>
      <c r="B980" s="2" t="s">
        <v>160</v>
      </c>
      <c r="C980" s="2">
        <v>219</v>
      </c>
      <c r="D980" s="2" t="s">
        <v>822</v>
      </c>
      <c r="E980" s="2" t="s">
        <v>7658</v>
      </c>
      <c r="F980" s="2" t="s">
        <v>7628</v>
      </c>
      <c r="G980" s="2" t="s">
        <v>7629</v>
      </c>
    </row>
    <row r="981" spans="1:7">
      <c r="A981" s="3">
        <v>34</v>
      </c>
      <c r="B981" s="3" t="s">
        <v>160</v>
      </c>
      <c r="C981" s="3">
        <v>220</v>
      </c>
      <c r="D981" s="3" t="s">
        <v>810</v>
      </c>
      <c r="E981" s="3" t="s">
        <v>7658</v>
      </c>
      <c r="F981" s="3" t="s">
        <v>7628</v>
      </c>
      <c r="G981" s="3" t="s">
        <v>7670</v>
      </c>
    </row>
    <row r="982" spans="1:7">
      <c r="A982" s="2">
        <v>34</v>
      </c>
      <c r="B982" s="2" t="s">
        <v>160</v>
      </c>
      <c r="C982" s="2">
        <v>221</v>
      </c>
      <c r="D982" s="2" t="s">
        <v>813</v>
      </c>
      <c r="E982" s="2" t="s">
        <v>7613</v>
      </c>
      <c r="F982" s="2" t="s">
        <v>7611</v>
      </c>
      <c r="G982" s="2" t="s">
        <v>7614</v>
      </c>
    </row>
    <row r="983" spans="1:7">
      <c r="A983" s="3">
        <v>34</v>
      </c>
      <c r="B983" s="3" t="s">
        <v>160</v>
      </c>
      <c r="C983" s="3">
        <v>222</v>
      </c>
      <c r="D983" s="3" t="s">
        <v>864</v>
      </c>
      <c r="E983" s="3" t="s">
        <v>7669</v>
      </c>
      <c r="F983" s="3" t="s">
        <v>7611</v>
      </c>
      <c r="G983" s="3" t="s">
        <v>7637</v>
      </c>
    </row>
    <row r="984" spans="1:7">
      <c r="A984" s="2">
        <v>34</v>
      </c>
      <c r="B984" s="2" t="s">
        <v>160</v>
      </c>
      <c r="C984" s="2">
        <v>231</v>
      </c>
      <c r="D984" s="2" t="s">
        <v>923</v>
      </c>
      <c r="E984" s="2" t="s">
        <v>7618</v>
      </c>
      <c r="F984" s="2" t="s">
        <v>7611</v>
      </c>
      <c r="G984" s="2" t="s">
        <v>7617</v>
      </c>
    </row>
    <row r="985" spans="1:7">
      <c r="A985" s="3">
        <v>34</v>
      </c>
      <c r="B985" s="3" t="s">
        <v>160</v>
      </c>
      <c r="C985" s="3">
        <v>232</v>
      </c>
      <c r="D985" s="3" t="s">
        <v>933</v>
      </c>
      <c r="E985" s="3" t="s">
        <v>7618</v>
      </c>
      <c r="F985" s="3" t="s">
        <v>7608</v>
      </c>
      <c r="G985" s="3" t="s">
        <v>7633</v>
      </c>
    </row>
    <row r="986" spans="1:7">
      <c r="A986" s="2">
        <v>34</v>
      </c>
      <c r="B986" s="2" t="s">
        <v>160</v>
      </c>
      <c r="C986" s="2">
        <v>233</v>
      </c>
      <c r="D986" s="2" t="s">
        <v>937</v>
      </c>
      <c r="E986" s="2" t="s">
        <v>7620</v>
      </c>
      <c r="F986" s="2" t="s">
        <v>7611</v>
      </c>
      <c r="G986" s="2" t="s">
        <v>7625</v>
      </c>
    </row>
    <row r="987" spans="1:7">
      <c r="A987" s="3">
        <v>34</v>
      </c>
      <c r="B987" s="3" t="s">
        <v>160</v>
      </c>
      <c r="C987" s="3">
        <v>243</v>
      </c>
      <c r="D987" s="3" t="s">
        <v>941</v>
      </c>
      <c r="E987" s="3" t="s">
        <v>7618</v>
      </c>
      <c r="F987" s="3" t="s">
        <v>7608</v>
      </c>
      <c r="G987" s="3" t="s">
        <v>7633</v>
      </c>
    </row>
    <row r="988" spans="1:7">
      <c r="A988" s="2">
        <v>34</v>
      </c>
      <c r="B988" s="2" t="s">
        <v>160</v>
      </c>
      <c r="C988" s="2">
        <v>246</v>
      </c>
      <c r="D988" s="2" t="s">
        <v>897</v>
      </c>
      <c r="E988" s="2" t="s">
        <v>7620</v>
      </c>
      <c r="F988" s="2" t="s">
        <v>7702</v>
      </c>
      <c r="G988" s="2" t="s">
        <v>7625</v>
      </c>
    </row>
    <row r="989" spans="1:7">
      <c r="A989" s="3">
        <v>34</v>
      </c>
      <c r="B989" s="3" t="s">
        <v>160</v>
      </c>
      <c r="C989" s="3">
        <v>251</v>
      </c>
      <c r="D989" s="3" t="s">
        <v>819</v>
      </c>
      <c r="E989" s="3" t="s">
        <v>7640</v>
      </c>
      <c r="F989" s="3" t="s">
        <v>7611</v>
      </c>
      <c r="G989" s="3" t="s">
        <v>7617</v>
      </c>
    </row>
    <row r="990" spans="1:7">
      <c r="A990" s="2">
        <v>34</v>
      </c>
      <c r="B990" s="2" t="s">
        <v>160</v>
      </c>
      <c r="C990" s="2">
        <v>254</v>
      </c>
      <c r="D990" s="2" t="s">
        <v>837</v>
      </c>
      <c r="E990" s="2" t="s">
        <v>7610</v>
      </c>
      <c r="F990" s="2" t="s">
        <v>7611</v>
      </c>
      <c r="G990" s="2" t="s">
        <v>7612</v>
      </c>
    </row>
    <row r="991" spans="1:7">
      <c r="A991" s="3">
        <v>34</v>
      </c>
      <c r="B991" s="3" t="s">
        <v>160</v>
      </c>
      <c r="C991" s="3">
        <v>256</v>
      </c>
      <c r="D991" s="3" t="s">
        <v>785</v>
      </c>
      <c r="E991" s="3" t="s">
        <v>7623</v>
      </c>
      <c r="F991" s="3" t="s">
        <v>7611</v>
      </c>
      <c r="G991" s="3" t="s">
        <v>7639</v>
      </c>
    </row>
    <row r="992" spans="1:7">
      <c r="A992" s="2">
        <v>34</v>
      </c>
      <c r="B992" s="2" t="s">
        <v>160</v>
      </c>
      <c r="C992" s="2">
        <v>257</v>
      </c>
      <c r="D992" s="2" t="s">
        <v>876</v>
      </c>
      <c r="E992" s="2" t="s">
        <v>7640</v>
      </c>
      <c r="F992" s="2" t="s">
        <v>7611</v>
      </c>
      <c r="G992" s="2" t="s">
        <v>7609</v>
      </c>
    </row>
    <row r="993" spans="1:7">
      <c r="A993" s="3">
        <v>34</v>
      </c>
      <c r="B993" s="3" t="s">
        <v>160</v>
      </c>
      <c r="C993" s="3">
        <v>258</v>
      </c>
      <c r="D993" s="3" t="s">
        <v>882</v>
      </c>
      <c r="E993" s="3" t="s">
        <v>7618</v>
      </c>
      <c r="F993" s="3" t="s">
        <v>7608</v>
      </c>
      <c r="G993" s="3" t="s">
        <v>7633</v>
      </c>
    </row>
    <row r="994" spans="1:7">
      <c r="A994" s="2">
        <v>34</v>
      </c>
      <c r="B994" s="2" t="s">
        <v>160</v>
      </c>
      <c r="C994" s="2">
        <v>262</v>
      </c>
      <c r="D994" s="2" t="s">
        <v>355</v>
      </c>
      <c r="E994" s="2" t="s">
        <v>7703</v>
      </c>
      <c r="F994" s="2" t="s">
        <v>7611</v>
      </c>
      <c r="G994" s="2" t="s">
        <v>7642</v>
      </c>
    </row>
    <row r="995" spans="1:7">
      <c r="A995" s="3">
        <v>34</v>
      </c>
      <c r="B995" s="3" t="s">
        <v>160</v>
      </c>
      <c r="C995" s="3">
        <v>264</v>
      </c>
      <c r="D995" s="3" t="s">
        <v>775</v>
      </c>
      <c r="E995" s="3" t="s">
        <v>7693</v>
      </c>
      <c r="F995" s="3" t="s">
        <v>7628</v>
      </c>
      <c r="G995" s="3" t="s">
        <v>7632</v>
      </c>
    </row>
    <row r="996" spans="1:7">
      <c r="A996" s="2">
        <v>34</v>
      </c>
      <c r="B996" s="2" t="s">
        <v>160</v>
      </c>
      <c r="C996" s="2">
        <v>265</v>
      </c>
      <c r="D996" s="2" t="s">
        <v>860</v>
      </c>
      <c r="E996" s="2" t="s">
        <v>7620</v>
      </c>
      <c r="F996" s="2" t="s">
        <v>7611</v>
      </c>
      <c r="G996" s="2" t="s">
        <v>7621</v>
      </c>
    </row>
    <row r="997" spans="1:7">
      <c r="A997" s="3">
        <v>34</v>
      </c>
      <c r="B997" s="3" t="s">
        <v>160</v>
      </c>
      <c r="C997" s="3">
        <v>266</v>
      </c>
      <c r="D997" s="3" t="s">
        <v>826</v>
      </c>
      <c r="E997" s="3" t="s">
        <v>7656</v>
      </c>
      <c r="F997" s="3" t="s">
        <v>7628</v>
      </c>
      <c r="G997" s="3" t="s">
        <v>7666</v>
      </c>
    </row>
    <row r="998" spans="1:7">
      <c r="A998" s="2">
        <v>34</v>
      </c>
      <c r="B998" s="2" t="s">
        <v>160</v>
      </c>
      <c r="C998" s="2">
        <v>267</v>
      </c>
      <c r="D998" s="2" t="s">
        <v>801</v>
      </c>
      <c r="E998" s="2" t="s">
        <v>7618</v>
      </c>
      <c r="F998" s="2" t="s">
        <v>7611</v>
      </c>
      <c r="G998" s="2" t="s">
        <v>7617</v>
      </c>
    </row>
    <row r="999" spans="1:7">
      <c r="A999" s="3">
        <v>34</v>
      </c>
      <c r="B999" s="3" t="s">
        <v>160</v>
      </c>
      <c r="C999" s="3">
        <v>269</v>
      </c>
      <c r="D999" s="3" t="s">
        <v>825</v>
      </c>
      <c r="E999" s="3" t="s">
        <v>7618</v>
      </c>
      <c r="F999" s="3" t="s">
        <v>7611</v>
      </c>
      <c r="G999" s="3" t="s">
        <v>7617</v>
      </c>
    </row>
    <row r="1000" spans="1:7">
      <c r="A1000" s="2">
        <v>34</v>
      </c>
      <c r="B1000" s="2" t="s">
        <v>160</v>
      </c>
      <c r="C1000" s="2">
        <v>270</v>
      </c>
      <c r="D1000" s="2" t="s">
        <v>769</v>
      </c>
      <c r="E1000" s="2" t="s">
        <v>7640</v>
      </c>
      <c r="F1000" s="2" t="s">
        <v>7611</v>
      </c>
      <c r="G1000" s="2" t="s">
        <v>7617</v>
      </c>
    </row>
    <row r="1001" spans="1:7">
      <c r="A1001" s="3">
        <v>34</v>
      </c>
      <c r="B1001" s="3" t="s">
        <v>160</v>
      </c>
      <c r="C1001" s="3">
        <v>272</v>
      </c>
      <c r="D1001" s="3" t="s">
        <v>873</v>
      </c>
      <c r="E1001" s="3" t="s">
        <v>7623</v>
      </c>
      <c r="F1001" s="3" t="s">
        <v>7628</v>
      </c>
      <c r="G1001" s="3" t="s">
        <v>7644</v>
      </c>
    </row>
    <row r="1002" spans="1:7">
      <c r="A1002" s="2">
        <v>34</v>
      </c>
      <c r="B1002" s="2" t="s">
        <v>160</v>
      </c>
      <c r="C1002" s="2">
        <v>275</v>
      </c>
      <c r="D1002" s="2" t="s">
        <v>781</v>
      </c>
      <c r="E1002" s="2" t="s">
        <v>7627</v>
      </c>
      <c r="F1002" s="2" t="s">
        <v>7611</v>
      </c>
      <c r="G1002" s="2" t="s">
        <v>7626</v>
      </c>
    </row>
    <row r="1003" spans="1:7">
      <c r="A1003" s="3">
        <v>34</v>
      </c>
      <c r="B1003" s="3" t="s">
        <v>160</v>
      </c>
      <c r="C1003" s="3">
        <v>276</v>
      </c>
      <c r="D1003" s="3" t="s">
        <v>842</v>
      </c>
      <c r="E1003" s="3" t="s">
        <v>7618</v>
      </c>
      <c r="F1003" s="3" t="s">
        <v>7611</v>
      </c>
      <c r="G1003" s="3" t="s">
        <v>7636</v>
      </c>
    </row>
    <row r="1004" spans="1:7">
      <c r="A1004" s="2">
        <v>34</v>
      </c>
      <c r="B1004" s="2" t="s">
        <v>160</v>
      </c>
      <c r="C1004" s="2">
        <v>280</v>
      </c>
      <c r="D1004" s="2" t="s">
        <v>847</v>
      </c>
      <c r="E1004" s="2" t="s">
        <v>7645</v>
      </c>
      <c r="F1004" s="2" t="s">
        <v>7611</v>
      </c>
      <c r="G1004" s="2" t="s">
        <v>7622</v>
      </c>
    </row>
    <row r="1005" spans="1:7">
      <c r="A1005" s="3">
        <v>34</v>
      </c>
      <c r="B1005" s="3" t="s">
        <v>160</v>
      </c>
      <c r="C1005" s="3">
        <v>281</v>
      </c>
      <c r="D1005" s="3" t="s">
        <v>856</v>
      </c>
      <c r="E1005" s="3" t="s">
        <v>7688</v>
      </c>
      <c r="F1005" s="3" t="s">
        <v>7628</v>
      </c>
      <c r="G1005" s="3" t="s">
        <v>7637</v>
      </c>
    </row>
    <row r="1006" spans="1:7">
      <c r="A1006" s="2">
        <v>34</v>
      </c>
      <c r="B1006" s="2" t="s">
        <v>160</v>
      </c>
      <c r="C1006" s="2">
        <v>282</v>
      </c>
      <c r="D1006" s="2" t="s">
        <v>885</v>
      </c>
      <c r="E1006" s="2" t="s">
        <v>7627</v>
      </c>
      <c r="F1006" s="2" t="s">
        <v>7611</v>
      </c>
      <c r="G1006" s="2" t="s">
        <v>7626</v>
      </c>
    </row>
    <row r="1007" spans="1:7">
      <c r="A1007" s="3">
        <v>34</v>
      </c>
      <c r="B1007" s="3" t="s">
        <v>160</v>
      </c>
      <c r="C1007" s="3">
        <v>284</v>
      </c>
      <c r="D1007" s="3" t="s">
        <v>854</v>
      </c>
      <c r="E1007" s="3" t="s">
        <v>7618</v>
      </c>
      <c r="F1007" s="3" t="s">
        <v>7628</v>
      </c>
      <c r="G1007" s="3" t="s">
        <v>7634</v>
      </c>
    </row>
    <row r="1008" spans="1:7">
      <c r="A1008" s="2">
        <v>34</v>
      </c>
      <c r="B1008" s="2" t="s">
        <v>160</v>
      </c>
      <c r="C1008" s="2">
        <v>285</v>
      </c>
      <c r="D1008" s="2" t="s">
        <v>854</v>
      </c>
      <c r="E1008" s="2" t="s">
        <v>7620</v>
      </c>
      <c r="F1008" s="2" t="s">
        <v>7611</v>
      </c>
      <c r="G1008" s="2" t="s">
        <v>7621</v>
      </c>
    </row>
    <row r="1009" spans="1:7">
      <c r="A1009" s="3">
        <v>34</v>
      </c>
      <c r="B1009" s="3" t="s">
        <v>160</v>
      </c>
      <c r="C1009" s="3">
        <v>286</v>
      </c>
      <c r="D1009" s="3" t="s">
        <v>807</v>
      </c>
      <c r="E1009" s="3" t="s">
        <v>7620</v>
      </c>
      <c r="F1009" s="3" t="s">
        <v>7611</v>
      </c>
      <c r="G1009" s="3" t="s">
        <v>7625</v>
      </c>
    </row>
    <row r="1010" spans="1:7">
      <c r="A1010" s="2">
        <v>34</v>
      </c>
      <c r="B1010" s="2" t="s">
        <v>160</v>
      </c>
      <c r="C1010" s="2">
        <v>287</v>
      </c>
      <c r="D1010" s="2" t="s">
        <v>929</v>
      </c>
      <c r="E1010" s="2" t="s">
        <v>7627</v>
      </c>
      <c r="F1010" s="2" t="s">
        <v>7611</v>
      </c>
      <c r="G1010" s="2" t="s">
        <v>7637</v>
      </c>
    </row>
    <row r="1011" spans="1:7">
      <c r="A1011" s="3">
        <v>34</v>
      </c>
      <c r="B1011" s="3" t="s">
        <v>160</v>
      </c>
      <c r="C1011" s="3">
        <v>288</v>
      </c>
      <c r="D1011" s="3" t="s">
        <v>805</v>
      </c>
      <c r="E1011" s="3" t="s">
        <v>7618</v>
      </c>
      <c r="F1011" s="3" t="s">
        <v>7611</v>
      </c>
      <c r="G1011" s="3" t="s">
        <v>7617</v>
      </c>
    </row>
    <row r="1012" spans="1:7">
      <c r="A1012" s="2">
        <v>34</v>
      </c>
      <c r="B1012" s="2" t="s">
        <v>160</v>
      </c>
      <c r="C1012" s="2">
        <v>290</v>
      </c>
      <c r="D1012" s="2" t="s">
        <v>854</v>
      </c>
      <c r="E1012" s="2" t="s">
        <v>7620</v>
      </c>
      <c r="F1012" s="2" t="s">
        <v>7611</v>
      </c>
      <c r="G1012" s="2" t="s">
        <v>7625</v>
      </c>
    </row>
    <row r="1013" spans="1:7">
      <c r="A1013" s="3">
        <v>34</v>
      </c>
      <c r="B1013" s="3" t="s">
        <v>160</v>
      </c>
      <c r="C1013" s="3">
        <v>293</v>
      </c>
      <c r="D1013" s="3" t="s">
        <v>854</v>
      </c>
      <c r="E1013" s="3" t="s">
        <v>7618</v>
      </c>
      <c r="F1013" s="3" t="s">
        <v>7611</v>
      </c>
      <c r="G1013" s="3" t="s">
        <v>7617</v>
      </c>
    </row>
    <row r="1014" spans="1:7">
      <c r="A1014" s="2">
        <v>34</v>
      </c>
      <c r="B1014" s="2" t="s">
        <v>160</v>
      </c>
      <c r="C1014" s="2">
        <v>294</v>
      </c>
      <c r="D1014" s="2" t="s">
        <v>854</v>
      </c>
      <c r="E1014" s="2" t="s">
        <v>7618</v>
      </c>
      <c r="F1014" s="2" t="s">
        <v>7608</v>
      </c>
      <c r="G1014" s="2" t="s">
        <v>7609</v>
      </c>
    </row>
    <row r="1015" spans="1:7">
      <c r="A1015" s="3">
        <v>34</v>
      </c>
      <c r="B1015" s="3" t="s">
        <v>160</v>
      </c>
      <c r="C1015" s="3">
        <v>295</v>
      </c>
      <c r="D1015" s="3" t="s">
        <v>854</v>
      </c>
      <c r="E1015" s="3" t="s">
        <v>7620</v>
      </c>
      <c r="F1015" s="3" t="s">
        <v>7635</v>
      </c>
      <c r="G1015" s="3" t="s">
        <v>7621</v>
      </c>
    </row>
    <row r="1016" spans="1:7">
      <c r="A1016" s="2">
        <v>34</v>
      </c>
      <c r="B1016" s="2" t="s">
        <v>160</v>
      </c>
      <c r="C1016" s="2">
        <v>297</v>
      </c>
      <c r="D1016" s="2" t="s">
        <v>833</v>
      </c>
      <c r="E1016" s="2" t="s">
        <v>7618</v>
      </c>
      <c r="F1016" s="2" t="s">
        <v>7608</v>
      </c>
      <c r="G1016" s="2" t="s">
        <v>7633</v>
      </c>
    </row>
    <row r="1017" spans="1:7">
      <c r="A1017" s="3">
        <v>34</v>
      </c>
      <c r="B1017" s="3" t="s">
        <v>160</v>
      </c>
      <c r="C1017" s="3">
        <v>300</v>
      </c>
      <c r="D1017" s="3" t="s">
        <v>854</v>
      </c>
      <c r="E1017" s="3" t="s">
        <v>7640</v>
      </c>
      <c r="F1017" s="3" t="s">
        <v>7608</v>
      </c>
      <c r="G1017" s="3" t="s">
        <v>7633</v>
      </c>
    </row>
    <row r="1018" spans="1:7">
      <c r="A1018" s="2">
        <v>34</v>
      </c>
      <c r="B1018" s="2" t="s">
        <v>160</v>
      </c>
      <c r="C1018" s="2">
        <v>302</v>
      </c>
      <c r="D1018" s="2" t="s">
        <v>916</v>
      </c>
      <c r="E1018" s="2" t="s">
        <v>7620</v>
      </c>
      <c r="F1018" s="2" t="s">
        <v>7628</v>
      </c>
      <c r="G1018" s="2" t="s">
        <v>7633</v>
      </c>
    </row>
    <row r="1019" spans="1:7">
      <c r="A1019" s="3">
        <v>34</v>
      </c>
      <c r="B1019" s="3" t="s">
        <v>160</v>
      </c>
      <c r="C1019" s="3">
        <v>303</v>
      </c>
      <c r="D1019" s="3" t="s">
        <v>854</v>
      </c>
      <c r="E1019" s="3" t="s">
        <v>7620</v>
      </c>
      <c r="F1019" s="3" t="s">
        <v>7611</v>
      </c>
      <c r="G1019" s="3" t="s">
        <v>7621</v>
      </c>
    </row>
    <row r="1020" spans="1:7">
      <c r="A1020" s="2">
        <v>34</v>
      </c>
      <c r="B1020" s="2" t="s">
        <v>160</v>
      </c>
      <c r="C1020" s="2">
        <v>305</v>
      </c>
      <c r="D1020" s="2" t="s">
        <v>854</v>
      </c>
      <c r="E1020" s="2" t="s">
        <v>7620</v>
      </c>
      <c r="F1020" s="2" t="s">
        <v>7608</v>
      </c>
      <c r="G1020" s="2" t="s">
        <v>7625</v>
      </c>
    </row>
    <row r="1021" spans="1:7">
      <c r="A1021" s="3">
        <v>34</v>
      </c>
      <c r="B1021" s="3" t="s">
        <v>160</v>
      </c>
      <c r="C1021" s="3">
        <v>307</v>
      </c>
      <c r="D1021" s="3" t="s">
        <v>854</v>
      </c>
      <c r="E1021" s="3" t="s">
        <v>7620</v>
      </c>
      <c r="F1021" s="3" t="s">
        <v>7611</v>
      </c>
      <c r="G1021" s="3" t="s">
        <v>7625</v>
      </c>
    </row>
    <row r="1022" spans="1:7">
      <c r="A1022" s="2">
        <v>34</v>
      </c>
      <c r="B1022" s="2" t="s">
        <v>160</v>
      </c>
      <c r="C1022" s="2">
        <v>308</v>
      </c>
      <c r="D1022" s="2" t="s">
        <v>854</v>
      </c>
      <c r="E1022" s="2" t="s">
        <v>7618</v>
      </c>
      <c r="F1022" s="2" t="s">
        <v>7702</v>
      </c>
      <c r="G1022" s="2" t="s">
        <v>7617</v>
      </c>
    </row>
    <row r="1023" spans="1:7">
      <c r="A1023" s="3">
        <v>34</v>
      </c>
      <c r="B1023" s="3" t="s">
        <v>160</v>
      </c>
      <c r="C1023" s="3">
        <v>311</v>
      </c>
      <c r="D1023" s="3" t="s">
        <v>954</v>
      </c>
      <c r="E1023" s="3" t="s">
        <v>7635</v>
      </c>
      <c r="F1023" s="3" t="s">
        <v>7677</v>
      </c>
      <c r="G1023" s="3" t="s">
        <v>7609</v>
      </c>
    </row>
    <row r="1024" spans="1:7">
      <c r="A1024" s="2">
        <v>34</v>
      </c>
      <c r="B1024" s="2" t="s">
        <v>160</v>
      </c>
      <c r="C1024" s="2">
        <v>312</v>
      </c>
      <c r="D1024" s="2" t="s">
        <v>949</v>
      </c>
      <c r="E1024" s="2" t="s">
        <v>7635</v>
      </c>
      <c r="F1024" s="2" t="s">
        <v>7628</v>
      </c>
      <c r="G1024" s="2" t="s">
        <v>7633</v>
      </c>
    </row>
    <row r="1025" spans="1:7">
      <c r="A1025" s="3">
        <v>34</v>
      </c>
      <c r="B1025" s="3" t="s">
        <v>160</v>
      </c>
      <c r="C1025" s="3">
        <v>314</v>
      </c>
      <c r="D1025" s="3" t="s">
        <v>1050</v>
      </c>
      <c r="E1025" s="3" t="s">
        <v>7635</v>
      </c>
      <c r="F1025" s="3" t="s">
        <v>7635</v>
      </c>
      <c r="G1025" s="3" t="s">
        <v>7622</v>
      </c>
    </row>
    <row r="1026" spans="1:7">
      <c r="A1026" s="2">
        <v>34</v>
      </c>
      <c r="B1026" s="2" t="s">
        <v>160</v>
      </c>
      <c r="C1026" s="2">
        <v>317</v>
      </c>
      <c r="D1026" s="2" t="s">
        <v>1030</v>
      </c>
      <c r="E1026" s="2" t="s">
        <v>7688</v>
      </c>
      <c r="F1026" s="2" t="s">
        <v>7611</v>
      </c>
      <c r="G1026" s="2" t="s">
        <v>7637</v>
      </c>
    </row>
    <row r="1027" spans="1:7">
      <c r="A1027" s="3">
        <v>34</v>
      </c>
      <c r="B1027" s="3" t="s">
        <v>160</v>
      </c>
      <c r="C1027" s="3">
        <v>318</v>
      </c>
      <c r="D1027" s="3" t="s">
        <v>1032</v>
      </c>
      <c r="E1027" s="3" t="s">
        <v>7687</v>
      </c>
      <c r="F1027" s="3" t="s">
        <v>7611</v>
      </c>
      <c r="G1027" s="3" t="s">
        <v>7644</v>
      </c>
    </row>
    <row r="1028" spans="1:7">
      <c r="A1028" s="2">
        <v>34</v>
      </c>
      <c r="B1028" s="2" t="s">
        <v>160</v>
      </c>
      <c r="C1028" s="2">
        <v>319</v>
      </c>
      <c r="D1028" s="2" t="s">
        <v>1035</v>
      </c>
      <c r="E1028" s="2" t="s">
        <v>7635</v>
      </c>
      <c r="F1028" s="2" t="s">
        <v>7628</v>
      </c>
      <c r="G1028" s="2" t="s">
        <v>7633</v>
      </c>
    </row>
    <row r="1029" spans="1:7">
      <c r="A1029" s="3">
        <v>34</v>
      </c>
      <c r="B1029" s="3" t="s">
        <v>160</v>
      </c>
      <c r="C1029" s="3">
        <v>320</v>
      </c>
      <c r="D1029" s="3" t="s">
        <v>1039</v>
      </c>
      <c r="E1029" s="3" t="s">
        <v>7635</v>
      </c>
      <c r="F1029" s="3" t="s">
        <v>7677</v>
      </c>
      <c r="G1029" s="3" t="s">
        <v>7622</v>
      </c>
    </row>
    <row r="1030" spans="1:7">
      <c r="A1030" s="2">
        <v>34</v>
      </c>
      <c r="B1030" s="2" t="s">
        <v>160</v>
      </c>
      <c r="C1030" s="2">
        <v>321</v>
      </c>
      <c r="D1030" s="2" t="s">
        <v>1048</v>
      </c>
      <c r="E1030" s="2" t="s">
        <v>7618</v>
      </c>
      <c r="F1030" s="2" t="s">
        <v>7611</v>
      </c>
      <c r="G1030" s="2" t="s">
        <v>7636</v>
      </c>
    </row>
    <row r="1031" spans="1:7">
      <c r="A1031" s="3">
        <v>34</v>
      </c>
      <c r="B1031" s="3" t="s">
        <v>160</v>
      </c>
      <c r="C1031" s="3">
        <v>322</v>
      </c>
      <c r="D1031" s="3" t="s">
        <v>1012</v>
      </c>
      <c r="E1031" s="3" t="s">
        <v>7635</v>
      </c>
      <c r="F1031" s="3" t="s">
        <v>7635</v>
      </c>
      <c r="G1031" s="3" t="s">
        <v>7625</v>
      </c>
    </row>
    <row r="1032" spans="1:7">
      <c r="A1032" s="2">
        <v>34</v>
      </c>
      <c r="B1032" s="2" t="s">
        <v>160</v>
      </c>
      <c r="C1032" s="2">
        <v>323</v>
      </c>
      <c r="D1032" s="2" t="s">
        <v>1016</v>
      </c>
      <c r="E1032" s="2" t="s">
        <v>7618</v>
      </c>
      <c r="F1032" s="2" t="s">
        <v>7611</v>
      </c>
      <c r="G1032" s="2" t="s">
        <v>7636</v>
      </c>
    </row>
    <row r="1033" spans="1:7">
      <c r="A1033" s="3">
        <v>34</v>
      </c>
      <c r="B1033" s="3" t="s">
        <v>160</v>
      </c>
      <c r="C1033" s="3">
        <v>325</v>
      </c>
      <c r="D1033" s="3" t="s">
        <v>1020</v>
      </c>
      <c r="E1033" s="3" t="s">
        <v>7687</v>
      </c>
      <c r="F1033" s="3" t="s">
        <v>7611</v>
      </c>
      <c r="G1033" s="3" t="s">
        <v>7624</v>
      </c>
    </row>
    <row r="1034" spans="1:7">
      <c r="A1034" s="2">
        <v>34</v>
      </c>
      <c r="B1034" s="2" t="s">
        <v>160</v>
      </c>
      <c r="C1034" s="2">
        <v>326</v>
      </c>
      <c r="D1034" s="2" t="s">
        <v>1022</v>
      </c>
      <c r="E1034" s="2" t="s">
        <v>7687</v>
      </c>
      <c r="F1034" s="2" t="s">
        <v>7628</v>
      </c>
      <c r="G1034" s="2" t="s">
        <v>7632</v>
      </c>
    </row>
    <row r="1035" spans="1:7">
      <c r="A1035" s="3">
        <v>34</v>
      </c>
      <c r="B1035" s="3" t="s">
        <v>160</v>
      </c>
      <c r="C1035" s="3">
        <v>327</v>
      </c>
      <c r="D1035" s="3" t="s">
        <v>1025</v>
      </c>
      <c r="E1035" s="3" t="s">
        <v>7618</v>
      </c>
      <c r="F1035" s="3" t="s">
        <v>7628</v>
      </c>
      <c r="G1035" s="3" t="s">
        <v>7639</v>
      </c>
    </row>
    <row r="1036" spans="1:7">
      <c r="A1036" s="2">
        <v>34</v>
      </c>
      <c r="B1036" s="2" t="s">
        <v>160</v>
      </c>
      <c r="C1036" s="2">
        <v>328</v>
      </c>
      <c r="D1036" s="2" t="s">
        <v>1026</v>
      </c>
      <c r="E1036" s="2" t="s">
        <v>7618</v>
      </c>
      <c r="F1036" s="2" t="s">
        <v>7611</v>
      </c>
      <c r="G1036" s="2" t="s">
        <v>7636</v>
      </c>
    </row>
    <row r="1037" spans="1:7">
      <c r="A1037" s="3">
        <v>34</v>
      </c>
      <c r="B1037" s="3" t="s">
        <v>160</v>
      </c>
      <c r="C1037" s="3">
        <v>329</v>
      </c>
      <c r="D1037" s="3" t="s">
        <v>965</v>
      </c>
      <c r="E1037" s="3" t="s">
        <v>7618</v>
      </c>
      <c r="F1037" s="3" t="s">
        <v>7611</v>
      </c>
      <c r="G1037" s="3" t="s">
        <v>7617</v>
      </c>
    </row>
    <row r="1038" spans="1:7">
      <c r="A1038" s="2">
        <v>34</v>
      </c>
      <c r="B1038" s="2" t="s">
        <v>160</v>
      </c>
      <c r="C1038" s="2">
        <v>330</v>
      </c>
      <c r="D1038" s="2" t="s">
        <v>974</v>
      </c>
      <c r="E1038" s="2" t="s">
        <v>7618</v>
      </c>
      <c r="F1038" s="2" t="s">
        <v>7635</v>
      </c>
      <c r="G1038" s="2" t="s">
        <v>7636</v>
      </c>
    </row>
    <row r="1039" spans="1:7">
      <c r="A1039" s="3">
        <v>34</v>
      </c>
      <c r="B1039" s="3" t="s">
        <v>160</v>
      </c>
      <c r="C1039" s="3">
        <v>332</v>
      </c>
      <c r="D1039" s="3" t="s">
        <v>986</v>
      </c>
      <c r="E1039" s="3" t="s">
        <v>7645</v>
      </c>
      <c r="F1039" s="3" t="s">
        <v>7611</v>
      </c>
      <c r="G1039" s="3" t="s">
        <v>7609</v>
      </c>
    </row>
    <row r="1040" spans="1:7">
      <c r="A1040" s="2">
        <v>34</v>
      </c>
      <c r="B1040" s="2" t="s">
        <v>160</v>
      </c>
      <c r="C1040" s="2">
        <v>333</v>
      </c>
      <c r="D1040" s="2" t="s">
        <v>989</v>
      </c>
      <c r="E1040" s="2" t="s">
        <v>7618</v>
      </c>
      <c r="F1040" s="2" t="s">
        <v>7611</v>
      </c>
      <c r="G1040" s="2" t="s">
        <v>7617</v>
      </c>
    </row>
    <row r="1041" spans="1:7">
      <c r="A1041" s="3">
        <v>34</v>
      </c>
      <c r="B1041" s="3" t="s">
        <v>160</v>
      </c>
      <c r="C1041" s="3">
        <v>334</v>
      </c>
      <c r="D1041" s="3" t="s">
        <v>970</v>
      </c>
      <c r="E1041" s="3" t="s">
        <v>7620</v>
      </c>
      <c r="F1041" s="3" t="s">
        <v>7628</v>
      </c>
      <c r="G1041" s="3" t="s">
        <v>7622</v>
      </c>
    </row>
    <row r="1042" spans="1:7">
      <c r="A1042" s="2">
        <v>34</v>
      </c>
      <c r="B1042" s="2" t="s">
        <v>160</v>
      </c>
      <c r="C1042" s="2">
        <v>335</v>
      </c>
      <c r="D1042" s="2" t="s">
        <v>1057</v>
      </c>
      <c r="E1042" s="2" t="s">
        <v>7620</v>
      </c>
      <c r="F1042" s="2" t="s">
        <v>7611</v>
      </c>
      <c r="G1042" s="2" t="s">
        <v>7625</v>
      </c>
    </row>
    <row r="1043" spans="1:7">
      <c r="A1043" s="3">
        <v>34</v>
      </c>
      <c r="B1043" s="3" t="s">
        <v>160</v>
      </c>
      <c r="C1043" s="3">
        <v>336</v>
      </c>
      <c r="D1043" s="3" t="s">
        <v>992</v>
      </c>
      <c r="E1043" s="3" t="s">
        <v>7620</v>
      </c>
      <c r="F1043" s="3" t="s">
        <v>7611</v>
      </c>
      <c r="G1043" s="3" t="s">
        <v>7625</v>
      </c>
    </row>
    <row r="1044" spans="1:7">
      <c r="A1044" s="2">
        <v>34</v>
      </c>
      <c r="B1044" s="2" t="s">
        <v>160</v>
      </c>
      <c r="C1044" s="2">
        <v>337</v>
      </c>
      <c r="D1044" s="2" t="s">
        <v>1042</v>
      </c>
      <c r="E1044" s="2" t="s">
        <v>7620</v>
      </c>
      <c r="F1044" s="2" t="s">
        <v>7611</v>
      </c>
      <c r="G1044" s="2" t="s">
        <v>7621</v>
      </c>
    </row>
    <row r="1045" spans="1:7">
      <c r="A1045" s="3">
        <v>34</v>
      </c>
      <c r="B1045" s="3" t="s">
        <v>160</v>
      </c>
      <c r="C1045" s="3">
        <v>338</v>
      </c>
      <c r="D1045" s="3" t="s">
        <v>996</v>
      </c>
      <c r="E1045" s="3" t="s">
        <v>7640</v>
      </c>
      <c r="F1045" s="3" t="s">
        <v>7611</v>
      </c>
      <c r="G1045" s="3" t="s">
        <v>7609</v>
      </c>
    </row>
    <row r="1046" spans="1:7">
      <c r="A1046" s="2">
        <v>34</v>
      </c>
      <c r="B1046" s="2" t="s">
        <v>160</v>
      </c>
      <c r="C1046" s="2">
        <v>339</v>
      </c>
      <c r="D1046" s="2" t="s">
        <v>1058</v>
      </c>
      <c r="E1046" s="2" t="s">
        <v>7620</v>
      </c>
      <c r="F1046" s="2" t="s">
        <v>7611</v>
      </c>
      <c r="G1046" s="2" t="s">
        <v>7621</v>
      </c>
    </row>
    <row r="1047" spans="1:7">
      <c r="A1047" s="3">
        <v>34</v>
      </c>
      <c r="B1047" s="3" t="s">
        <v>160</v>
      </c>
      <c r="C1047" s="3">
        <v>341</v>
      </c>
      <c r="D1047" s="3" t="s">
        <v>1052</v>
      </c>
      <c r="E1047" s="3" t="s">
        <v>7620</v>
      </c>
      <c r="F1047" s="3" t="s">
        <v>7611</v>
      </c>
      <c r="G1047" s="3" t="s">
        <v>7621</v>
      </c>
    </row>
    <row r="1048" spans="1:7">
      <c r="A1048" s="2">
        <v>34</v>
      </c>
      <c r="B1048" s="2" t="s">
        <v>160</v>
      </c>
      <c r="C1048" s="2">
        <v>343</v>
      </c>
      <c r="D1048" s="2" t="s">
        <v>977</v>
      </c>
      <c r="E1048" s="2" t="s">
        <v>7694</v>
      </c>
      <c r="F1048" s="2" t="s">
        <v>7628</v>
      </c>
      <c r="G1048" s="2" t="s">
        <v>7636</v>
      </c>
    </row>
    <row r="1049" spans="1:7">
      <c r="A1049" s="3">
        <v>34</v>
      </c>
      <c r="B1049" s="3" t="s">
        <v>160</v>
      </c>
      <c r="C1049" s="3">
        <v>402</v>
      </c>
      <c r="D1049" s="3" t="s">
        <v>1120</v>
      </c>
      <c r="E1049" s="3" t="s">
        <v>7645</v>
      </c>
      <c r="F1049" s="3" t="s">
        <v>7611</v>
      </c>
      <c r="G1049" s="3" t="s">
        <v>7621</v>
      </c>
    </row>
    <row r="1050" spans="1:7">
      <c r="A1050" s="2">
        <v>34</v>
      </c>
      <c r="B1050" s="2" t="s">
        <v>160</v>
      </c>
      <c r="C1050" s="2">
        <v>405</v>
      </c>
      <c r="D1050" s="2" t="s">
        <v>1110</v>
      </c>
      <c r="E1050" s="2" t="s">
        <v>7703</v>
      </c>
      <c r="F1050" s="2" t="s">
        <v>7611</v>
      </c>
      <c r="G1050" s="2" t="s">
        <v>7626</v>
      </c>
    </row>
    <row r="1051" spans="1:7">
      <c r="A1051" s="3">
        <v>34</v>
      </c>
      <c r="B1051" s="3" t="s">
        <v>160</v>
      </c>
      <c r="C1051" s="3">
        <v>406</v>
      </c>
      <c r="D1051" s="3" t="s">
        <v>1114</v>
      </c>
      <c r="E1051" s="3" t="s">
        <v>7658</v>
      </c>
      <c r="F1051" s="3" t="s">
        <v>7628</v>
      </c>
      <c r="G1051" s="3" t="s">
        <v>7670</v>
      </c>
    </row>
    <row r="1052" spans="1:7">
      <c r="A1052" s="2">
        <v>34</v>
      </c>
      <c r="B1052" s="2" t="s">
        <v>160</v>
      </c>
      <c r="C1052" s="2">
        <v>408</v>
      </c>
      <c r="D1052" s="2" t="s">
        <v>1131</v>
      </c>
      <c r="E1052" s="2" t="s">
        <v>7697</v>
      </c>
      <c r="F1052" s="2" t="s">
        <v>7608</v>
      </c>
      <c r="G1052" s="2" t="s">
        <v>7634</v>
      </c>
    </row>
    <row r="1053" spans="1:7">
      <c r="A1053" s="3">
        <v>34</v>
      </c>
      <c r="B1053" s="3" t="s">
        <v>160</v>
      </c>
      <c r="C1053" s="3">
        <v>409</v>
      </c>
      <c r="D1053" s="3" t="s">
        <v>1126</v>
      </c>
      <c r="E1053" s="3" t="s">
        <v>7687</v>
      </c>
      <c r="F1053" s="3" t="s">
        <v>7611</v>
      </c>
      <c r="G1053" s="3" t="s">
        <v>7632</v>
      </c>
    </row>
    <row r="1054" spans="1:7">
      <c r="A1054" s="2">
        <v>34</v>
      </c>
      <c r="B1054" s="2" t="s">
        <v>160</v>
      </c>
      <c r="C1054" s="2">
        <v>410</v>
      </c>
      <c r="D1054" s="2" t="s">
        <v>1123</v>
      </c>
      <c r="E1054" s="2" t="s">
        <v>7686</v>
      </c>
      <c r="F1054" s="2" t="s">
        <v>7611</v>
      </c>
      <c r="G1054" s="2" t="s">
        <v>7636</v>
      </c>
    </row>
    <row r="1055" spans="1:7">
      <c r="A1055" s="3">
        <v>35</v>
      </c>
      <c r="B1055" s="3" t="s">
        <v>155</v>
      </c>
      <c r="C1055" s="3">
        <v>36</v>
      </c>
      <c r="D1055" s="3" t="s">
        <v>94</v>
      </c>
      <c r="E1055" s="3" t="s">
        <v>7616</v>
      </c>
      <c r="F1055" s="3" t="s">
        <v>7628</v>
      </c>
      <c r="G1055" s="3" t="s">
        <v>7619</v>
      </c>
    </row>
    <row r="1056" spans="1:7">
      <c r="A1056" s="2">
        <v>35</v>
      </c>
      <c r="B1056" s="2" t="s">
        <v>155</v>
      </c>
      <c r="C1056" s="2">
        <v>39</v>
      </c>
      <c r="D1056" s="2" t="s">
        <v>133</v>
      </c>
      <c r="E1056" s="2" t="s">
        <v>7616</v>
      </c>
      <c r="F1056" s="2" t="s">
        <v>7628</v>
      </c>
      <c r="G1056" s="2" t="s">
        <v>7636</v>
      </c>
    </row>
    <row r="1057" spans="1:7">
      <c r="A1057" s="3">
        <v>35</v>
      </c>
      <c r="B1057" s="3" t="s">
        <v>155</v>
      </c>
      <c r="C1057" s="3">
        <v>40</v>
      </c>
      <c r="D1057" s="3" t="s">
        <v>188</v>
      </c>
      <c r="E1057" s="3" t="s">
        <v>7704</v>
      </c>
      <c r="F1057" s="3" t="s">
        <v>7628</v>
      </c>
      <c r="G1057" s="3" t="s">
        <v>7641</v>
      </c>
    </row>
    <row r="1058" spans="1:7">
      <c r="A1058" s="2">
        <v>35</v>
      </c>
      <c r="B1058" s="2" t="s">
        <v>155</v>
      </c>
      <c r="C1058" s="2">
        <v>41</v>
      </c>
      <c r="D1058" s="2" t="s">
        <v>56</v>
      </c>
      <c r="E1058" s="2" t="s">
        <v>7627</v>
      </c>
      <c r="F1058" s="2" t="s">
        <v>7628</v>
      </c>
      <c r="G1058" s="2" t="s">
        <v>7637</v>
      </c>
    </row>
    <row r="1059" spans="1:7">
      <c r="A1059" s="3">
        <v>35</v>
      </c>
      <c r="B1059" s="3" t="s">
        <v>155</v>
      </c>
      <c r="C1059" s="3">
        <v>42</v>
      </c>
      <c r="D1059" s="3" t="s">
        <v>62</v>
      </c>
      <c r="E1059" s="3" t="s">
        <v>7665</v>
      </c>
      <c r="F1059" s="3" t="s">
        <v>7628</v>
      </c>
      <c r="G1059" s="3" t="s">
        <v>7615</v>
      </c>
    </row>
    <row r="1060" spans="1:7">
      <c r="A1060" s="2">
        <v>35</v>
      </c>
      <c r="B1060" s="2" t="s">
        <v>155</v>
      </c>
      <c r="C1060" s="2">
        <v>43</v>
      </c>
      <c r="D1060" s="2" t="s">
        <v>205</v>
      </c>
      <c r="E1060" s="2" t="s">
        <v>7638</v>
      </c>
      <c r="F1060" s="2" t="s">
        <v>7611</v>
      </c>
      <c r="G1060" s="2" t="s">
        <v>7632</v>
      </c>
    </row>
    <row r="1061" spans="1:7">
      <c r="A1061" s="3">
        <v>35</v>
      </c>
      <c r="B1061" s="3" t="s">
        <v>155</v>
      </c>
      <c r="C1061" s="3">
        <v>44</v>
      </c>
      <c r="D1061" s="3" t="s">
        <v>137</v>
      </c>
      <c r="E1061" s="3" t="s">
        <v>7627</v>
      </c>
      <c r="F1061" s="3" t="s">
        <v>7611</v>
      </c>
      <c r="G1061" s="3" t="s">
        <v>7641</v>
      </c>
    </row>
    <row r="1062" spans="1:7">
      <c r="A1062" s="2">
        <v>35</v>
      </c>
      <c r="B1062" s="2" t="s">
        <v>155</v>
      </c>
      <c r="C1062" s="2">
        <v>45</v>
      </c>
      <c r="D1062" s="2" t="s">
        <v>197</v>
      </c>
      <c r="E1062" s="2" t="s">
        <v>7616</v>
      </c>
      <c r="F1062" s="2" t="s">
        <v>7611</v>
      </c>
      <c r="G1062" s="2" t="s">
        <v>7617</v>
      </c>
    </row>
    <row r="1063" spans="1:7">
      <c r="A1063" s="3">
        <v>35</v>
      </c>
      <c r="B1063" s="3" t="s">
        <v>155</v>
      </c>
      <c r="C1063" s="3">
        <v>46</v>
      </c>
      <c r="D1063" s="3" t="s">
        <v>89</v>
      </c>
      <c r="E1063" s="3" t="s">
        <v>7610</v>
      </c>
      <c r="F1063" s="3" t="s">
        <v>7611</v>
      </c>
      <c r="G1063" s="3" t="s">
        <v>7624</v>
      </c>
    </row>
    <row r="1064" spans="1:7">
      <c r="A1064" s="2">
        <v>35</v>
      </c>
      <c r="B1064" s="2" t="s">
        <v>155</v>
      </c>
      <c r="C1064" s="2">
        <v>47</v>
      </c>
      <c r="D1064" s="2" t="s">
        <v>100</v>
      </c>
      <c r="E1064" s="2" t="s">
        <v>7638</v>
      </c>
      <c r="F1064" s="2" t="s">
        <v>7628</v>
      </c>
      <c r="G1064" s="2" t="s">
        <v>7624</v>
      </c>
    </row>
    <row r="1065" spans="1:7">
      <c r="A1065" s="3">
        <v>35</v>
      </c>
      <c r="B1065" s="3" t="s">
        <v>155</v>
      </c>
      <c r="C1065" s="3">
        <v>48</v>
      </c>
      <c r="D1065" s="3" t="s">
        <v>167</v>
      </c>
      <c r="E1065" s="3" t="s">
        <v>7638</v>
      </c>
      <c r="F1065" s="3" t="s">
        <v>7611</v>
      </c>
      <c r="G1065" s="3" t="s">
        <v>7644</v>
      </c>
    </row>
    <row r="1066" spans="1:7">
      <c r="A1066" s="2">
        <v>35</v>
      </c>
      <c r="B1066" s="2" t="s">
        <v>155</v>
      </c>
      <c r="C1066" s="2">
        <v>49</v>
      </c>
      <c r="D1066" s="2" t="s">
        <v>158</v>
      </c>
      <c r="E1066" s="2" t="s">
        <v>7616</v>
      </c>
      <c r="F1066" s="2" t="s">
        <v>7608</v>
      </c>
      <c r="G1066" s="2" t="s">
        <v>7633</v>
      </c>
    </row>
    <row r="1067" spans="1:7">
      <c r="A1067" s="3">
        <v>35</v>
      </c>
      <c r="B1067" s="3" t="s">
        <v>155</v>
      </c>
      <c r="C1067" s="3">
        <v>50</v>
      </c>
      <c r="D1067" s="3" t="s">
        <v>212</v>
      </c>
      <c r="E1067" s="3" t="s">
        <v>7610</v>
      </c>
      <c r="F1067" s="3" t="s">
        <v>7611</v>
      </c>
      <c r="G1067" s="3" t="s">
        <v>7639</v>
      </c>
    </row>
    <row r="1068" spans="1:7">
      <c r="A1068" s="2">
        <v>35</v>
      </c>
      <c r="B1068" s="2" t="s">
        <v>155</v>
      </c>
      <c r="C1068" s="2">
        <v>51</v>
      </c>
      <c r="D1068" s="2" t="s">
        <v>144</v>
      </c>
      <c r="E1068" s="2" t="s">
        <v>7613</v>
      </c>
      <c r="F1068" s="2" t="s">
        <v>7611</v>
      </c>
      <c r="G1068" s="2" t="s">
        <v>7666</v>
      </c>
    </row>
    <row r="1069" spans="1:7">
      <c r="A1069" s="3">
        <v>35</v>
      </c>
      <c r="B1069" s="3" t="s">
        <v>155</v>
      </c>
      <c r="C1069" s="3">
        <v>52</v>
      </c>
      <c r="D1069" s="3" t="s">
        <v>149</v>
      </c>
      <c r="E1069" s="3" t="s">
        <v>7658</v>
      </c>
      <c r="F1069" s="3" t="s">
        <v>7611</v>
      </c>
      <c r="G1069" s="3" t="s">
        <v>7612</v>
      </c>
    </row>
    <row r="1070" spans="1:7">
      <c r="A1070" s="2">
        <v>35</v>
      </c>
      <c r="B1070" s="2" t="s">
        <v>155</v>
      </c>
      <c r="C1070" s="2">
        <v>53</v>
      </c>
      <c r="D1070" s="2" t="s">
        <v>215</v>
      </c>
      <c r="E1070" s="2" t="s">
        <v>7607</v>
      </c>
      <c r="F1070" s="2" t="s">
        <v>7611</v>
      </c>
      <c r="G1070" s="2" t="s">
        <v>7617</v>
      </c>
    </row>
    <row r="1071" spans="1:7">
      <c r="A1071" s="3">
        <v>35</v>
      </c>
      <c r="B1071" s="3" t="s">
        <v>155</v>
      </c>
      <c r="C1071" s="3">
        <v>55</v>
      </c>
      <c r="D1071" s="3" t="s">
        <v>218</v>
      </c>
      <c r="E1071" s="3" t="s">
        <v>7665</v>
      </c>
      <c r="F1071" s="3" t="s">
        <v>7628</v>
      </c>
      <c r="G1071" s="3" t="s">
        <v>7666</v>
      </c>
    </row>
    <row r="1072" spans="1:7">
      <c r="A1072" s="2">
        <v>35</v>
      </c>
      <c r="B1072" s="2" t="s">
        <v>155</v>
      </c>
      <c r="C1072" s="2">
        <v>56</v>
      </c>
      <c r="D1072" s="2" t="s">
        <v>12</v>
      </c>
      <c r="E1072" s="2" t="s">
        <v>7684</v>
      </c>
      <c r="F1072" s="2" t="s">
        <v>7628</v>
      </c>
      <c r="G1072" s="2" t="s">
        <v>7644</v>
      </c>
    </row>
    <row r="1073" spans="1:7">
      <c r="A1073" s="3">
        <v>35</v>
      </c>
      <c r="B1073" s="3" t="s">
        <v>155</v>
      </c>
      <c r="C1073" s="3">
        <v>57</v>
      </c>
      <c r="D1073" s="3" t="s">
        <v>39</v>
      </c>
      <c r="E1073" s="3" t="s">
        <v>7613</v>
      </c>
      <c r="F1073" s="3" t="s">
        <v>7611</v>
      </c>
      <c r="G1073" s="3" t="s">
        <v>7614</v>
      </c>
    </row>
    <row r="1074" spans="1:7">
      <c r="A1074" s="2">
        <v>35</v>
      </c>
      <c r="B1074" s="2" t="s">
        <v>155</v>
      </c>
      <c r="C1074" s="2">
        <v>58</v>
      </c>
      <c r="D1074" s="2" t="s">
        <v>152</v>
      </c>
      <c r="E1074" s="2" t="s">
        <v>7665</v>
      </c>
      <c r="F1074" s="2" t="s">
        <v>7628</v>
      </c>
      <c r="G1074" s="2" t="s">
        <v>7666</v>
      </c>
    </row>
    <row r="1075" spans="1:7">
      <c r="A1075" s="3">
        <v>35</v>
      </c>
      <c r="B1075" s="3" t="s">
        <v>155</v>
      </c>
      <c r="C1075" s="3">
        <v>59</v>
      </c>
      <c r="D1075" s="3" t="s">
        <v>28</v>
      </c>
      <c r="E1075" s="3" t="s">
        <v>7616</v>
      </c>
      <c r="F1075" s="3" t="s">
        <v>7611</v>
      </c>
      <c r="G1075" s="3" t="s">
        <v>7609</v>
      </c>
    </row>
    <row r="1076" spans="1:7">
      <c r="A1076" s="2">
        <v>35</v>
      </c>
      <c r="B1076" s="2" t="s">
        <v>155</v>
      </c>
      <c r="C1076" s="2">
        <v>60</v>
      </c>
      <c r="D1076" s="2" t="s">
        <v>285</v>
      </c>
      <c r="E1076" s="2" t="s">
        <v>7620</v>
      </c>
      <c r="F1076" s="2" t="s">
        <v>7611</v>
      </c>
      <c r="G1076" s="2" t="s">
        <v>7622</v>
      </c>
    </row>
    <row r="1077" spans="1:7">
      <c r="A1077" s="3">
        <v>35</v>
      </c>
      <c r="B1077" s="3" t="s">
        <v>155</v>
      </c>
      <c r="C1077" s="3">
        <v>61</v>
      </c>
      <c r="D1077" s="3" t="s">
        <v>273</v>
      </c>
      <c r="E1077" s="3" t="s">
        <v>7620</v>
      </c>
      <c r="F1077" s="3" t="s">
        <v>7611</v>
      </c>
      <c r="G1077" s="3" t="s">
        <v>7621</v>
      </c>
    </row>
    <row r="1078" spans="1:7">
      <c r="A1078" s="2">
        <v>35</v>
      </c>
      <c r="B1078" s="2" t="s">
        <v>155</v>
      </c>
      <c r="C1078" s="2">
        <v>62</v>
      </c>
      <c r="D1078" s="2" t="s">
        <v>280</v>
      </c>
      <c r="E1078" s="2" t="s">
        <v>7618</v>
      </c>
      <c r="F1078" s="2" t="s">
        <v>7611</v>
      </c>
      <c r="G1078" s="2" t="s">
        <v>7634</v>
      </c>
    </row>
    <row r="1079" spans="1:7">
      <c r="A1079" s="3">
        <v>35</v>
      </c>
      <c r="B1079" s="3" t="s">
        <v>155</v>
      </c>
      <c r="C1079" s="3">
        <v>63</v>
      </c>
      <c r="D1079" s="3" t="s">
        <v>265</v>
      </c>
      <c r="E1079" s="3" t="s">
        <v>7623</v>
      </c>
      <c r="F1079" s="3" t="s">
        <v>7628</v>
      </c>
      <c r="G1079" s="3" t="s">
        <v>7626</v>
      </c>
    </row>
    <row r="1080" spans="1:7">
      <c r="A1080" s="2">
        <v>35</v>
      </c>
      <c r="B1080" s="2" t="s">
        <v>155</v>
      </c>
      <c r="C1080" s="2">
        <v>64</v>
      </c>
      <c r="D1080" s="2" t="s">
        <v>283</v>
      </c>
      <c r="E1080" s="2" t="s">
        <v>7618</v>
      </c>
      <c r="F1080" s="2" t="s">
        <v>7611</v>
      </c>
      <c r="G1080" s="2" t="s">
        <v>7619</v>
      </c>
    </row>
    <row r="1081" spans="1:7">
      <c r="A1081" s="3">
        <v>35</v>
      </c>
      <c r="B1081" s="3" t="s">
        <v>155</v>
      </c>
      <c r="C1081" s="3">
        <v>65</v>
      </c>
      <c r="D1081" s="3" t="s">
        <v>243</v>
      </c>
      <c r="E1081" s="3" t="s">
        <v>7620</v>
      </c>
      <c r="F1081" s="3" t="s">
        <v>7628</v>
      </c>
      <c r="G1081" s="3" t="s">
        <v>7617</v>
      </c>
    </row>
    <row r="1082" spans="1:7">
      <c r="A1082" s="2">
        <v>35</v>
      </c>
      <c r="B1082" s="2" t="s">
        <v>155</v>
      </c>
      <c r="C1082" s="2">
        <v>66</v>
      </c>
      <c r="D1082" s="2" t="s">
        <v>249</v>
      </c>
      <c r="E1082" s="2" t="s">
        <v>7697</v>
      </c>
      <c r="F1082" s="2" t="s">
        <v>7611</v>
      </c>
      <c r="G1082" s="2" t="s">
        <v>7624</v>
      </c>
    </row>
    <row r="1083" spans="1:7">
      <c r="A1083" s="3">
        <v>35</v>
      </c>
      <c r="B1083" s="3" t="s">
        <v>155</v>
      </c>
      <c r="C1083" s="3">
        <v>67</v>
      </c>
      <c r="D1083" s="3" t="s">
        <v>252</v>
      </c>
      <c r="E1083" s="3" t="s">
        <v>7618</v>
      </c>
      <c r="F1083" s="3" t="s">
        <v>7628</v>
      </c>
      <c r="G1083" s="3" t="s">
        <v>7619</v>
      </c>
    </row>
    <row r="1084" spans="1:7">
      <c r="A1084" s="2">
        <v>35</v>
      </c>
      <c r="B1084" s="2" t="s">
        <v>155</v>
      </c>
      <c r="C1084" s="2">
        <v>68</v>
      </c>
      <c r="D1084" s="2" t="s">
        <v>254</v>
      </c>
      <c r="E1084" s="2" t="s">
        <v>7623</v>
      </c>
      <c r="F1084" s="2" t="s">
        <v>7608</v>
      </c>
      <c r="G1084" s="2" t="s">
        <v>7639</v>
      </c>
    </row>
    <row r="1085" spans="1:7">
      <c r="A1085" s="3">
        <v>35</v>
      </c>
      <c r="B1085" s="3" t="s">
        <v>155</v>
      </c>
      <c r="C1085" s="3">
        <v>69</v>
      </c>
      <c r="D1085" s="3" t="s">
        <v>259</v>
      </c>
      <c r="E1085" s="3" t="s">
        <v>7623</v>
      </c>
      <c r="F1085" s="3" t="s">
        <v>7611</v>
      </c>
      <c r="G1085" s="3" t="s">
        <v>7639</v>
      </c>
    </row>
    <row r="1086" spans="1:7">
      <c r="A1086" s="2">
        <v>35</v>
      </c>
      <c r="B1086" s="2" t="s">
        <v>155</v>
      </c>
      <c r="C1086" s="2">
        <v>70</v>
      </c>
      <c r="D1086" s="2" t="s">
        <v>262</v>
      </c>
      <c r="E1086" s="2" t="s">
        <v>7705</v>
      </c>
      <c r="F1086" s="2" t="s">
        <v>7611</v>
      </c>
      <c r="G1086" s="2" t="s">
        <v>7626</v>
      </c>
    </row>
    <row r="1087" spans="1:7">
      <c r="A1087" s="3">
        <v>35</v>
      </c>
      <c r="B1087" s="3" t="s">
        <v>155</v>
      </c>
      <c r="C1087" s="3">
        <v>71</v>
      </c>
      <c r="D1087" s="3" t="s">
        <v>235</v>
      </c>
      <c r="E1087" s="3" t="s">
        <v>7623</v>
      </c>
      <c r="F1087" s="3" t="s">
        <v>7611</v>
      </c>
      <c r="G1087" s="3" t="s">
        <v>7639</v>
      </c>
    </row>
    <row r="1088" spans="1:7">
      <c r="A1088" s="2">
        <v>35</v>
      </c>
      <c r="B1088" s="2" t="s">
        <v>155</v>
      </c>
      <c r="C1088" s="2">
        <v>72</v>
      </c>
      <c r="D1088" s="2" t="s">
        <v>238</v>
      </c>
      <c r="E1088" s="2" t="s">
        <v>7618</v>
      </c>
      <c r="F1088" s="2" t="s">
        <v>7628</v>
      </c>
      <c r="G1088" s="2" t="s">
        <v>7619</v>
      </c>
    </row>
    <row r="1089" spans="1:7">
      <c r="A1089" s="3">
        <v>35</v>
      </c>
      <c r="B1089" s="3" t="s">
        <v>155</v>
      </c>
      <c r="C1089" s="3">
        <v>73</v>
      </c>
      <c r="D1089" s="3" t="s">
        <v>240</v>
      </c>
      <c r="E1089" s="3" t="s">
        <v>7640</v>
      </c>
      <c r="F1089" s="3" t="s">
        <v>7628</v>
      </c>
      <c r="G1089" s="3" t="s">
        <v>7636</v>
      </c>
    </row>
    <row r="1090" spans="1:7">
      <c r="A1090" s="2">
        <v>35</v>
      </c>
      <c r="B1090" s="2" t="s">
        <v>155</v>
      </c>
      <c r="C1090" s="2">
        <v>74</v>
      </c>
      <c r="D1090" s="2" t="s">
        <v>293</v>
      </c>
      <c r="E1090" s="2" t="s">
        <v>7696</v>
      </c>
      <c r="F1090" s="2" t="s">
        <v>7611</v>
      </c>
      <c r="G1090" s="2" t="s">
        <v>7636</v>
      </c>
    </row>
    <row r="1091" spans="1:7">
      <c r="A1091" s="3">
        <v>35</v>
      </c>
      <c r="B1091" s="3" t="s">
        <v>155</v>
      </c>
      <c r="C1091" s="3">
        <v>75</v>
      </c>
      <c r="D1091" s="3" t="s">
        <v>230</v>
      </c>
      <c r="E1091" s="3" t="s">
        <v>7618</v>
      </c>
      <c r="F1091" s="3" t="s">
        <v>7635</v>
      </c>
      <c r="G1091" s="3" t="s">
        <v>7636</v>
      </c>
    </row>
    <row r="1092" spans="1:7">
      <c r="A1092" s="2">
        <v>35</v>
      </c>
      <c r="B1092" s="2" t="s">
        <v>155</v>
      </c>
      <c r="C1092" s="2">
        <v>76</v>
      </c>
      <c r="D1092" s="2" t="s">
        <v>268</v>
      </c>
      <c r="E1092" s="2" t="s">
        <v>7705</v>
      </c>
      <c r="F1092" s="2" t="s">
        <v>7611</v>
      </c>
      <c r="G1092" s="2" t="s">
        <v>7637</v>
      </c>
    </row>
    <row r="1093" spans="1:7">
      <c r="A1093" s="3">
        <v>35</v>
      </c>
      <c r="B1093" s="3" t="s">
        <v>155</v>
      </c>
      <c r="C1093" s="3">
        <v>77</v>
      </c>
      <c r="D1093" s="3" t="s">
        <v>297</v>
      </c>
      <c r="E1093" s="3" t="s">
        <v>7618</v>
      </c>
      <c r="F1093" s="3" t="s">
        <v>7611</v>
      </c>
      <c r="G1093" s="3" t="s">
        <v>7636</v>
      </c>
    </row>
    <row r="1094" spans="1:7">
      <c r="A1094" s="2">
        <v>35</v>
      </c>
      <c r="B1094" s="2" t="s">
        <v>155</v>
      </c>
      <c r="C1094" s="2">
        <v>78</v>
      </c>
      <c r="D1094" s="2" t="s">
        <v>301</v>
      </c>
      <c r="E1094" s="2" t="s">
        <v>7640</v>
      </c>
      <c r="F1094" s="2" t="s">
        <v>7611</v>
      </c>
      <c r="G1094" s="2" t="s">
        <v>7609</v>
      </c>
    </row>
    <row r="1095" spans="1:7">
      <c r="A1095" s="3">
        <v>35</v>
      </c>
      <c r="B1095" s="3" t="s">
        <v>155</v>
      </c>
      <c r="C1095" s="3">
        <v>79</v>
      </c>
      <c r="D1095" s="3" t="s">
        <v>246</v>
      </c>
      <c r="E1095" s="3" t="s">
        <v>7640</v>
      </c>
      <c r="F1095" s="3" t="s">
        <v>7611</v>
      </c>
      <c r="G1095" s="3" t="s">
        <v>7634</v>
      </c>
    </row>
    <row r="1096" spans="1:7">
      <c r="A1096" s="2">
        <v>35</v>
      </c>
      <c r="B1096" s="2" t="s">
        <v>155</v>
      </c>
      <c r="C1096" s="2">
        <v>80</v>
      </c>
      <c r="D1096" s="2" t="s">
        <v>289</v>
      </c>
      <c r="E1096" s="2" t="s">
        <v>7640</v>
      </c>
      <c r="F1096" s="2" t="s">
        <v>7628</v>
      </c>
      <c r="G1096" s="2" t="s">
        <v>7619</v>
      </c>
    </row>
    <row r="1097" spans="1:7">
      <c r="A1097" s="3">
        <v>35</v>
      </c>
      <c r="B1097" s="3" t="s">
        <v>155</v>
      </c>
      <c r="C1097" s="3">
        <v>81</v>
      </c>
      <c r="D1097" s="3" t="s">
        <v>308</v>
      </c>
      <c r="E1097" s="3" t="s">
        <v>7696</v>
      </c>
      <c r="F1097" s="3" t="s">
        <v>7611</v>
      </c>
      <c r="G1097" s="3" t="s">
        <v>7617</v>
      </c>
    </row>
    <row r="1098" spans="1:7">
      <c r="A1098" s="2">
        <v>35</v>
      </c>
      <c r="B1098" s="2" t="s">
        <v>155</v>
      </c>
      <c r="C1098" s="2">
        <v>82</v>
      </c>
      <c r="D1098" s="2" t="s">
        <v>277</v>
      </c>
      <c r="E1098" s="2" t="s">
        <v>7697</v>
      </c>
      <c r="F1098" s="2" t="s">
        <v>7611</v>
      </c>
      <c r="G1098" s="2" t="s">
        <v>7624</v>
      </c>
    </row>
    <row r="1099" spans="1:7">
      <c r="A1099" s="3">
        <v>35</v>
      </c>
      <c r="B1099" s="3" t="s">
        <v>155</v>
      </c>
      <c r="C1099" s="3">
        <v>83</v>
      </c>
      <c r="D1099" s="3" t="s">
        <v>304</v>
      </c>
      <c r="E1099" s="3" t="s">
        <v>7696</v>
      </c>
      <c r="F1099" s="3" t="s">
        <v>7611</v>
      </c>
      <c r="G1099" s="3" t="s">
        <v>7636</v>
      </c>
    </row>
    <row r="1100" spans="1:7">
      <c r="A1100" s="2">
        <v>35</v>
      </c>
      <c r="B1100" s="2" t="s">
        <v>155</v>
      </c>
      <c r="C1100" s="2">
        <v>85</v>
      </c>
      <c r="D1100" s="2" t="s">
        <v>334</v>
      </c>
      <c r="E1100" s="2" t="s">
        <v>7620</v>
      </c>
      <c r="F1100" s="2" t="s">
        <v>7611</v>
      </c>
      <c r="G1100" s="2" t="s">
        <v>7625</v>
      </c>
    </row>
    <row r="1101" spans="1:7">
      <c r="A1101" s="3">
        <v>35</v>
      </c>
      <c r="B1101" s="3" t="s">
        <v>155</v>
      </c>
      <c r="C1101" s="3">
        <v>86</v>
      </c>
      <c r="D1101" s="3" t="s">
        <v>322</v>
      </c>
      <c r="E1101" s="3" t="s">
        <v>7618</v>
      </c>
      <c r="F1101" s="3" t="s">
        <v>7608</v>
      </c>
      <c r="G1101" s="3" t="s">
        <v>7633</v>
      </c>
    </row>
    <row r="1102" spans="1:7">
      <c r="A1102" s="2">
        <v>35</v>
      </c>
      <c r="B1102" s="2" t="s">
        <v>155</v>
      </c>
      <c r="C1102" s="2">
        <v>88</v>
      </c>
      <c r="D1102" s="2" t="s">
        <v>312</v>
      </c>
      <c r="E1102" s="2" t="s">
        <v>7618</v>
      </c>
      <c r="F1102" s="2" t="s">
        <v>7611</v>
      </c>
      <c r="G1102" s="2" t="s">
        <v>7617</v>
      </c>
    </row>
    <row r="1103" spans="1:7">
      <c r="A1103" s="3">
        <v>35</v>
      </c>
      <c r="B1103" s="3" t="s">
        <v>155</v>
      </c>
      <c r="C1103" s="3">
        <v>89</v>
      </c>
      <c r="D1103" s="3" t="s">
        <v>339</v>
      </c>
      <c r="E1103" s="3" t="s">
        <v>7618</v>
      </c>
      <c r="F1103" s="3" t="s">
        <v>7608</v>
      </c>
      <c r="G1103" s="3" t="s">
        <v>7633</v>
      </c>
    </row>
    <row r="1104" spans="1:7">
      <c r="A1104" s="2">
        <v>35</v>
      </c>
      <c r="B1104" s="2" t="s">
        <v>155</v>
      </c>
      <c r="C1104" s="2">
        <v>91</v>
      </c>
      <c r="D1104" s="2" t="s">
        <v>326</v>
      </c>
      <c r="E1104" s="2" t="s">
        <v>7618</v>
      </c>
      <c r="F1104" s="2" t="s">
        <v>7611</v>
      </c>
      <c r="G1104" s="2" t="s">
        <v>7619</v>
      </c>
    </row>
    <row r="1105" spans="1:7">
      <c r="A1105" s="3">
        <v>35</v>
      </c>
      <c r="B1105" s="3" t="s">
        <v>155</v>
      </c>
      <c r="C1105" s="3">
        <v>92</v>
      </c>
      <c r="D1105" s="3" t="s">
        <v>330</v>
      </c>
      <c r="E1105" s="3" t="s">
        <v>7618</v>
      </c>
      <c r="F1105" s="3" t="s">
        <v>7628</v>
      </c>
      <c r="G1105" s="3" t="s">
        <v>7634</v>
      </c>
    </row>
    <row r="1106" spans="1:7">
      <c r="A1106" s="2">
        <v>35</v>
      </c>
      <c r="B1106" s="2" t="s">
        <v>155</v>
      </c>
      <c r="C1106" s="2">
        <v>94</v>
      </c>
      <c r="D1106" s="2" t="s">
        <v>316</v>
      </c>
      <c r="E1106" s="2" t="s">
        <v>7618</v>
      </c>
      <c r="F1106" s="2" t="s">
        <v>7635</v>
      </c>
      <c r="G1106" s="2" t="s">
        <v>7617</v>
      </c>
    </row>
    <row r="1107" spans="1:7">
      <c r="A1107" s="3">
        <v>35</v>
      </c>
      <c r="B1107" s="3" t="s">
        <v>155</v>
      </c>
      <c r="C1107" s="3">
        <v>95</v>
      </c>
      <c r="D1107" s="3" t="s">
        <v>342</v>
      </c>
      <c r="E1107" s="3" t="s">
        <v>7620</v>
      </c>
      <c r="F1107" s="3" t="s">
        <v>7611</v>
      </c>
      <c r="G1107" s="3" t="s">
        <v>7621</v>
      </c>
    </row>
    <row r="1108" spans="1:7">
      <c r="A1108" s="2">
        <v>35</v>
      </c>
      <c r="B1108" s="2" t="s">
        <v>155</v>
      </c>
      <c r="C1108" s="2">
        <v>96</v>
      </c>
      <c r="D1108" s="2" t="s">
        <v>359</v>
      </c>
      <c r="E1108" s="2" t="s">
        <v>7618</v>
      </c>
      <c r="F1108" s="2" t="s">
        <v>7611</v>
      </c>
      <c r="G1108" s="2" t="s">
        <v>7634</v>
      </c>
    </row>
    <row r="1109" spans="1:7">
      <c r="A1109" s="3">
        <v>35</v>
      </c>
      <c r="B1109" s="3" t="s">
        <v>155</v>
      </c>
      <c r="C1109" s="3">
        <v>97</v>
      </c>
      <c r="D1109" s="3" t="s">
        <v>457</v>
      </c>
      <c r="E1109" s="3" t="s">
        <v>7693</v>
      </c>
      <c r="F1109" s="3" t="s">
        <v>7628</v>
      </c>
      <c r="G1109" s="3" t="s">
        <v>7641</v>
      </c>
    </row>
    <row r="1110" spans="1:7">
      <c r="A1110" s="2">
        <v>35</v>
      </c>
      <c r="B1110" s="2" t="s">
        <v>155</v>
      </c>
      <c r="C1110" s="2">
        <v>98</v>
      </c>
      <c r="D1110" s="2" t="s">
        <v>440</v>
      </c>
      <c r="E1110" s="2" t="s">
        <v>7640</v>
      </c>
      <c r="F1110" s="2" t="s">
        <v>7611</v>
      </c>
      <c r="G1110" s="2" t="s">
        <v>7609</v>
      </c>
    </row>
    <row r="1111" spans="1:7">
      <c r="A1111" s="3">
        <v>35</v>
      </c>
      <c r="B1111" s="3" t="s">
        <v>155</v>
      </c>
      <c r="C1111" s="3">
        <v>99</v>
      </c>
      <c r="D1111" s="3" t="s">
        <v>446</v>
      </c>
      <c r="E1111" s="3" t="s">
        <v>7620</v>
      </c>
      <c r="F1111" s="3" t="s">
        <v>7628</v>
      </c>
      <c r="G1111" s="3" t="s">
        <v>7622</v>
      </c>
    </row>
    <row r="1112" spans="1:7">
      <c r="A1112" s="2">
        <v>35</v>
      </c>
      <c r="B1112" s="2" t="s">
        <v>155</v>
      </c>
      <c r="C1112" s="2">
        <v>101</v>
      </c>
      <c r="D1112" s="2" t="s">
        <v>395</v>
      </c>
      <c r="E1112" s="2" t="s">
        <v>7694</v>
      </c>
      <c r="F1112" s="2" t="s">
        <v>7628</v>
      </c>
      <c r="G1112" s="2" t="s">
        <v>7639</v>
      </c>
    </row>
    <row r="1113" spans="1:7">
      <c r="A1113" s="3">
        <v>35</v>
      </c>
      <c r="B1113" s="3" t="s">
        <v>155</v>
      </c>
      <c r="C1113" s="3">
        <v>102</v>
      </c>
      <c r="D1113" s="3" t="s">
        <v>540</v>
      </c>
      <c r="E1113" s="3" t="s">
        <v>7620</v>
      </c>
      <c r="F1113" s="3" t="s">
        <v>7611</v>
      </c>
      <c r="G1113" s="3" t="s">
        <v>7625</v>
      </c>
    </row>
    <row r="1114" spans="1:7">
      <c r="A1114" s="2">
        <v>35</v>
      </c>
      <c r="B1114" s="2" t="s">
        <v>155</v>
      </c>
      <c r="C1114" s="2">
        <v>103</v>
      </c>
      <c r="D1114" s="2" t="s">
        <v>384</v>
      </c>
      <c r="E1114" s="2" t="s">
        <v>7694</v>
      </c>
      <c r="F1114" s="2" t="s">
        <v>7608</v>
      </c>
      <c r="G1114" s="2" t="s">
        <v>7622</v>
      </c>
    </row>
    <row r="1115" spans="1:7">
      <c r="A1115" s="3">
        <v>35</v>
      </c>
      <c r="B1115" s="3" t="s">
        <v>155</v>
      </c>
      <c r="C1115" s="3">
        <v>104</v>
      </c>
      <c r="D1115" s="3" t="s">
        <v>493</v>
      </c>
      <c r="E1115" s="3" t="s">
        <v>7620</v>
      </c>
      <c r="F1115" s="3" t="s">
        <v>7611</v>
      </c>
      <c r="G1115" s="3" t="s">
        <v>7621</v>
      </c>
    </row>
    <row r="1116" spans="1:7">
      <c r="A1116" s="2">
        <v>35</v>
      </c>
      <c r="B1116" s="2" t="s">
        <v>155</v>
      </c>
      <c r="C1116" s="2">
        <v>105</v>
      </c>
      <c r="D1116" s="2" t="s">
        <v>582</v>
      </c>
      <c r="E1116" s="2" t="s">
        <v>7620</v>
      </c>
      <c r="F1116" s="2" t="s">
        <v>7611</v>
      </c>
      <c r="G1116" s="2" t="s">
        <v>7625</v>
      </c>
    </row>
    <row r="1117" spans="1:7">
      <c r="A1117" s="3">
        <v>35</v>
      </c>
      <c r="B1117" s="3" t="s">
        <v>155</v>
      </c>
      <c r="C1117" s="3">
        <v>107</v>
      </c>
      <c r="D1117" s="3" t="s">
        <v>536</v>
      </c>
      <c r="E1117" s="3" t="s">
        <v>7618</v>
      </c>
      <c r="F1117" s="3" t="s">
        <v>7611</v>
      </c>
      <c r="G1117" s="3" t="s">
        <v>7617</v>
      </c>
    </row>
    <row r="1118" spans="1:7">
      <c r="A1118" s="2">
        <v>35</v>
      </c>
      <c r="B1118" s="2" t="s">
        <v>155</v>
      </c>
      <c r="C1118" s="2">
        <v>108</v>
      </c>
      <c r="D1118" s="2" t="s">
        <v>548</v>
      </c>
      <c r="E1118" s="2" t="s">
        <v>7618</v>
      </c>
      <c r="F1118" s="2" t="s">
        <v>7611</v>
      </c>
      <c r="G1118" s="2" t="s">
        <v>7617</v>
      </c>
    </row>
    <row r="1119" spans="1:7">
      <c r="A1119" s="3">
        <v>35</v>
      </c>
      <c r="B1119" s="3" t="s">
        <v>155</v>
      </c>
      <c r="C1119" s="3">
        <v>109</v>
      </c>
      <c r="D1119" s="3" t="s">
        <v>489</v>
      </c>
      <c r="E1119" s="3" t="s">
        <v>7618</v>
      </c>
      <c r="F1119" s="3" t="s">
        <v>7608</v>
      </c>
      <c r="G1119" s="3" t="s">
        <v>7633</v>
      </c>
    </row>
    <row r="1120" spans="1:7">
      <c r="A1120" s="2">
        <v>35</v>
      </c>
      <c r="B1120" s="2" t="s">
        <v>155</v>
      </c>
      <c r="C1120" s="2">
        <v>111</v>
      </c>
      <c r="D1120" s="2" t="s">
        <v>407</v>
      </c>
      <c r="E1120" s="2" t="s">
        <v>7618</v>
      </c>
      <c r="F1120" s="2" t="s">
        <v>7608</v>
      </c>
      <c r="G1120" s="2" t="s">
        <v>7609</v>
      </c>
    </row>
    <row r="1121" spans="1:7">
      <c r="A1121" s="3">
        <v>35</v>
      </c>
      <c r="B1121" s="3" t="s">
        <v>155</v>
      </c>
      <c r="C1121" s="3">
        <v>112</v>
      </c>
      <c r="D1121" s="3" t="s">
        <v>517</v>
      </c>
      <c r="E1121" s="3" t="s">
        <v>7620</v>
      </c>
      <c r="F1121" s="3" t="s">
        <v>7628</v>
      </c>
      <c r="G1121" s="3" t="s">
        <v>7609</v>
      </c>
    </row>
    <row r="1122" spans="1:7">
      <c r="A1122" s="2">
        <v>35</v>
      </c>
      <c r="B1122" s="2" t="s">
        <v>155</v>
      </c>
      <c r="C1122" s="2">
        <v>113</v>
      </c>
      <c r="D1122" s="2" t="s">
        <v>595</v>
      </c>
      <c r="E1122" s="2" t="s">
        <v>7640</v>
      </c>
      <c r="F1122" s="2" t="s">
        <v>7611</v>
      </c>
      <c r="G1122" s="2" t="s">
        <v>7617</v>
      </c>
    </row>
    <row r="1123" spans="1:7">
      <c r="A1123" s="3">
        <v>35</v>
      </c>
      <c r="B1123" s="3" t="s">
        <v>155</v>
      </c>
      <c r="C1123" s="3">
        <v>114</v>
      </c>
      <c r="D1123" s="3" t="s">
        <v>461</v>
      </c>
      <c r="E1123" s="3" t="s">
        <v>7620</v>
      </c>
      <c r="F1123" s="3" t="s">
        <v>7611</v>
      </c>
      <c r="G1123" s="3" t="s">
        <v>7625</v>
      </c>
    </row>
    <row r="1124" spans="1:7">
      <c r="A1124" s="2">
        <v>35</v>
      </c>
      <c r="B1124" s="2" t="s">
        <v>155</v>
      </c>
      <c r="C1124" s="2">
        <v>115</v>
      </c>
      <c r="D1124" s="2" t="s">
        <v>476</v>
      </c>
      <c r="E1124" s="2" t="s">
        <v>7620</v>
      </c>
      <c r="F1124" s="2" t="s">
        <v>7611</v>
      </c>
      <c r="G1124" s="2" t="s">
        <v>7625</v>
      </c>
    </row>
    <row r="1125" spans="1:7">
      <c r="A1125" s="3">
        <v>35</v>
      </c>
      <c r="B1125" s="3" t="s">
        <v>155</v>
      </c>
      <c r="C1125" s="3">
        <v>116</v>
      </c>
      <c r="D1125" s="3" t="s">
        <v>584</v>
      </c>
      <c r="E1125" s="3" t="s">
        <v>7640</v>
      </c>
      <c r="F1125" s="3" t="s">
        <v>7611</v>
      </c>
      <c r="G1125" s="3" t="s">
        <v>7609</v>
      </c>
    </row>
    <row r="1126" spans="1:7">
      <c r="A1126" s="2">
        <v>35</v>
      </c>
      <c r="B1126" s="2" t="s">
        <v>155</v>
      </c>
      <c r="C1126" s="2">
        <v>117</v>
      </c>
      <c r="D1126" s="2" t="s">
        <v>528</v>
      </c>
      <c r="E1126" s="2" t="s">
        <v>7620</v>
      </c>
      <c r="F1126" s="2" t="s">
        <v>7611</v>
      </c>
      <c r="G1126" s="2" t="s">
        <v>7621</v>
      </c>
    </row>
    <row r="1127" spans="1:7">
      <c r="A1127" s="3">
        <v>35</v>
      </c>
      <c r="B1127" s="3" t="s">
        <v>155</v>
      </c>
      <c r="C1127" s="3">
        <v>118</v>
      </c>
      <c r="D1127" s="3" t="s">
        <v>514</v>
      </c>
      <c r="E1127" s="3" t="s">
        <v>7696</v>
      </c>
      <c r="F1127" s="3" t="s">
        <v>7611</v>
      </c>
      <c r="G1127" s="3" t="s">
        <v>7636</v>
      </c>
    </row>
    <row r="1128" spans="1:7">
      <c r="A1128" s="2">
        <v>35</v>
      </c>
      <c r="B1128" s="2" t="s">
        <v>155</v>
      </c>
      <c r="C1128" s="2">
        <v>119</v>
      </c>
      <c r="D1128" s="2" t="s">
        <v>367</v>
      </c>
      <c r="E1128" s="2" t="s">
        <v>7620</v>
      </c>
      <c r="F1128" s="2" t="s">
        <v>7628</v>
      </c>
      <c r="G1128" s="2" t="s">
        <v>7633</v>
      </c>
    </row>
    <row r="1129" spans="1:7">
      <c r="A1129" s="3">
        <v>35</v>
      </c>
      <c r="B1129" s="3" t="s">
        <v>155</v>
      </c>
      <c r="C1129" s="3">
        <v>120</v>
      </c>
      <c r="D1129" s="3" t="s">
        <v>465</v>
      </c>
      <c r="E1129" s="3" t="s">
        <v>7620</v>
      </c>
      <c r="F1129" s="3" t="s">
        <v>7611</v>
      </c>
      <c r="G1129" s="3" t="s">
        <v>7621</v>
      </c>
    </row>
    <row r="1130" spans="1:7">
      <c r="A1130" s="2">
        <v>35</v>
      </c>
      <c r="B1130" s="2" t="s">
        <v>155</v>
      </c>
      <c r="C1130" s="2">
        <v>121</v>
      </c>
      <c r="D1130" s="2" t="s">
        <v>510</v>
      </c>
      <c r="E1130" s="2" t="s">
        <v>7640</v>
      </c>
      <c r="F1130" s="2" t="s">
        <v>7611</v>
      </c>
      <c r="G1130" s="2" t="s">
        <v>7617</v>
      </c>
    </row>
    <row r="1131" spans="1:7">
      <c r="A1131" s="3">
        <v>35</v>
      </c>
      <c r="B1131" s="3" t="s">
        <v>155</v>
      </c>
      <c r="C1131" s="3">
        <v>122</v>
      </c>
      <c r="D1131" s="3" t="s">
        <v>391</v>
      </c>
      <c r="E1131" s="3" t="s">
        <v>7623</v>
      </c>
      <c r="F1131" s="3" t="s">
        <v>7611</v>
      </c>
      <c r="G1131" s="3" t="s">
        <v>7639</v>
      </c>
    </row>
    <row r="1132" spans="1:7">
      <c r="A1132" s="2">
        <v>35</v>
      </c>
      <c r="B1132" s="2" t="s">
        <v>155</v>
      </c>
      <c r="C1132" s="2">
        <v>123</v>
      </c>
      <c r="D1132" s="2" t="s">
        <v>571</v>
      </c>
      <c r="E1132" s="2" t="s">
        <v>7620</v>
      </c>
      <c r="F1132" s="2" t="s">
        <v>7628</v>
      </c>
      <c r="G1132" s="2" t="s">
        <v>7622</v>
      </c>
    </row>
    <row r="1133" spans="1:7">
      <c r="A1133" s="3">
        <v>35</v>
      </c>
      <c r="B1133" s="3" t="s">
        <v>155</v>
      </c>
      <c r="C1133" s="3">
        <v>124</v>
      </c>
      <c r="D1133" s="3" t="s">
        <v>524</v>
      </c>
      <c r="E1133" s="3" t="s">
        <v>7620</v>
      </c>
      <c r="F1133" s="3" t="s">
        <v>7611</v>
      </c>
      <c r="G1133" s="3" t="s">
        <v>7622</v>
      </c>
    </row>
    <row r="1134" spans="1:7">
      <c r="A1134" s="2">
        <v>35</v>
      </c>
      <c r="B1134" s="2" t="s">
        <v>155</v>
      </c>
      <c r="C1134" s="2">
        <v>125</v>
      </c>
      <c r="D1134" s="2" t="s">
        <v>565</v>
      </c>
      <c r="E1134" s="2" t="s">
        <v>7620</v>
      </c>
      <c r="F1134" s="2" t="s">
        <v>7611</v>
      </c>
      <c r="G1134" s="2" t="s">
        <v>7621</v>
      </c>
    </row>
    <row r="1135" spans="1:7">
      <c r="A1135" s="3">
        <v>35</v>
      </c>
      <c r="B1135" s="3" t="s">
        <v>155</v>
      </c>
      <c r="C1135" s="3">
        <v>127</v>
      </c>
      <c r="D1135" s="3" t="s">
        <v>575</v>
      </c>
      <c r="E1135" s="3" t="s">
        <v>7620</v>
      </c>
      <c r="F1135" s="3" t="s">
        <v>7611</v>
      </c>
      <c r="G1135" s="3" t="s">
        <v>7625</v>
      </c>
    </row>
    <row r="1136" spans="1:7">
      <c r="A1136" s="2">
        <v>35</v>
      </c>
      <c r="B1136" s="2" t="s">
        <v>155</v>
      </c>
      <c r="C1136" s="2">
        <v>128</v>
      </c>
      <c r="D1136" s="2" t="s">
        <v>355</v>
      </c>
      <c r="E1136" s="2" t="s">
        <v>7706</v>
      </c>
      <c r="F1136" s="2" t="s">
        <v>7611</v>
      </c>
      <c r="G1136" s="2" t="s">
        <v>7636</v>
      </c>
    </row>
    <row r="1137" spans="1:7">
      <c r="A1137" s="3">
        <v>35</v>
      </c>
      <c r="B1137" s="3" t="s">
        <v>155</v>
      </c>
      <c r="C1137" s="3">
        <v>129</v>
      </c>
      <c r="D1137" s="3" t="s">
        <v>499</v>
      </c>
      <c r="E1137" s="3" t="s">
        <v>7696</v>
      </c>
      <c r="F1137" s="3" t="s">
        <v>7611</v>
      </c>
      <c r="G1137" s="3" t="s">
        <v>7609</v>
      </c>
    </row>
    <row r="1138" spans="1:7">
      <c r="A1138" s="2">
        <v>35</v>
      </c>
      <c r="B1138" s="2" t="s">
        <v>155</v>
      </c>
      <c r="C1138" s="2">
        <v>130</v>
      </c>
      <c r="D1138" s="2" t="s">
        <v>504</v>
      </c>
      <c r="E1138" s="2" t="s">
        <v>7618</v>
      </c>
      <c r="F1138" s="2" t="s">
        <v>7611</v>
      </c>
      <c r="G1138" s="2" t="s">
        <v>7636</v>
      </c>
    </row>
    <row r="1139" spans="1:7">
      <c r="A1139" s="3">
        <v>35</v>
      </c>
      <c r="B1139" s="3" t="s">
        <v>155</v>
      </c>
      <c r="C1139" s="3">
        <v>131</v>
      </c>
      <c r="D1139" s="3" t="s">
        <v>577</v>
      </c>
      <c r="E1139" s="3" t="s">
        <v>7620</v>
      </c>
      <c r="F1139" s="3" t="s">
        <v>7611</v>
      </c>
      <c r="G1139" s="3" t="s">
        <v>7625</v>
      </c>
    </row>
    <row r="1140" spans="1:7">
      <c r="A1140" s="2">
        <v>35</v>
      </c>
      <c r="B1140" s="2" t="s">
        <v>155</v>
      </c>
      <c r="C1140" s="2">
        <v>133</v>
      </c>
      <c r="D1140" s="2" t="s">
        <v>212</v>
      </c>
      <c r="E1140" s="2" t="s">
        <v>7618</v>
      </c>
      <c r="F1140" s="2" t="s">
        <v>7608</v>
      </c>
      <c r="G1140" s="2" t="s">
        <v>7633</v>
      </c>
    </row>
    <row r="1141" spans="1:7">
      <c r="A1141" s="3">
        <v>35</v>
      </c>
      <c r="B1141" s="3" t="s">
        <v>155</v>
      </c>
      <c r="C1141" s="3">
        <v>134</v>
      </c>
      <c r="D1141" s="3" t="s">
        <v>591</v>
      </c>
      <c r="E1141" s="3" t="s">
        <v>7623</v>
      </c>
      <c r="F1141" s="3" t="s">
        <v>7611</v>
      </c>
      <c r="G1141" s="3" t="s">
        <v>7624</v>
      </c>
    </row>
    <row r="1142" spans="1:7">
      <c r="A1142" s="2">
        <v>35</v>
      </c>
      <c r="B1142" s="2" t="s">
        <v>155</v>
      </c>
      <c r="C1142" s="2">
        <v>135</v>
      </c>
      <c r="D1142" s="2" t="s">
        <v>469</v>
      </c>
      <c r="E1142" s="2" t="s">
        <v>7696</v>
      </c>
      <c r="F1142" s="2" t="s">
        <v>7611</v>
      </c>
      <c r="G1142" s="2" t="s">
        <v>7636</v>
      </c>
    </row>
    <row r="1143" spans="1:7">
      <c r="A1143" s="3">
        <v>35</v>
      </c>
      <c r="B1143" s="3" t="s">
        <v>155</v>
      </c>
      <c r="C1143" s="3">
        <v>136</v>
      </c>
      <c r="D1143" s="3" t="s">
        <v>413</v>
      </c>
      <c r="E1143" s="3" t="s">
        <v>7623</v>
      </c>
      <c r="F1143" s="3" t="s">
        <v>7611</v>
      </c>
      <c r="G1143" s="3" t="s">
        <v>7624</v>
      </c>
    </row>
    <row r="1144" spans="1:7">
      <c r="A1144" s="2">
        <v>35</v>
      </c>
      <c r="B1144" s="2" t="s">
        <v>155</v>
      </c>
      <c r="C1144" s="2">
        <v>137</v>
      </c>
      <c r="D1144" s="2" t="s">
        <v>546</v>
      </c>
      <c r="E1144" s="2" t="s">
        <v>7620</v>
      </c>
      <c r="F1144" s="2" t="s">
        <v>7611</v>
      </c>
      <c r="G1144" s="2" t="s">
        <v>7625</v>
      </c>
    </row>
    <row r="1145" spans="1:7">
      <c r="A1145" s="3">
        <v>35</v>
      </c>
      <c r="B1145" s="3" t="s">
        <v>155</v>
      </c>
      <c r="C1145" s="3">
        <v>138</v>
      </c>
      <c r="D1145" s="3" t="s">
        <v>561</v>
      </c>
      <c r="E1145" s="3" t="s">
        <v>7620</v>
      </c>
      <c r="F1145" s="3" t="s">
        <v>7611</v>
      </c>
      <c r="G1145" s="3" t="s">
        <v>7621</v>
      </c>
    </row>
    <row r="1146" spans="1:7">
      <c r="A1146" s="2">
        <v>35</v>
      </c>
      <c r="B1146" s="2" t="s">
        <v>155</v>
      </c>
      <c r="C1146" s="2">
        <v>139</v>
      </c>
      <c r="D1146" s="2" t="s">
        <v>531</v>
      </c>
      <c r="E1146" s="2" t="s">
        <v>7618</v>
      </c>
      <c r="F1146" s="2" t="s">
        <v>7611</v>
      </c>
      <c r="G1146" s="2" t="s">
        <v>7617</v>
      </c>
    </row>
    <row r="1147" spans="1:7">
      <c r="A1147" s="3">
        <v>35</v>
      </c>
      <c r="B1147" s="3" t="s">
        <v>155</v>
      </c>
      <c r="C1147" s="3">
        <v>140</v>
      </c>
      <c r="D1147" s="3" t="s">
        <v>580</v>
      </c>
      <c r="E1147" s="3" t="s">
        <v>7620</v>
      </c>
      <c r="F1147" s="3" t="s">
        <v>7611</v>
      </c>
      <c r="G1147" s="3" t="s">
        <v>7625</v>
      </c>
    </row>
    <row r="1148" spans="1:7">
      <c r="A1148" s="2">
        <v>35</v>
      </c>
      <c r="B1148" s="2" t="s">
        <v>155</v>
      </c>
      <c r="C1148" s="2">
        <v>141</v>
      </c>
      <c r="D1148" s="2" t="s">
        <v>480</v>
      </c>
      <c r="E1148" s="2" t="s">
        <v>7707</v>
      </c>
      <c r="F1148" s="2" t="s">
        <v>7611</v>
      </c>
      <c r="G1148" s="2" t="s">
        <v>7637</v>
      </c>
    </row>
    <row r="1149" spans="1:7">
      <c r="A1149" s="3">
        <v>35</v>
      </c>
      <c r="B1149" s="3" t="s">
        <v>155</v>
      </c>
      <c r="C1149" s="3">
        <v>142</v>
      </c>
      <c r="D1149" s="3" t="s">
        <v>543</v>
      </c>
      <c r="E1149" s="3" t="s">
        <v>7620</v>
      </c>
      <c r="F1149" s="3" t="s">
        <v>7611</v>
      </c>
      <c r="G1149" s="3" t="s">
        <v>7621</v>
      </c>
    </row>
    <row r="1150" spans="1:7">
      <c r="A1150" s="2">
        <v>35</v>
      </c>
      <c r="B1150" s="2" t="s">
        <v>155</v>
      </c>
      <c r="C1150" s="2">
        <v>143</v>
      </c>
      <c r="D1150" s="2" t="s">
        <v>371</v>
      </c>
      <c r="E1150" s="2" t="s">
        <v>7623</v>
      </c>
      <c r="F1150" s="2" t="s">
        <v>7611</v>
      </c>
      <c r="G1150" s="2" t="s">
        <v>7624</v>
      </c>
    </row>
    <row r="1151" spans="1:7">
      <c r="A1151" s="3">
        <v>35</v>
      </c>
      <c r="B1151" s="3" t="s">
        <v>155</v>
      </c>
      <c r="C1151" s="3">
        <v>144</v>
      </c>
      <c r="D1151" s="3" t="s">
        <v>375</v>
      </c>
      <c r="E1151" s="3" t="s">
        <v>7618</v>
      </c>
      <c r="F1151" s="3" t="s">
        <v>7611</v>
      </c>
      <c r="G1151" s="3" t="s">
        <v>7617</v>
      </c>
    </row>
    <row r="1152" spans="1:7">
      <c r="A1152" s="2">
        <v>35</v>
      </c>
      <c r="B1152" s="2" t="s">
        <v>155</v>
      </c>
      <c r="C1152" s="2">
        <v>145</v>
      </c>
      <c r="D1152" s="2" t="s">
        <v>431</v>
      </c>
      <c r="E1152" s="2" t="s">
        <v>7618</v>
      </c>
      <c r="F1152" s="2" t="s">
        <v>7608</v>
      </c>
      <c r="G1152" s="2" t="s">
        <v>7609</v>
      </c>
    </row>
    <row r="1153" spans="1:7">
      <c r="A1153" s="3">
        <v>35</v>
      </c>
      <c r="B1153" s="3" t="s">
        <v>155</v>
      </c>
      <c r="C1153" s="3">
        <v>146</v>
      </c>
      <c r="D1153" s="3" t="s">
        <v>416</v>
      </c>
      <c r="E1153" s="3" t="s">
        <v>7620</v>
      </c>
      <c r="F1153" s="3" t="s">
        <v>7611</v>
      </c>
      <c r="G1153" s="3" t="s">
        <v>7621</v>
      </c>
    </row>
    <row r="1154" spans="1:7">
      <c r="A1154" s="2">
        <v>35</v>
      </c>
      <c r="B1154" s="2" t="s">
        <v>155</v>
      </c>
      <c r="C1154" s="2">
        <v>147</v>
      </c>
      <c r="D1154" s="2" t="s">
        <v>454</v>
      </c>
      <c r="E1154" s="2" t="s">
        <v>7618</v>
      </c>
      <c r="F1154" s="2" t="s">
        <v>7608</v>
      </c>
      <c r="G1154" s="2" t="s">
        <v>7633</v>
      </c>
    </row>
    <row r="1155" spans="1:7">
      <c r="A1155" s="3">
        <v>35</v>
      </c>
      <c r="B1155" s="3" t="s">
        <v>155</v>
      </c>
      <c r="C1155" s="3">
        <v>148</v>
      </c>
      <c r="D1155" s="3" t="s">
        <v>420</v>
      </c>
      <c r="E1155" s="3" t="s">
        <v>7623</v>
      </c>
      <c r="F1155" s="3" t="s">
        <v>7611</v>
      </c>
      <c r="G1155" s="3" t="s">
        <v>7612</v>
      </c>
    </row>
    <row r="1156" spans="1:7">
      <c r="A1156" s="2">
        <v>35</v>
      </c>
      <c r="B1156" s="2" t="s">
        <v>155</v>
      </c>
      <c r="C1156" s="2">
        <v>149</v>
      </c>
      <c r="D1156" s="2" t="s">
        <v>443</v>
      </c>
      <c r="E1156" s="2" t="s">
        <v>7620</v>
      </c>
      <c r="F1156" s="2" t="s">
        <v>7611</v>
      </c>
      <c r="G1156" s="2" t="s">
        <v>7625</v>
      </c>
    </row>
    <row r="1157" spans="1:7">
      <c r="A1157" s="3">
        <v>35</v>
      </c>
      <c r="B1157" s="3" t="s">
        <v>155</v>
      </c>
      <c r="C1157" s="3">
        <v>150</v>
      </c>
      <c r="D1157" s="3" t="s">
        <v>379</v>
      </c>
      <c r="E1157" s="3" t="s">
        <v>7618</v>
      </c>
      <c r="F1157" s="3" t="s">
        <v>7611</v>
      </c>
      <c r="G1157" s="3" t="s">
        <v>7617</v>
      </c>
    </row>
    <row r="1158" spans="1:7">
      <c r="A1158" s="2">
        <v>35</v>
      </c>
      <c r="B1158" s="2" t="s">
        <v>155</v>
      </c>
      <c r="C1158" s="2">
        <v>152</v>
      </c>
      <c r="D1158" s="2" t="s">
        <v>508</v>
      </c>
      <c r="E1158" s="2" t="s">
        <v>7640</v>
      </c>
      <c r="F1158" s="2" t="s">
        <v>7611</v>
      </c>
      <c r="G1158" s="2" t="s">
        <v>7636</v>
      </c>
    </row>
    <row r="1159" spans="1:7">
      <c r="A1159" s="3">
        <v>35</v>
      </c>
      <c r="B1159" s="3" t="s">
        <v>155</v>
      </c>
      <c r="C1159" s="3">
        <v>153</v>
      </c>
      <c r="D1159" s="3" t="s">
        <v>435</v>
      </c>
      <c r="E1159" s="3" t="s">
        <v>7640</v>
      </c>
      <c r="F1159" s="3" t="s">
        <v>7611</v>
      </c>
      <c r="G1159" s="3" t="s">
        <v>7617</v>
      </c>
    </row>
    <row r="1160" spans="1:7">
      <c r="A1160" s="2">
        <v>35</v>
      </c>
      <c r="B1160" s="2" t="s">
        <v>155</v>
      </c>
      <c r="C1160" s="2">
        <v>154</v>
      </c>
      <c r="D1160" s="2" t="s">
        <v>589</v>
      </c>
      <c r="E1160" s="2" t="s">
        <v>7640</v>
      </c>
      <c r="F1160" s="2" t="s">
        <v>7611</v>
      </c>
      <c r="G1160" s="2" t="s">
        <v>7609</v>
      </c>
    </row>
    <row r="1161" spans="1:7">
      <c r="A1161" s="3">
        <v>35</v>
      </c>
      <c r="B1161" s="3" t="s">
        <v>155</v>
      </c>
      <c r="C1161" s="3">
        <v>155</v>
      </c>
      <c r="D1161" s="3" t="s">
        <v>400</v>
      </c>
      <c r="E1161" s="3" t="s">
        <v>7623</v>
      </c>
      <c r="F1161" s="3" t="s">
        <v>7628</v>
      </c>
      <c r="G1161" s="3" t="s">
        <v>7626</v>
      </c>
    </row>
    <row r="1162" spans="1:7">
      <c r="A1162" s="2">
        <v>35</v>
      </c>
      <c r="B1162" s="2" t="s">
        <v>155</v>
      </c>
      <c r="C1162" s="2">
        <v>156</v>
      </c>
      <c r="D1162" s="2" t="s">
        <v>560</v>
      </c>
      <c r="E1162" s="2" t="s">
        <v>7708</v>
      </c>
      <c r="F1162" s="2" t="s">
        <v>7611</v>
      </c>
      <c r="G1162" s="2" t="s">
        <v>7624</v>
      </c>
    </row>
    <row r="1163" spans="1:7">
      <c r="A1163" s="3">
        <v>35</v>
      </c>
      <c r="B1163" s="3" t="s">
        <v>155</v>
      </c>
      <c r="C1163" s="3">
        <v>157</v>
      </c>
      <c r="D1163" s="3" t="s">
        <v>556</v>
      </c>
      <c r="E1163" s="3" t="s">
        <v>7708</v>
      </c>
      <c r="F1163" s="3" t="s">
        <v>7611</v>
      </c>
      <c r="G1163" s="3" t="s">
        <v>7624</v>
      </c>
    </row>
    <row r="1164" spans="1:7">
      <c r="A1164" s="2">
        <v>35</v>
      </c>
      <c r="B1164" s="2" t="s">
        <v>155</v>
      </c>
      <c r="C1164" s="2">
        <v>158</v>
      </c>
      <c r="D1164" s="2" t="s">
        <v>521</v>
      </c>
      <c r="E1164" s="2" t="s">
        <v>7708</v>
      </c>
      <c r="F1164" s="2" t="s">
        <v>7611</v>
      </c>
      <c r="G1164" s="2" t="s">
        <v>7624</v>
      </c>
    </row>
    <row r="1165" spans="1:7">
      <c r="A1165" s="3">
        <v>35</v>
      </c>
      <c r="B1165" s="3" t="s">
        <v>155</v>
      </c>
      <c r="C1165" s="3">
        <v>159</v>
      </c>
      <c r="D1165" s="3" t="s">
        <v>598</v>
      </c>
      <c r="E1165" s="3" t="s">
        <v>7620</v>
      </c>
      <c r="F1165" s="3" t="s">
        <v>7611</v>
      </c>
      <c r="G1165" s="3" t="s">
        <v>7621</v>
      </c>
    </row>
    <row r="1166" spans="1:7">
      <c r="A1166" s="2">
        <v>35</v>
      </c>
      <c r="B1166" s="2" t="s">
        <v>155</v>
      </c>
      <c r="C1166" s="2">
        <v>160</v>
      </c>
      <c r="D1166" s="2" t="s">
        <v>425</v>
      </c>
      <c r="E1166" s="2" t="s">
        <v>7618</v>
      </c>
      <c r="F1166" s="2" t="s">
        <v>7628</v>
      </c>
      <c r="G1166" s="2" t="s">
        <v>7634</v>
      </c>
    </row>
    <row r="1167" spans="1:7">
      <c r="A1167" s="3">
        <v>35</v>
      </c>
      <c r="B1167" s="3" t="s">
        <v>155</v>
      </c>
      <c r="C1167" s="3">
        <v>162</v>
      </c>
      <c r="D1167" s="3" t="s">
        <v>473</v>
      </c>
      <c r="E1167" s="3" t="s">
        <v>7620</v>
      </c>
      <c r="F1167" s="3" t="s">
        <v>7611</v>
      </c>
      <c r="G1167" s="3" t="s">
        <v>7625</v>
      </c>
    </row>
    <row r="1168" spans="1:7">
      <c r="A1168" s="2">
        <v>35</v>
      </c>
      <c r="B1168" s="2" t="s">
        <v>155</v>
      </c>
      <c r="C1168" s="2">
        <v>163</v>
      </c>
      <c r="D1168" s="2" t="s">
        <v>587</v>
      </c>
      <c r="E1168" s="2" t="s">
        <v>7620</v>
      </c>
      <c r="F1168" s="2" t="s">
        <v>7611</v>
      </c>
      <c r="G1168" s="2" t="s">
        <v>7625</v>
      </c>
    </row>
    <row r="1169" spans="1:7">
      <c r="A1169" s="3">
        <v>35</v>
      </c>
      <c r="B1169" s="3" t="s">
        <v>155</v>
      </c>
      <c r="C1169" s="3">
        <v>164</v>
      </c>
      <c r="D1169" s="3" t="s">
        <v>552</v>
      </c>
      <c r="E1169" s="3" t="s">
        <v>7696</v>
      </c>
      <c r="F1169" s="3" t="s">
        <v>7611</v>
      </c>
      <c r="G1169" s="3" t="s">
        <v>7617</v>
      </c>
    </row>
    <row r="1170" spans="1:7">
      <c r="A1170" s="2">
        <v>35</v>
      </c>
      <c r="B1170" s="2" t="s">
        <v>155</v>
      </c>
      <c r="C1170" s="2">
        <v>165</v>
      </c>
      <c r="D1170" s="2" t="s">
        <v>568</v>
      </c>
      <c r="E1170" s="2" t="s">
        <v>7618</v>
      </c>
      <c r="F1170" s="2" t="s">
        <v>7608</v>
      </c>
      <c r="G1170" s="2" t="s">
        <v>7633</v>
      </c>
    </row>
    <row r="1171" spans="1:7">
      <c r="A1171" s="3">
        <v>35</v>
      </c>
      <c r="B1171" s="3" t="s">
        <v>155</v>
      </c>
      <c r="C1171" s="3">
        <v>166</v>
      </c>
      <c r="D1171" s="3" t="s">
        <v>483</v>
      </c>
      <c r="E1171" s="3" t="s">
        <v>7623</v>
      </c>
      <c r="F1171" s="3" t="s">
        <v>7611</v>
      </c>
      <c r="G1171" s="3" t="s">
        <v>7639</v>
      </c>
    </row>
    <row r="1172" spans="1:7">
      <c r="A1172" s="2">
        <v>35</v>
      </c>
      <c r="B1172" s="2" t="s">
        <v>155</v>
      </c>
      <c r="C1172" s="2">
        <v>167</v>
      </c>
      <c r="D1172" s="2" t="s">
        <v>469</v>
      </c>
      <c r="E1172" s="2" t="s">
        <v>7620</v>
      </c>
      <c r="F1172" s="2" t="s">
        <v>7611</v>
      </c>
      <c r="G1172" s="2" t="s">
        <v>7621</v>
      </c>
    </row>
    <row r="1173" spans="1:7">
      <c r="A1173" s="3">
        <v>35</v>
      </c>
      <c r="B1173" s="3" t="s">
        <v>155</v>
      </c>
      <c r="C1173" s="3">
        <v>168</v>
      </c>
      <c r="D1173" s="3" t="s">
        <v>626</v>
      </c>
      <c r="E1173" s="3" t="s">
        <v>7697</v>
      </c>
      <c r="F1173" s="3" t="s">
        <v>7611</v>
      </c>
      <c r="G1173" s="3" t="s">
        <v>7624</v>
      </c>
    </row>
    <row r="1174" spans="1:7">
      <c r="A1174" s="2">
        <v>35</v>
      </c>
      <c r="B1174" s="2" t="s">
        <v>155</v>
      </c>
      <c r="C1174" s="2">
        <v>169</v>
      </c>
      <c r="D1174" s="2" t="s">
        <v>616</v>
      </c>
      <c r="E1174" s="2" t="s">
        <v>7698</v>
      </c>
      <c r="F1174" s="2" t="s">
        <v>7611</v>
      </c>
      <c r="G1174" s="2" t="s">
        <v>7609</v>
      </c>
    </row>
    <row r="1175" spans="1:7">
      <c r="A1175" s="3">
        <v>35</v>
      </c>
      <c r="B1175" s="3" t="s">
        <v>155</v>
      </c>
      <c r="C1175" s="3">
        <v>170</v>
      </c>
      <c r="D1175" s="3" t="s">
        <v>619</v>
      </c>
      <c r="E1175" s="3" t="s">
        <v>7698</v>
      </c>
      <c r="F1175" s="3" t="s">
        <v>7608</v>
      </c>
      <c r="G1175" s="3" t="s">
        <v>7633</v>
      </c>
    </row>
    <row r="1176" spans="1:7">
      <c r="A1176" s="2">
        <v>35</v>
      </c>
      <c r="B1176" s="2" t="s">
        <v>155</v>
      </c>
      <c r="C1176" s="2">
        <v>171</v>
      </c>
      <c r="D1176" s="2" t="s">
        <v>622</v>
      </c>
      <c r="E1176" s="2" t="s">
        <v>7698</v>
      </c>
      <c r="F1176" s="2" t="s">
        <v>7611</v>
      </c>
      <c r="G1176" s="2" t="s">
        <v>7609</v>
      </c>
    </row>
    <row r="1177" spans="1:7">
      <c r="A1177" s="3">
        <v>35</v>
      </c>
      <c r="B1177" s="3" t="s">
        <v>155</v>
      </c>
      <c r="C1177" s="3">
        <v>172</v>
      </c>
      <c r="D1177" s="3" t="s">
        <v>630</v>
      </c>
      <c r="E1177" s="3" t="s">
        <v>7698</v>
      </c>
      <c r="F1177" s="3" t="s">
        <v>7611</v>
      </c>
      <c r="G1177" s="3" t="s">
        <v>7609</v>
      </c>
    </row>
    <row r="1178" spans="1:7">
      <c r="A1178" s="2">
        <v>35</v>
      </c>
      <c r="B1178" s="2" t="s">
        <v>155</v>
      </c>
      <c r="C1178" s="2">
        <v>173</v>
      </c>
      <c r="D1178" s="2" t="s">
        <v>633</v>
      </c>
      <c r="E1178" s="2" t="s">
        <v>7698</v>
      </c>
      <c r="F1178" s="2" t="s">
        <v>7611</v>
      </c>
      <c r="G1178" s="2" t="s">
        <v>7609</v>
      </c>
    </row>
    <row r="1179" spans="1:7">
      <c r="A1179" s="3">
        <v>35</v>
      </c>
      <c r="B1179" s="3" t="s">
        <v>155</v>
      </c>
      <c r="C1179" s="3">
        <v>174</v>
      </c>
      <c r="D1179" s="3" t="s">
        <v>612</v>
      </c>
      <c r="E1179" s="3" t="s">
        <v>7698</v>
      </c>
      <c r="F1179" s="3" t="s">
        <v>7608</v>
      </c>
      <c r="G1179" s="3" t="s">
        <v>7633</v>
      </c>
    </row>
    <row r="1180" spans="1:7">
      <c r="A1180" s="2">
        <v>35</v>
      </c>
      <c r="B1180" s="2" t="s">
        <v>155</v>
      </c>
      <c r="C1180" s="2">
        <v>175</v>
      </c>
      <c r="D1180" s="2" t="s">
        <v>636</v>
      </c>
      <c r="E1180" s="2" t="s">
        <v>7698</v>
      </c>
      <c r="F1180" s="2" t="s">
        <v>7628</v>
      </c>
      <c r="G1180" s="2" t="s">
        <v>7636</v>
      </c>
    </row>
    <row r="1181" spans="1:7">
      <c r="A1181" s="3">
        <v>35</v>
      </c>
      <c r="B1181" s="3" t="s">
        <v>155</v>
      </c>
      <c r="C1181" s="3">
        <v>176</v>
      </c>
      <c r="D1181" s="3" t="s">
        <v>609</v>
      </c>
      <c r="E1181" s="3" t="s">
        <v>7698</v>
      </c>
      <c r="F1181" s="3" t="s">
        <v>7628</v>
      </c>
      <c r="G1181" s="3" t="s">
        <v>7636</v>
      </c>
    </row>
    <row r="1182" spans="1:7">
      <c r="A1182" s="2">
        <v>35</v>
      </c>
      <c r="B1182" s="2" t="s">
        <v>155</v>
      </c>
      <c r="C1182" s="2">
        <v>177</v>
      </c>
      <c r="D1182" s="2" t="s">
        <v>605</v>
      </c>
      <c r="E1182" s="2" t="s">
        <v>7698</v>
      </c>
      <c r="F1182" s="2" t="s">
        <v>7608</v>
      </c>
      <c r="G1182" s="2" t="s">
        <v>7633</v>
      </c>
    </row>
    <row r="1183" spans="1:7">
      <c r="A1183" s="3">
        <v>35</v>
      </c>
      <c r="B1183" s="3" t="s">
        <v>155</v>
      </c>
      <c r="C1183" s="3">
        <v>178</v>
      </c>
      <c r="D1183" s="3" t="s">
        <v>640</v>
      </c>
      <c r="E1183" s="3" t="s">
        <v>7699</v>
      </c>
      <c r="F1183" s="3" t="s">
        <v>7611</v>
      </c>
      <c r="G1183" s="3" t="s">
        <v>7642</v>
      </c>
    </row>
    <row r="1184" spans="1:7">
      <c r="A1184" s="2">
        <v>35</v>
      </c>
      <c r="B1184" s="2" t="s">
        <v>155</v>
      </c>
      <c r="C1184" s="2">
        <v>179</v>
      </c>
      <c r="D1184" s="2" t="s">
        <v>603</v>
      </c>
      <c r="E1184" s="2" t="s">
        <v>7698</v>
      </c>
      <c r="F1184" s="2" t="s">
        <v>7608</v>
      </c>
      <c r="G1184" s="2" t="s">
        <v>7633</v>
      </c>
    </row>
    <row r="1185" spans="1:7">
      <c r="A1185" s="3">
        <v>35</v>
      </c>
      <c r="B1185" s="3" t="s">
        <v>155</v>
      </c>
      <c r="C1185" s="3">
        <v>181</v>
      </c>
      <c r="D1185" s="3" t="s">
        <v>653</v>
      </c>
      <c r="E1185" s="3" t="s">
        <v>7709</v>
      </c>
      <c r="F1185" s="3" t="s">
        <v>7635</v>
      </c>
      <c r="G1185" s="3" t="s">
        <v>7634</v>
      </c>
    </row>
    <row r="1186" spans="1:7">
      <c r="A1186" s="2">
        <v>35</v>
      </c>
      <c r="B1186" s="2" t="s">
        <v>155</v>
      </c>
      <c r="C1186" s="2">
        <v>183</v>
      </c>
      <c r="D1186" s="2" t="s">
        <v>660</v>
      </c>
      <c r="E1186" s="2" t="s">
        <v>7708</v>
      </c>
      <c r="F1186" s="2" t="s">
        <v>7611</v>
      </c>
      <c r="G1186" s="2" t="s">
        <v>7632</v>
      </c>
    </row>
    <row r="1187" spans="1:7">
      <c r="A1187" s="3">
        <v>35</v>
      </c>
      <c r="B1187" s="3" t="s">
        <v>155</v>
      </c>
      <c r="C1187" s="3">
        <v>184</v>
      </c>
      <c r="D1187" s="3" t="s">
        <v>662</v>
      </c>
      <c r="E1187" s="3" t="s">
        <v>7623</v>
      </c>
      <c r="F1187" s="3" t="s">
        <v>7611</v>
      </c>
      <c r="G1187" s="3" t="s">
        <v>7639</v>
      </c>
    </row>
    <row r="1188" spans="1:7">
      <c r="A1188" s="2">
        <v>35</v>
      </c>
      <c r="B1188" s="2" t="s">
        <v>155</v>
      </c>
      <c r="C1188" s="2">
        <v>185</v>
      </c>
      <c r="D1188" s="2" t="s">
        <v>667</v>
      </c>
      <c r="E1188" s="2" t="s">
        <v>7697</v>
      </c>
      <c r="F1188" s="2" t="s">
        <v>7611</v>
      </c>
      <c r="G1188" s="2" t="s">
        <v>7639</v>
      </c>
    </row>
    <row r="1189" spans="1:7">
      <c r="A1189" s="3">
        <v>35</v>
      </c>
      <c r="B1189" s="3" t="s">
        <v>155</v>
      </c>
      <c r="C1189" s="3">
        <v>186</v>
      </c>
      <c r="D1189" s="3" t="s">
        <v>469</v>
      </c>
      <c r="E1189" s="3" t="s">
        <v>7696</v>
      </c>
      <c r="F1189" s="3" t="s">
        <v>7611</v>
      </c>
      <c r="G1189" s="3" t="s">
        <v>7636</v>
      </c>
    </row>
    <row r="1190" spans="1:7">
      <c r="A1190" s="2">
        <v>35</v>
      </c>
      <c r="B1190" s="2" t="s">
        <v>155</v>
      </c>
      <c r="C1190" s="2">
        <v>190</v>
      </c>
      <c r="D1190" s="2" t="s">
        <v>717</v>
      </c>
      <c r="E1190" s="2" t="s">
        <v>7700</v>
      </c>
      <c r="F1190" s="2" t="s">
        <v>7608</v>
      </c>
      <c r="G1190" s="2" t="s">
        <v>7622</v>
      </c>
    </row>
    <row r="1191" spans="1:7">
      <c r="A1191" s="3">
        <v>35</v>
      </c>
      <c r="B1191" s="3" t="s">
        <v>155</v>
      </c>
      <c r="C1191" s="3">
        <v>191</v>
      </c>
      <c r="D1191" s="3" t="s">
        <v>719</v>
      </c>
      <c r="E1191" s="3" t="s">
        <v>7693</v>
      </c>
      <c r="F1191" s="3" t="s">
        <v>7628</v>
      </c>
      <c r="G1191" s="3" t="s">
        <v>7644</v>
      </c>
    </row>
    <row r="1192" spans="1:7">
      <c r="A1192" s="2">
        <v>35</v>
      </c>
      <c r="B1192" s="2" t="s">
        <v>155</v>
      </c>
      <c r="C1192" s="2">
        <v>192</v>
      </c>
      <c r="D1192" s="2" t="s">
        <v>727</v>
      </c>
      <c r="E1192" s="2" t="s">
        <v>7635</v>
      </c>
      <c r="F1192" s="2" t="s">
        <v>7635</v>
      </c>
      <c r="G1192" s="2" t="s">
        <v>7621</v>
      </c>
    </row>
    <row r="1193" spans="1:7">
      <c r="A1193" s="3">
        <v>35</v>
      </c>
      <c r="B1193" s="3" t="s">
        <v>155</v>
      </c>
      <c r="C1193" s="3">
        <v>195</v>
      </c>
      <c r="D1193" s="3" t="s">
        <v>734</v>
      </c>
      <c r="E1193" s="3" t="s">
        <v>7693</v>
      </c>
      <c r="F1193" s="3" t="s">
        <v>7628</v>
      </c>
      <c r="G1193" s="3" t="s">
        <v>7644</v>
      </c>
    </row>
    <row r="1194" spans="1:7">
      <c r="A1194" s="2">
        <v>35</v>
      </c>
      <c r="B1194" s="2" t="s">
        <v>155</v>
      </c>
      <c r="C1194" s="2">
        <v>196</v>
      </c>
      <c r="D1194" s="2" t="s">
        <v>736</v>
      </c>
      <c r="E1194" s="2" t="s">
        <v>7635</v>
      </c>
      <c r="F1194" s="2" t="s">
        <v>7635</v>
      </c>
      <c r="G1194" s="2" t="s">
        <v>7633</v>
      </c>
    </row>
    <row r="1195" spans="1:7">
      <c r="A1195" s="3">
        <v>35</v>
      </c>
      <c r="B1195" s="3" t="s">
        <v>155</v>
      </c>
      <c r="C1195" s="3">
        <v>197</v>
      </c>
      <c r="D1195" s="3" t="s">
        <v>690</v>
      </c>
      <c r="E1195" s="3" t="s">
        <v>7635</v>
      </c>
      <c r="F1195" s="3" t="s">
        <v>7635</v>
      </c>
      <c r="G1195" s="3" t="s">
        <v>7622</v>
      </c>
    </row>
    <row r="1196" spans="1:7">
      <c r="A1196" s="2">
        <v>35</v>
      </c>
      <c r="B1196" s="2" t="s">
        <v>155</v>
      </c>
      <c r="C1196" s="2">
        <v>198</v>
      </c>
      <c r="D1196" s="2" t="s">
        <v>698</v>
      </c>
      <c r="E1196" s="2" t="s">
        <v>7694</v>
      </c>
      <c r="F1196" s="2" t="s">
        <v>7628</v>
      </c>
      <c r="G1196" s="2" t="s">
        <v>7639</v>
      </c>
    </row>
    <row r="1197" spans="1:7">
      <c r="A1197" s="3">
        <v>35</v>
      </c>
      <c r="B1197" s="3" t="s">
        <v>155</v>
      </c>
      <c r="C1197" s="3">
        <v>199</v>
      </c>
      <c r="D1197" s="3" t="s">
        <v>702</v>
      </c>
      <c r="E1197" s="3" t="s">
        <v>7693</v>
      </c>
      <c r="F1197" s="3" t="s">
        <v>7628</v>
      </c>
      <c r="G1197" s="3" t="s">
        <v>7644</v>
      </c>
    </row>
    <row r="1198" spans="1:7">
      <c r="A1198" s="2">
        <v>35</v>
      </c>
      <c r="B1198" s="2" t="s">
        <v>155</v>
      </c>
      <c r="C1198" s="2">
        <v>200</v>
      </c>
      <c r="D1198" s="2" t="s">
        <v>707</v>
      </c>
      <c r="E1198" s="2" t="s">
        <v>7694</v>
      </c>
      <c r="F1198" s="2" t="s">
        <v>7628</v>
      </c>
      <c r="G1198" s="2" t="s">
        <v>7619</v>
      </c>
    </row>
    <row r="1199" spans="1:7">
      <c r="A1199" s="3">
        <v>35</v>
      </c>
      <c r="B1199" s="3" t="s">
        <v>155</v>
      </c>
      <c r="C1199" s="3">
        <v>201</v>
      </c>
      <c r="D1199" s="3" t="s">
        <v>695</v>
      </c>
      <c r="E1199" s="3" t="s">
        <v>7635</v>
      </c>
      <c r="F1199" s="3" t="s">
        <v>7628</v>
      </c>
      <c r="G1199" s="3" t="s">
        <v>7633</v>
      </c>
    </row>
    <row r="1200" spans="1:7">
      <c r="A1200" s="2">
        <v>35</v>
      </c>
      <c r="B1200" s="2" t="s">
        <v>155</v>
      </c>
      <c r="C1200" s="2">
        <v>202</v>
      </c>
      <c r="D1200" s="2" t="s">
        <v>712</v>
      </c>
      <c r="E1200" s="2" t="s">
        <v>7635</v>
      </c>
      <c r="F1200" s="2" t="s">
        <v>7635</v>
      </c>
      <c r="G1200" s="2" t="s">
        <v>7625</v>
      </c>
    </row>
    <row r="1201" spans="1:7">
      <c r="A1201" s="3">
        <v>35</v>
      </c>
      <c r="B1201" s="3" t="s">
        <v>155</v>
      </c>
      <c r="C1201" s="3">
        <v>203</v>
      </c>
      <c r="D1201" s="3" t="s">
        <v>681</v>
      </c>
      <c r="E1201" s="3" t="s">
        <v>7635</v>
      </c>
      <c r="F1201" s="3" t="s">
        <v>7635</v>
      </c>
      <c r="G1201" s="3" t="s">
        <v>7633</v>
      </c>
    </row>
    <row r="1202" spans="1:7">
      <c r="A1202" s="2">
        <v>35</v>
      </c>
      <c r="B1202" s="2" t="s">
        <v>155</v>
      </c>
      <c r="C1202" s="2">
        <v>204</v>
      </c>
      <c r="D1202" s="2" t="s">
        <v>685</v>
      </c>
      <c r="E1202" s="2" t="s">
        <v>7635</v>
      </c>
      <c r="F1202" s="2" t="s">
        <v>7628</v>
      </c>
      <c r="G1202" s="2" t="s">
        <v>7633</v>
      </c>
    </row>
    <row r="1203" spans="1:7">
      <c r="A1203" s="3">
        <v>35</v>
      </c>
      <c r="B1203" s="3" t="s">
        <v>155</v>
      </c>
      <c r="C1203" s="3">
        <v>205</v>
      </c>
      <c r="D1203" s="3" t="s">
        <v>746</v>
      </c>
      <c r="E1203" s="3" t="s">
        <v>7694</v>
      </c>
      <c r="F1203" s="3" t="s">
        <v>7628</v>
      </c>
      <c r="G1203" s="3" t="s">
        <v>7634</v>
      </c>
    </row>
    <row r="1204" spans="1:7">
      <c r="A1204" s="2">
        <v>35</v>
      </c>
      <c r="B1204" s="2" t="s">
        <v>155</v>
      </c>
      <c r="C1204" s="2">
        <v>206</v>
      </c>
      <c r="D1204" s="2" t="s">
        <v>723</v>
      </c>
      <c r="E1204" s="2" t="s">
        <v>7635</v>
      </c>
      <c r="F1204" s="2" t="s">
        <v>7635</v>
      </c>
      <c r="G1204" s="2" t="s">
        <v>7625</v>
      </c>
    </row>
    <row r="1205" spans="1:7">
      <c r="A1205" s="3">
        <v>35</v>
      </c>
      <c r="B1205" s="3" t="s">
        <v>155</v>
      </c>
      <c r="C1205" s="3">
        <v>207</v>
      </c>
      <c r="D1205" s="3" t="s">
        <v>749</v>
      </c>
      <c r="E1205" s="3" t="s">
        <v>7701</v>
      </c>
      <c r="F1205" s="3" t="s">
        <v>7611</v>
      </c>
      <c r="G1205" s="3" t="s">
        <v>7641</v>
      </c>
    </row>
    <row r="1206" spans="1:7">
      <c r="A1206" s="2">
        <v>35</v>
      </c>
      <c r="B1206" s="2" t="s">
        <v>155</v>
      </c>
      <c r="C1206" s="2">
        <v>208</v>
      </c>
      <c r="D1206" s="2" t="s">
        <v>754</v>
      </c>
      <c r="E1206" s="2" t="s">
        <v>7694</v>
      </c>
      <c r="F1206" s="2" t="s">
        <v>7628</v>
      </c>
      <c r="G1206" s="2" t="s">
        <v>7619</v>
      </c>
    </row>
    <row r="1207" spans="1:7">
      <c r="A1207" s="3">
        <v>35</v>
      </c>
      <c r="B1207" s="3" t="s">
        <v>155</v>
      </c>
      <c r="C1207" s="3">
        <v>209</v>
      </c>
      <c r="D1207" s="3" t="s">
        <v>758</v>
      </c>
      <c r="E1207" s="3" t="s">
        <v>7618</v>
      </c>
      <c r="F1207" s="3" t="s">
        <v>7635</v>
      </c>
      <c r="G1207" s="3" t="s">
        <v>7617</v>
      </c>
    </row>
    <row r="1208" spans="1:7">
      <c r="A1208" s="2">
        <v>35</v>
      </c>
      <c r="B1208" s="2" t="s">
        <v>155</v>
      </c>
      <c r="C1208" s="2">
        <v>214</v>
      </c>
      <c r="D1208" s="2" t="s">
        <v>870</v>
      </c>
      <c r="E1208" s="2" t="s">
        <v>7620</v>
      </c>
      <c r="F1208" s="2" t="s">
        <v>7611</v>
      </c>
      <c r="G1208" s="2" t="s">
        <v>7621</v>
      </c>
    </row>
    <row r="1209" spans="1:7">
      <c r="A1209" s="3">
        <v>35</v>
      </c>
      <c r="B1209" s="3" t="s">
        <v>155</v>
      </c>
      <c r="C1209" s="3">
        <v>215</v>
      </c>
      <c r="D1209" s="3" t="s">
        <v>844</v>
      </c>
      <c r="E1209" s="3" t="s">
        <v>7627</v>
      </c>
      <c r="F1209" s="3" t="s">
        <v>7611</v>
      </c>
      <c r="G1209" s="3" t="s">
        <v>7637</v>
      </c>
    </row>
    <row r="1210" spans="1:7">
      <c r="A1210" s="2">
        <v>35</v>
      </c>
      <c r="B1210" s="2" t="s">
        <v>155</v>
      </c>
      <c r="C1210" s="2">
        <v>216</v>
      </c>
      <c r="D1210" s="2"/>
      <c r="E1210" s="2" t="s">
        <v>7610</v>
      </c>
      <c r="F1210" s="2" t="s">
        <v>7611</v>
      </c>
      <c r="G1210" s="2" t="s">
        <v>7612</v>
      </c>
    </row>
    <row r="1211" spans="1:7">
      <c r="A1211" s="3">
        <v>35</v>
      </c>
      <c r="B1211" s="3" t="s">
        <v>155</v>
      </c>
      <c r="C1211" s="3">
        <v>217</v>
      </c>
      <c r="D1211" s="3" t="s">
        <v>795</v>
      </c>
      <c r="E1211" s="3" t="s">
        <v>7613</v>
      </c>
      <c r="F1211" s="3" t="s">
        <v>7611</v>
      </c>
      <c r="G1211" s="3" t="s">
        <v>7657</v>
      </c>
    </row>
    <row r="1212" spans="1:7">
      <c r="A1212" s="2">
        <v>35</v>
      </c>
      <c r="B1212" s="2" t="s">
        <v>155</v>
      </c>
      <c r="C1212" s="2">
        <v>218</v>
      </c>
      <c r="D1212" s="2" t="s">
        <v>789</v>
      </c>
      <c r="E1212" s="2" t="s">
        <v>7627</v>
      </c>
      <c r="F1212" s="2" t="s">
        <v>7611</v>
      </c>
      <c r="G1212" s="2" t="s">
        <v>7637</v>
      </c>
    </row>
    <row r="1213" spans="1:7">
      <c r="A1213" s="3">
        <v>35</v>
      </c>
      <c r="B1213" s="3" t="s">
        <v>155</v>
      </c>
      <c r="C1213" s="3">
        <v>219</v>
      </c>
      <c r="D1213" s="3" t="s">
        <v>822</v>
      </c>
      <c r="E1213" s="3" t="s">
        <v>7658</v>
      </c>
      <c r="F1213" s="3" t="s">
        <v>7628</v>
      </c>
      <c r="G1213" s="3" t="s">
        <v>7629</v>
      </c>
    </row>
    <row r="1214" spans="1:7">
      <c r="A1214" s="2">
        <v>35</v>
      </c>
      <c r="B1214" s="2" t="s">
        <v>155</v>
      </c>
      <c r="C1214" s="2">
        <v>220</v>
      </c>
      <c r="D1214" s="2" t="s">
        <v>810</v>
      </c>
      <c r="E1214" s="2" t="s">
        <v>7665</v>
      </c>
      <c r="F1214" s="2" t="s">
        <v>7628</v>
      </c>
      <c r="G1214" s="2" t="s">
        <v>7657</v>
      </c>
    </row>
    <row r="1215" spans="1:7">
      <c r="A1215" s="3">
        <v>35</v>
      </c>
      <c r="B1215" s="3" t="s">
        <v>155</v>
      </c>
      <c r="C1215" s="3">
        <v>221</v>
      </c>
      <c r="D1215" s="3" t="s">
        <v>813</v>
      </c>
      <c r="E1215" s="3" t="s">
        <v>7613</v>
      </c>
      <c r="F1215" s="3" t="s">
        <v>7611</v>
      </c>
      <c r="G1215" s="3" t="s">
        <v>7614</v>
      </c>
    </row>
    <row r="1216" spans="1:7">
      <c r="A1216" s="2">
        <v>35</v>
      </c>
      <c r="B1216" s="2" t="s">
        <v>155</v>
      </c>
      <c r="C1216" s="2">
        <v>222</v>
      </c>
      <c r="D1216" s="2" t="s">
        <v>864</v>
      </c>
      <c r="E1216" s="2" t="s">
        <v>7669</v>
      </c>
      <c r="F1216" s="2" t="s">
        <v>7611</v>
      </c>
      <c r="G1216" s="2" t="s">
        <v>7642</v>
      </c>
    </row>
    <row r="1217" spans="1:7">
      <c r="A1217" s="3">
        <v>35</v>
      </c>
      <c r="B1217" s="3" t="s">
        <v>155</v>
      </c>
      <c r="C1217" s="3">
        <v>231</v>
      </c>
      <c r="D1217" s="3" t="s">
        <v>923</v>
      </c>
      <c r="E1217" s="3" t="s">
        <v>7618</v>
      </c>
      <c r="F1217" s="3" t="s">
        <v>7611</v>
      </c>
      <c r="G1217" s="3" t="s">
        <v>7617</v>
      </c>
    </row>
    <row r="1218" spans="1:7">
      <c r="A1218" s="2">
        <v>35</v>
      </c>
      <c r="B1218" s="2" t="s">
        <v>155</v>
      </c>
      <c r="C1218" s="2">
        <v>232</v>
      </c>
      <c r="D1218" s="2" t="s">
        <v>933</v>
      </c>
      <c r="E1218" s="2" t="s">
        <v>7618</v>
      </c>
      <c r="F1218" s="2" t="s">
        <v>7608</v>
      </c>
      <c r="G1218" s="2" t="s">
        <v>7633</v>
      </c>
    </row>
    <row r="1219" spans="1:7">
      <c r="A1219" s="3">
        <v>35</v>
      </c>
      <c r="B1219" s="3" t="s">
        <v>155</v>
      </c>
      <c r="C1219" s="3">
        <v>233</v>
      </c>
      <c r="D1219" s="3" t="s">
        <v>937</v>
      </c>
      <c r="E1219" s="3" t="s">
        <v>7620</v>
      </c>
      <c r="F1219" s="3" t="s">
        <v>7611</v>
      </c>
      <c r="G1219" s="3" t="s">
        <v>7625</v>
      </c>
    </row>
    <row r="1220" spans="1:7">
      <c r="A1220" s="2">
        <v>35</v>
      </c>
      <c r="B1220" s="2" t="s">
        <v>155</v>
      </c>
      <c r="C1220" s="2">
        <v>243</v>
      </c>
      <c r="D1220" s="2" t="s">
        <v>941</v>
      </c>
      <c r="E1220" s="2" t="s">
        <v>7618</v>
      </c>
      <c r="F1220" s="2" t="s">
        <v>7608</v>
      </c>
      <c r="G1220" s="2" t="s">
        <v>7633</v>
      </c>
    </row>
    <row r="1221" spans="1:7">
      <c r="A1221" s="3">
        <v>35</v>
      </c>
      <c r="B1221" s="3" t="s">
        <v>155</v>
      </c>
      <c r="C1221" s="3">
        <v>251</v>
      </c>
      <c r="D1221" s="3" t="s">
        <v>819</v>
      </c>
      <c r="E1221" s="3" t="s">
        <v>7640</v>
      </c>
      <c r="F1221" s="3" t="s">
        <v>7611</v>
      </c>
      <c r="G1221" s="3" t="s">
        <v>7617</v>
      </c>
    </row>
    <row r="1222" spans="1:7">
      <c r="A1222" s="2">
        <v>35</v>
      </c>
      <c r="B1222" s="2" t="s">
        <v>155</v>
      </c>
      <c r="C1222" s="2">
        <v>254</v>
      </c>
      <c r="D1222" s="2" t="s">
        <v>837</v>
      </c>
      <c r="E1222" s="2" t="s">
        <v>7610</v>
      </c>
      <c r="F1222" s="2" t="s">
        <v>7611</v>
      </c>
      <c r="G1222" s="2" t="s">
        <v>7612</v>
      </c>
    </row>
    <row r="1223" spans="1:7">
      <c r="A1223" s="3">
        <v>35</v>
      </c>
      <c r="B1223" s="3" t="s">
        <v>155</v>
      </c>
      <c r="C1223" s="3">
        <v>256</v>
      </c>
      <c r="D1223" s="3" t="s">
        <v>785</v>
      </c>
      <c r="E1223" s="3" t="s">
        <v>7623</v>
      </c>
      <c r="F1223" s="3" t="s">
        <v>7611</v>
      </c>
      <c r="G1223" s="3" t="s">
        <v>7639</v>
      </c>
    </row>
    <row r="1224" spans="1:7">
      <c r="A1224" s="2">
        <v>35</v>
      </c>
      <c r="B1224" s="2" t="s">
        <v>155</v>
      </c>
      <c r="C1224" s="2">
        <v>257</v>
      </c>
      <c r="D1224" s="2" t="s">
        <v>876</v>
      </c>
      <c r="E1224" s="2" t="s">
        <v>7640</v>
      </c>
      <c r="F1224" s="2" t="s">
        <v>7611</v>
      </c>
      <c r="G1224" s="2" t="s">
        <v>7617</v>
      </c>
    </row>
    <row r="1225" spans="1:7">
      <c r="A1225" s="3">
        <v>35</v>
      </c>
      <c r="B1225" s="3" t="s">
        <v>155</v>
      </c>
      <c r="C1225" s="3">
        <v>258</v>
      </c>
      <c r="D1225" s="3" t="s">
        <v>882</v>
      </c>
      <c r="E1225" s="3" t="s">
        <v>7618</v>
      </c>
      <c r="F1225" s="3" t="s">
        <v>7608</v>
      </c>
      <c r="G1225" s="3" t="s">
        <v>7609</v>
      </c>
    </row>
    <row r="1226" spans="1:7">
      <c r="A1226" s="2">
        <v>35</v>
      </c>
      <c r="B1226" s="2" t="s">
        <v>155</v>
      </c>
      <c r="C1226" s="2">
        <v>262</v>
      </c>
      <c r="D1226" s="2" t="s">
        <v>355</v>
      </c>
      <c r="E1226" s="2" t="s">
        <v>7610</v>
      </c>
      <c r="F1226" s="2" t="s">
        <v>7611</v>
      </c>
      <c r="G1226" s="2" t="s">
        <v>7641</v>
      </c>
    </row>
    <row r="1227" spans="1:7">
      <c r="A1227" s="3">
        <v>35</v>
      </c>
      <c r="B1227" s="3" t="s">
        <v>155</v>
      </c>
      <c r="C1227" s="3">
        <v>264</v>
      </c>
      <c r="D1227" s="3" t="s">
        <v>775</v>
      </c>
      <c r="E1227" s="3" t="s">
        <v>7693</v>
      </c>
      <c r="F1227" s="3" t="s">
        <v>7628</v>
      </c>
      <c r="G1227" s="3" t="s">
        <v>7644</v>
      </c>
    </row>
    <row r="1228" spans="1:7">
      <c r="A1228" s="2">
        <v>35</v>
      </c>
      <c r="B1228" s="2" t="s">
        <v>155</v>
      </c>
      <c r="C1228" s="2">
        <v>265</v>
      </c>
      <c r="D1228" s="2" t="s">
        <v>860</v>
      </c>
      <c r="E1228" s="2" t="s">
        <v>7620</v>
      </c>
      <c r="F1228" s="2" t="s">
        <v>7611</v>
      </c>
      <c r="G1228" s="2" t="s">
        <v>7621</v>
      </c>
    </row>
    <row r="1229" spans="1:7">
      <c r="A1229" s="3">
        <v>35</v>
      </c>
      <c r="B1229" s="3" t="s">
        <v>155</v>
      </c>
      <c r="C1229" s="3">
        <v>266</v>
      </c>
      <c r="D1229" s="3" t="s">
        <v>826</v>
      </c>
      <c r="E1229" s="3" t="s">
        <v>7658</v>
      </c>
      <c r="F1229" s="3" t="s">
        <v>7628</v>
      </c>
      <c r="G1229" s="3" t="s">
        <v>7629</v>
      </c>
    </row>
    <row r="1230" spans="1:7">
      <c r="A1230" s="2">
        <v>35</v>
      </c>
      <c r="B1230" s="2" t="s">
        <v>155</v>
      </c>
      <c r="C1230" s="2">
        <v>267</v>
      </c>
      <c r="D1230" s="2" t="s">
        <v>801</v>
      </c>
      <c r="E1230" s="2" t="s">
        <v>7618</v>
      </c>
      <c r="F1230" s="2" t="s">
        <v>7611</v>
      </c>
      <c r="G1230" s="2" t="s">
        <v>7617</v>
      </c>
    </row>
    <row r="1231" spans="1:7">
      <c r="A1231" s="3">
        <v>35</v>
      </c>
      <c r="B1231" s="3" t="s">
        <v>155</v>
      </c>
      <c r="C1231" s="3">
        <v>269</v>
      </c>
      <c r="D1231" s="3" t="s">
        <v>825</v>
      </c>
      <c r="E1231" s="3" t="s">
        <v>7618</v>
      </c>
      <c r="F1231" s="3" t="s">
        <v>7611</v>
      </c>
      <c r="G1231" s="3" t="s">
        <v>7617</v>
      </c>
    </row>
    <row r="1232" spans="1:7">
      <c r="A1232" s="2">
        <v>35</v>
      </c>
      <c r="B1232" s="2" t="s">
        <v>155</v>
      </c>
      <c r="C1232" s="2">
        <v>270</v>
      </c>
      <c r="D1232" s="2" t="s">
        <v>769</v>
      </c>
      <c r="E1232" s="2" t="s">
        <v>7640</v>
      </c>
      <c r="F1232" s="2" t="s">
        <v>7611</v>
      </c>
      <c r="G1232" s="2" t="s">
        <v>7617</v>
      </c>
    </row>
    <row r="1233" spans="1:7">
      <c r="A1233" s="3">
        <v>35</v>
      </c>
      <c r="B1233" s="3" t="s">
        <v>155</v>
      </c>
      <c r="C1233" s="3">
        <v>272</v>
      </c>
      <c r="D1233" s="3" t="s">
        <v>873</v>
      </c>
      <c r="E1233" s="3" t="s">
        <v>7623</v>
      </c>
      <c r="F1233" s="3" t="s">
        <v>7628</v>
      </c>
      <c r="G1233" s="3" t="s">
        <v>7632</v>
      </c>
    </row>
    <row r="1234" spans="1:7">
      <c r="A1234" s="2">
        <v>35</v>
      </c>
      <c r="B1234" s="2" t="s">
        <v>155</v>
      </c>
      <c r="C1234" s="2">
        <v>275</v>
      </c>
      <c r="D1234" s="2" t="s">
        <v>781</v>
      </c>
      <c r="E1234" s="2" t="s">
        <v>7627</v>
      </c>
      <c r="F1234" s="2" t="s">
        <v>7611</v>
      </c>
      <c r="G1234" s="2" t="s">
        <v>7626</v>
      </c>
    </row>
    <row r="1235" spans="1:7">
      <c r="A1235" s="3">
        <v>35</v>
      </c>
      <c r="B1235" s="3" t="s">
        <v>155</v>
      </c>
      <c r="C1235" s="3">
        <v>276</v>
      </c>
      <c r="D1235" s="3" t="s">
        <v>842</v>
      </c>
      <c r="E1235" s="3" t="s">
        <v>7618</v>
      </c>
      <c r="F1235" s="3" t="s">
        <v>7611</v>
      </c>
      <c r="G1235" s="3" t="s">
        <v>7636</v>
      </c>
    </row>
    <row r="1236" spans="1:7">
      <c r="A1236" s="2">
        <v>35</v>
      </c>
      <c r="B1236" s="2" t="s">
        <v>155</v>
      </c>
      <c r="C1236" s="2">
        <v>280</v>
      </c>
      <c r="D1236" s="2" t="s">
        <v>847</v>
      </c>
      <c r="E1236" s="2" t="s">
        <v>7710</v>
      </c>
      <c r="F1236" s="2" t="s">
        <v>7611</v>
      </c>
      <c r="G1236" s="2" t="s">
        <v>7617</v>
      </c>
    </row>
    <row r="1237" spans="1:7">
      <c r="A1237" s="3">
        <v>35</v>
      </c>
      <c r="B1237" s="3" t="s">
        <v>155</v>
      </c>
      <c r="C1237" s="3">
        <v>281</v>
      </c>
      <c r="D1237" s="3" t="s">
        <v>856</v>
      </c>
      <c r="E1237" s="3" t="s">
        <v>7623</v>
      </c>
      <c r="F1237" s="3" t="s">
        <v>7628</v>
      </c>
      <c r="G1237" s="3" t="s">
        <v>7644</v>
      </c>
    </row>
    <row r="1238" spans="1:7">
      <c r="A1238" s="2">
        <v>35</v>
      </c>
      <c r="B1238" s="2" t="s">
        <v>155</v>
      </c>
      <c r="C1238" s="2">
        <v>282</v>
      </c>
      <c r="D1238" s="2" t="s">
        <v>885</v>
      </c>
      <c r="E1238" s="2" t="s">
        <v>7627</v>
      </c>
      <c r="F1238" s="2" t="s">
        <v>7611</v>
      </c>
      <c r="G1238" s="2" t="s">
        <v>7626</v>
      </c>
    </row>
    <row r="1239" spans="1:7">
      <c r="A1239" s="3">
        <v>35</v>
      </c>
      <c r="B1239" s="3" t="s">
        <v>155</v>
      </c>
      <c r="C1239" s="3">
        <v>284</v>
      </c>
      <c r="D1239" s="3" t="s">
        <v>854</v>
      </c>
      <c r="E1239" s="3" t="s">
        <v>7618</v>
      </c>
      <c r="F1239" s="3" t="s">
        <v>7628</v>
      </c>
      <c r="G1239" s="3" t="s">
        <v>7639</v>
      </c>
    </row>
    <row r="1240" spans="1:7">
      <c r="A1240" s="2">
        <v>35</v>
      </c>
      <c r="B1240" s="2" t="s">
        <v>155</v>
      </c>
      <c r="C1240" s="2">
        <v>285</v>
      </c>
      <c r="D1240" s="2" t="s">
        <v>854</v>
      </c>
      <c r="E1240" s="2" t="s">
        <v>7620</v>
      </c>
      <c r="F1240" s="2" t="s">
        <v>7611</v>
      </c>
      <c r="G1240" s="2" t="s">
        <v>7621</v>
      </c>
    </row>
    <row r="1241" spans="1:7">
      <c r="A1241" s="3">
        <v>35</v>
      </c>
      <c r="B1241" s="3" t="s">
        <v>155</v>
      </c>
      <c r="C1241" s="3">
        <v>286</v>
      </c>
      <c r="D1241" s="3" t="s">
        <v>807</v>
      </c>
      <c r="E1241" s="3" t="s">
        <v>7620</v>
      </c>
      <c r="F1241" s="3" t="s">
        <v>7611</v>
      </c>
      <c r="G1241" s="3" t="s">
        <v>7625</v>
      </c>
    </row>
    <row r="1242" spans="1:7">
      <c r="A1242" s="2">
        <v>35</v>
      </c>
      <c r="B1242" s="2" t="s">
        <v>155</v>
      </c>
      <c r="C1242" s="2">
        <v>287</v>
      </c>
      <c r="D1242" s="2" t="s">
        <v>929</v>
      </c>
      <c r="E1242" s="2" t="s">
        <v>7627</v>
      </c>
      <c r="F1242" s="2" t="s">
        <v>7611</v>
      </c>
      <c r="G1242" s="2" t="s">
        <v>7642</v>
      </c>
    </row>
    <row r="1243" spans="1:7">
      <c r="A1243" s="3">
        <v>35</v>
      </c>
      <c r="B1243" s="3" t="s">
        <v>155</v>
      </c>
      <c r="C1243" s="3">
        <v>288</v>
      </c>
      <c r="D1243" s="3" t="s">
        <v>805</v>
      </c>
      <c r="E1243" s="3" t="s">
        <v>7618</v>
      </c>
      <c r="F1243" s="3" t="s">
        <v>7611</v>
      </c>
      <c r="G1243" s="3" t="s">
        <v>7617</v>
      </c>
    </row>
    <row r="1244" spans="1:7">
      <c r="A1244" s="2">
        <v>35</v>
      </c>
      <c r="B1244" s="2" t="s">
        <v>155</v>
      </c>
      <c r="C1244" s="2">
        <v>290</v>
      </c>
      <c r="D1244" s="2" t="s">
        <v>854</v>
      </c>
      <c r="E1244" s="2" t="s">
        <v>7620</v>
      </c>
      <c r="F1244" s="2" t="s">
        <v>7611</v>
      </c>
      <c r="G1244" s="2" t="s">
        <v>7625</v>
      </c>
    </row>
    <row r="1245" spans="1:7">
      <c r="A1245" s="3">
        <v>35</v>
      </c>
      <c r="B1245" s="3" t="s">
        <v>155</v>
      </c>
      <c r="C1245" s="3">
        <v>293</v>
      </c>
      <c r="D1245" s="3" t="s">
        <v>854</v>
      </c>
      <c r="E1245" s="3" t="s">
        <v>7618</v>
      </c>
      <c r="F1245" s="3" t="s">
        <v>7611</v>
      </c>
      <c r="G1245" s="3" t="s">
        <v>7617</v>
      </c>
    </row>
    <row r="1246" spans="1:7">
      <c r="A1246" s="2">
        <v>35</v>
      </c>
      <c r="B1246" s="2" t="s">
        <v>155</v>
      </c>
      <c r="C1246" s="2">
        <v>294</v>
      </c>
      <c r="D1246" s="2" t="s">
        <v>854</v>
      </c>
      <c r="E1246" s="2" t="s">
        <v>7618</v>
      </c>
      <c r="F1246" s="2" t="s">
        <v>7608</v>
      </c>
      <c r="G1246" s="2" t="s">
        <v>7617</v>
      </c>
    </row>
    <row r="1247" spans="1:7">
      <c r="A1247" s="3">
        <v>35</v>
      </c>
      <c r="B1247" s="3" t="s">
        <v>155</v>
      </c>
      <c r="C1247" s="3">
        <v>295</v>
      </c>
      <c r="D1247" s="3" t="s">
        <v>854</v>
      </c>
      <c r="E1247" s="3" t="s">
        <v>7620</v>
      </c>
      <c r="F1247" s="3" t="s">
        <v>7635</v>
      </c>
      <c r="G1247" s="3" t="s">
        <v>7621</v>
      </c>
    </row>
    <row r="1248" spans="1:7">
      <c r="A1248" s="2">
        <v>35</v>
      </c>
      <c r="B1248" s="2" t="s">
        <v>155</v>
      </c>
      <c r="C1248" s="2">
        <v>297</v>
      </c>
      <c r="D1248" s="2" t="s">
        <v>833</v>
      </c>
      <c r="E1248" s="2" t="s">
        <v>7618</v>
      </c>
      <c r="F1248" s="2" t="s">
        <v>7608</v>
      </c>
      <c r="G1248" s="2" t="s">
        <v>7633</v>
      </c>
    </row>
    <row r="1249" spans="1:7">
      <c r="A1249" s="3">
        <v>35</v>
      </c>
      <c r="B1249" s="3" t="s">
        <v>155</v>
      </c>
      <c r="C1249" s="3">
        <v>300</v>
      </c>
      <c r="D1249" s="3" t="s">
        <v>854</v>
      </c>
      <c r="E1249" s="3" t="s">
        <v>7640</v>
      </c>
      <c r="F1249" s="3" t="s">
        <v>7608</v>
      </c>
      <c r="G1249" s="3" t="s">
        <v>7633</v>
      </c>
    </row>
    <row r="1250" spans="1:7">
      <c r="A1250" s="2">
        <v>35</v>
      </c>
      <c r="B1250" s="2" t="s">
        <v>155</v>
      </c>
      <c r="C1250" s="2">
        <v>302</v>
      </c>
      <c r="D1250" s="2" t="s">
        <v>916</v>
      </c>
      <c r="E1250" s="2" t="s">
        <v>7620</v>
      </c>
      <c r="F1250" s="2" t="s">
        <v>7628</v>
      </c>
      <c r="G1250" s="2" t="s">
        <v>7633</v>
      </c>
    </row>
    <row r="1251" spans="1:7">
      <c r="A1251" s="3">
        <v>35</v>
      </c>
      <c r="B1251" s="3" t="s">
        <v>155</v>
      </c>
      <c r="C1251" s="3">
        <v>303</v>
      </c>
      <c r="D1251" s="3" t="s">
        <v>854</v>
      </c>
      <c r="E1251" s="3" t="s">
        <v>7620</v>
      </c>
      <c r="F1251" s="3" t="s">
        <v>7611</v>
      </c>
      <c r="G1251" s="3" t="s">
        <v>7621</v>
      </c>
    </row>
    <row r="1252" spans="1:7">
      <c r="A1252" s="2">
        <v>35</v>
      </c>
      <c r="B1252" s="2" t="s">
        <v>155</v>
      </c>
      <c r="C1252" s="2">
        <v>305</v>
      </c>
      <c r="D1252" s="2" t="s">
        <v>854</v>
      </c>
      <c r="E1252" s="2" t="s">
        <v>7620</v>
      </c>
      <c r="F1252" s="2" t="s">
        <v>7608</v>
      </c>
      <c r="G1252" s="2" t="s">
        <v>7625</v>
      </c>
    </row>
    <row r="1253" spans="1:7">
      <c r="A1253" s="3">
        <v>35</v>
      </c>
      <c r="B1253" s="3" t="s">
        <v>155</v>
      </c>
      <c r="C1253" s="3">
        <v>307</v>
      </c>
      <c r="D1253" s="3" t="s">
        <v>854</v>
      </c>
      <c r="E1253" s="3" t="s">
        <v>7620</v>
      </c>
      <c r="F1253" s="3" t="s">
        <v>7611</v>
      </c>
      <c r="G1253" s="3" t="s">
        <v>7625</v>
      </c>
    </row>
    <row r="1254" spans="1:7">
      <c r="A1254" s="2">
        <v>35</v>
      </c>
      <c r="B1254" s="2" t="s">
        <v>155</v>
      </c>
      <c r="C1254" s="2">
        <v>308</v>
      </c>
      <c r="D1254" s="2" t="s">
        <v>854</v>
      </c>
      <c r="E1254" s="2" t="s">
        <v>7618</v>
      </c>
      <c r="F1254" s="2" t="s">
        <v>7608</v>
      </c>
      <c r="G1254" s="2" t="s">
        <v>7633</v>
      </c>
    </row>
    <row r="1255" spans="1:7">
      <c r="A1255" s="3">
        <v>35</v>
      </c>
      <c r="B1255" s="3" t="s">
        <v>155</v>
      </c>
      <c r="C1255" s="3">
        <v>311</v>
      </c>
      <c r="D1255" s="3" t="s">
        <v>954</v>
      </c>
      <c r="E1255" s="3" t="s">
        <v>7635</v>
      </c>
      <c r="F1255" s="3" t="s">
        <v>7635</v>
      </c>
      <c r="G1255" s="3" t="s">
        <v>7633</v>
      </c>
    </row>
    <row r="1256" spans="1:7">
      <c r="A1256" s="2">
        <v>35</v>
      </c>
      <c r="B1256" s="2" t="s">
        <v>155</v>
      </c>
      <c r="C1256" s="2">
        <v>312</v>
      </c>
      <c r="D1256" s="2" t="s">
        <v>949</v>
      </c>
      <c r="E1256" s="2" t="s">
        <v>7635</v>
      </c>
      <c r="F1256" s="2" t="s">
        <v>7628</v>
      </c>
      <c r="G1256" s="2" t="s">
        <v>7609</v>
      </c>
    </row>
    <row r="1257" spans="1:7">
      <c r="A1257" s="3">
        <v>35</v>
      </c>
      <c r="B1257" s="3" t="s">
        <v>155</v>
      </c>
      <c r="C1257" s="3">
        <v>314</v>
      </c>
      <c r="D1257" s="3" t="s">
        <v>1050</v>
      </c>
      <c r="E1257" s="3" t="s">
        <v>7635</v>
      </c>
      <c r="F1257" s="3" t="s">
        <v>7635</v>
      </c>
      <c r="G1257" s="3" t="s">
        <v>7633</v>
      </c>
    </row>
    <row r="1258" spans="1:7">
      <c r="A1258" s="2">
        <v>35</v>
      </c>
      <c r="B1258" s="2" t="s">
        <v>155</v>
      </c>
      <c r="C1258" s="2">
        <v>317</v>
      </c>
      <c r="D1258" s="2" t="s">
        <v>1030</v>
      </c>
      <c r="E1258" s="2" t="s">
        <v>7711</v>
      </c>
      <c r="F1258" s="2" t="s">
        <v>7611</v>
      </c>
      <c r="G1258" s="2" t="s">
        <v>7642</v>
      </c>
    </row>
    <row r="1259" spans="1:7">
      <c r="A1259" s="3">
        <v>35</v>
      </c>
      <c r="B1259" s="3" t="s">
        <v>155</v>
      </c>
      <c r="C1259" s="3">
        <v>318</v>
      </c>
      <c r="D1259" s="3" t="s">
        <v>1032</v>
      </c>
      <c r="E1259" s="3" t="s">
        <v>7618</v>
      </c>
      <c r="F1259" s="3" t="s">
        <v>7611</v>
      </c>
      <c r="G1259" s="3" t="s">
        <v>7619</v>
      </c>
    </row>
    <row r="1260" spans="1:7">
      <c r="A1260" s="2">
        <v>35</v>
      </c>
      <c r="B1260" s="2" t="s">
        <v>155</v>
      </c>
      <c r="C1260" s="2">
        <v>319</v>
      </c>
      <c r="D1260" s="2" t="s">
        <v>1035</v>
      </c>
      <c r="E1260" s="2" t="s">
        <v>7635</v>
      </c>
      <c r="F1260" s="2" t="s">
        <v>7628</v>
      </c>
      <c r="G1260" s="2" t="s">
        <v>7609</v>
      </c>
    </row>
    <row r="1261" spans="1:7">
      <c r="A1261" s="3">
        <v>35</v>
      </c>
      <c r="B1261" s="3" t="s">
        <v>155</v>
      </c>
      <c r="C1261" s="3">
        <v>320</v>
      </c>
      <c r="D1261" s="3" t="s">
        <v>1039</v>
      </c>
      <c r="E1261" s="3" t="s">
        <v>7635</v>
      </c>
      <c r="F1261" s="3" t="s">
        <v>7635</v>
      </c>
      <c r="G1261" s="3" t="s">
        <v>7621</v>
      </c>
    </row>
    <row r="1262" spans="1:7">
      <c r="A1262" s="2">
        <v>35</v>
      </c>
      <c r="B1262" s="2" t="s">
        <v>155</v>
      </c>
      <c r="C1262" s="2">
        <v>321</v>
      </c>
      <c r="D1262" s="2" t="s">
        <v>1048</v>
      </c>
      <c r="E1262" s="2" t="s">
        <v>7618</v>
      </c>
      <c r="F1262" s="2" t="s">
        <v>7611</v>
      </c>
      <c r="G1262" s="2" t="s">
        <v>7617</v>
      </c>
    </row>
    <row r="1263" spans="1:7">
      <c r="A1263" s="3">
        <v>35</v>
      </c>
      <c r="B1263" s="3" t="s">
        <v>155</v>
      </c>
      <c r="C1263" s="3">
        <v>322</v>
      </c>
      <c r="D1263" s="3" t="s">
        <v>1012</v>
      </c>
      <c r="E1263" s="3" t="s">
        <v>7635</v>
      </c>
      <c r="F1263" s="3" t="s">
        <v>7635</v>
      </c>
      <c r="G1263" s="3" t="s">
        <v>7621</v>
      </c>
    </row>
    <row r="1264" spans="1:7">
      <c r="A1264" s="2">
        <v>35</v>
      </c>
      <c r="B1264" s="2" t="s">
        <v>155</v>
      </c>
      <c r="C1264" s="2">
        <v>323</v>
      </c>
      <c r="D1264" s="2" t="s">
        <v>1016</v>
      </c>
      <c r="E1264" s="2" t="s">
        <v>7618</v>
      </c>
      <c r="F1264" s="2" t="s">
        <v>7611</v>
      </c>
      <c r="G1264" s="2" t="s">
        <v>7619</v>
      </c>
    </row>
    <row r="1265" spans="1:7">
      <c r="A1265" s="3">
        <v>35</v>
      </c>
      <c r="B1265" s="3" t="s">
        <v>155</v>
      </c>
      <c r="C1265" s="3">
        <v>325</v>
      </c>
      <c r="D1265" s="3" t="s">
        <v>1020</v>
      </c>
      <c r="E1265" s="3" t="s">
        <v>7618</v>
      </c>
      <c r="F1265" s="3" t="s">
        <v>7611</v>
      </c>
      <c r="G1265" s="3" t="s">
        <v>7636</v>
      </c>
    </row>
    <row r="1266" spans="1:7">
      <c r="A1266" s="2">
        <v>35</v>
      </c>
      <c r="B1266" s="2" t="s">
        <v>155</v>
      </c>
      <c r="C1266" s="2">
        <v>326</v>
      </c>
      <c r="D1266" s="2" t="s">
        <v>1022</v>
      </c>
      <c r="E1266" s="2" t="s">
        <v>7708</v>
      </c>
      <c r="F1266" s="2" t="s">
        <v>7628</v>
      </c>
      <c r="G1266" s="2" t="s">
        <v>7644</v>
      </c>
    </row>
    <row r="1267" spans="1:7">
      <c r="A1267" s="3">
        <v>35</v>
      </c>
      <c r="B1267" s="3" t="s">
        <v>155</v>
      </c>
      <c r="C1267" s="3">
        <v>327</v>
      </c>
      <c r="D1267" s="3" t="s">
        <v>1025</v>
      </c>
      <c r="E1267" s="3" t="s">
        <v>7618</v>
      </c>
      <c r="F1267" s="3" t="s">
        <v>7628</v>
      </c>
      <c r="G1267" s="3" t="s">
        <v>7634</v>
      </c>
    </row>
    <row r="1268" spans="1:7">
      <c r="A1268" s="2">
        <v>35</v>
      </c>
      <c r="B1268" s="2" t="s">
        <v>155</v>
      </c>
      <c r="C1268" s="2">
        <v>328</v>
      </c>
      <c r="D1268" s="2" t="s">
        <v>1026</v>
      </c>
      <c r="E1268" s="2" t="s">
        <v>7618</v>
      </c>
      <c r="F1268" s="2" t="s">
        <v>7611</v>
      </c>
      <c r="G1268" s="2" t="s">
        <v>7617</v>
      </c>
    </row>
    <row r="1269" spans="1:7">
      <c r="A1269" s="3">
        <v>35</v>
      </c>
      <c r="B1269" s="3" t="s">
        <v>155</v>
      </c>
      <c r="C1269" s="3">
        <v>329</v>
      </c>
      <c r="D1269" s="3" t="s">
        <v>965</v>
      </c>
      <c r="E1269" s="3" t="s">
        <v>7618</v>
      </c>
      <c r="F1269" s="3" t="s">
        <v>7611</v>
      </c>
      <c r="G1269" s="3" t="s">
        <v>7636</v>
      </c>
    </row>
    <row r="1270" spans="1:7">
      <c r="A1270" s="2">
        <v>35</v>
      </c>
      <c r="B1270" s="2" t="s">
        <v>155</v>
      </c>
      <c r="C1270" s="2">
        <v>330</v>
      </c>
      <c r="D1270" s="2" t="s">
        <v>974</v>
      </c>
      <c r="E1270" s="2" t="s">
        <v>7618</v>
      </c>
      <c r="F1270" s="2" t="s">
        <v>7635</v>
      </c>
      <c r="G1270" s="2" t="s">
        <v>7617</v>
      </c>
    </row>
    <row r="1271" spans="1:7">
      <c r="A1271" s="3">
        <v>35</v>
      </c>
      <c r="B1271" s="3" t="s">
        <v>155</v>
      </c>
      <c r="C1271" s="3">
        <v>332</v>
      </c>
      <c r="D1271" s="3" t="s">
        <v>986</v>
      </c>
      <c r="E1271" s="3" t="s">
        <v>7645</v>
      </c>
      <c r="F1271" s="3" t="s">
        <v>7611</v>
      </c>
      <c r="G1271" s="3" t="s">
        <v>7633</v>
      </c>
    </row>
    <row r="1272" spans="1:7">
      <c r="A1272" s="2">
        <v>35</v>
      </c>
      <c r="B1272" s="2" t="s">
        <v>155</v>
      </c>
      <c r="C1272" s="2">
        <v>333</v>
      </c>
      <c r="D1272" s="2" t="s">
        <v>989</v>
      </c>
      <c r="E1272" s="2" t="s">
        <v>7618</v>
      </c>
      <c r="F1272" s="2" t="s">
        <v>7611</v>
      </c>
      <c r="G1272" s="2" t="s">
        <v>7617</v>
      </c>
    </row>
    <row r="1273" spans="1:7">
      <c r="A1273" s="3">
        <v>35</v>
      </c>
      <c r="B1273" s="3" t="s">
        <v>155</v>
      </c>
      <c r="C1273" s="3">
        <v>334</v>
      </c>
      <c r="D1273" s="3" t="s">
        <v>970</v>
      </c>
      <c r="E1273" s="3" t="s">
        <v>7620</v>
      </c>
      <c r="F1273" s="3" t="s">
        <v>7628</v>
      </c>
      <c r="G1273" s="3" t="s">
        <v>7622</v>
      </c>
    </row>
    <row r="1274" spans="1:7">
      <c r="A1274" s="2">
        <v>35</v>
      </c>
      <c r="B1274" s="2" t="s">
        <v>155</v>
      </c>
      <c r="C1274" s="2">
        <v>335</v>
      </c>
      <c r="D1274" s="2" t="s">
        <v>1057</v>
      </c>
      <c r="E1274" s="2" t="s">
        <v>7620</v>
      </c>
      <c r="F1274" s="2" t="s">
        <v>7611</v>
      </c>
      <c r="G1274" s="2" t="s">
        <v>7625</v>
      </c>
    </row>
    <row r="1275" spans="1:7">
      <c r="A1275" s="3">
        <v>35</v>
      </c>
      <c r="B1275" s="3" t="s">
        <v>155</v>
      </c>
      <c r="C1275" s="3">
        <v>336</v>
      </c>
      <c r="D1275" s="3" t="s">
        <v>992</v>
      </c>
      <c r="E1275" s="3" t="s">
        <v>7620</v>
      </c>
      <c r="F1275" s="3" t="s">
        <v>7611</v>
      </c>
      <c r="G1275" s="3" t="s">
        <v>7625</v>
      </c>
    </row>
    <row r="1276" spans="1:7">
      <c r="A1276" s="2">
        <v>35</v>
      </c>
      <c r="B1276" s="2" t="s">
        <v>155</v>
      </c>
      <c r="C1276" s="2">
        <v>337</v>
      </c>
      <c r="D1276" s="2" t="s">
        <v>1042</v>
      </c>
      <c r="E1276" s="2" t="s">
        <v>7620</v>
      </c>
      <c r="F1276" s="2" t="s">
        <v>7611</v>
      </c>
      <c r="G1276" s="2" t="s">
        <v>7621</v>
      </c>
    </row>
    <row r="1277" spans="1:7">
      <c r="A1277" s="3">
        <v>35</v>
      </c>
      <c r="B1277" s="3" t="s">
        <v>155</v>
      </c>
      <c r="C1277" s="3">
        <v>338</v>
      </c>
      <c r="D1277" s="3" t="s">
        <v>996</v>
      </c>
      <c r="E1277" s="3" t="s">
        <v>7640</v>
      </c>
      <c r="F1277" s="3" t="s">
        <v>7611</v>
      </c>
      <c r="G1277" s="3" t="s">
        <v>7617</v>
      </c>
    </row>
    <row r="1278" spans="1:7">
      <c r="A1278" s="2">
        <v>35</v>
      </c>
      <c r="B1278" s="2" t="s">
        <v>155</v>
      </c>
      <c r="C1278" s="2">
        <v>339</v>
      </c>
      <c r="D1278" s="2" t="s">
        <v>1058</v>
      </c>
      <c r="E1278" s="2" t="s">
        <v>7706</v>
      </c>
      <c r="F1278" s="2" t="s">
        <v>7611</v>
      </c>
      <c r="G1278" s="2" t="s">
        <v>7617</v>
      </c>
    </row>
    <row r="1279" spans="1:7">
      <c r="A1279" s="3">
        <v>35</v>
      </c>
      <c r="B1279" s="3" t="s">
        <v>155</v>
      </c>
      <c r="C1279" s="3">
        <v>341</v>
      </c>
      <c r="D1279" s="3" t="s">
        <v>1052</v>
      </c>
      <c r="E1279" s="3" t="s">
        <v>7620</v>
      </c>
      <c r="F1279" s="3" t="s">
        <v>7611</v>
      </c>
      <c r="G1279" s="3" t="s">
        <v>7621</v>
      </c>
    </row>
    <row r="1280" spans="1:7">
      <c r="A1280" s="2">
        <v>35</v>
      </c>
      <c r="B1280" s="2" t="s">
        <v>155</v>
      </c>
      <c r="C1280" s="2">
        <v>343</v>
      </c>
      <c r="D1280" s="2" t="s">
        <v>977</v>
      </c>
      <c r="E1280" s="2" t="s">
        <v>7694</v>
      </c>
      <c r="F1280" s="2" t="s">
        <v>7628</v>
      </c>
      <c r="G1280" s="2" t="s">
        <v>7619</v>
      </c>
    </row>
    <row r="1281" spans="1:7">
      <c r="A1281" s="3">
        <v>35</v>
      </c>
      <c r="B1281" s="3" t="s">
        <v>155</v>
      </c>
      <c r="C1281" s="3">
        <v>402</v>
      </c>
      <c r="D1281" s="3" t="s">
        <v>1120</v>
      </c>
      <c r="E1281" s="3" t="s">
        <v>7645</v>
      </c>
      <c r="F1281" s="3" t="s">
        <v>7611</v>
      </c>
      <c r="G1281" s="3" t="s">
        <v>7621</v>
      </c>
    </row>
    <row r="1282" spans="1:7">
      <c r="A1282" s="2">
        <v>35</v>
      </c>
      <c r="B1282" s="2" t="s">
        <v>155</v>
      </c>
      <c r="C1282" s="2">
        <v>405</v>
      </c>
      <c r="D1282" s="2" t="s">
        <v>1110</v>
      </c>
      <c r="E1282" s="2" t="s">
        <v>7610</v>
      </c>
      <c r="F1282" s="2" t="s">
        <v>7611</v>
      </c>
      <c r="G1282" s="2" t="s">
        <v>7624</v>
      </c>
    </row>
    <row r="1283" spans="1:7">
      <c r="A1283" s="3">
        <v>35</v>
      </c>
      <c r="B1283" s="3" t="s">
        <v>155</v>
      </c>
      <c r="C1283" s="3">
        <v>406</v>
      </c>
      <c r="D1283" s="3" t="s">
        <v>1114</v>
      </c>
      <c r="E1283" s="3" t="s">
        <v>7665</v>
      </c>
      <c r="F1283" s="3" t="s">
        <v>7628</v>
      </c>
      <c r="G1283" s="3" t="s">
        <v>7666</v>
      </c>
    </row>
    <row r="1284" spans="1:7">
      <c r="A1284" s="2">
        <v>35</v>
      </c>
      <c r="B1284" s="2" t="s">
        <v>155</v>
      </c>
      <c r="C1284" s="2">
        <v>408</v>
      </c>
      <c r="D1284" s="2" t="s">
        <v>1131</v>
      </c>
      <c r="E1284" s="2" t="s">
        <v>7697</v>
      </c>
      <c r="F1284" s="2" t="s">
        <v>7608</v>
      </c>
      <c r="G1284" s="2" t="s">
        <v>7634</v>
      </c>
    </row>
    <row r="1285" spans="1:7">
      <c r="A1285" s="3">
        <v>35</v>
      </c>
      <c r="B1285" s="3" t="s">
        <v>155</v>
      </c>
      <c r="C1285" s="3">
        <v>409</v>
      </c>
      <c r="D1285" s="3" t="s">
        <v>1126</v>
      </c>
      <c r="E1285" s="3" t="s">
        <v>7618</v>
      </c>
      <c r="F1285" s="3" t="s">
        <v>7611</v>
      </c>
      <c r="G1285" s="3" t="s">
        <v>7619</v>
      </c>
    </row>
    <row r="1286" spans="1:7">
      <c r="A1286" s="2">
        <v>35</v>
      </c>
      <c r="B1286" s="2" t="s">
        <v>155</v>
      </c>
      <c r="C1286" s="2">
        <v>410</v>
      </c>
      <c r="D1286" s="2" t="s">
        <v>1123</v>
      </c>
      <c r="E1286" s="2" t="s">
        <v>7620</v>
      </c>
      <c r="F1286" s="2" t="s">
        <v>7611</v>
      </c>
      <c r="G1286" s="2" t="s">
        <v>7621</v>
      </c>
    </row>
    <row r="1287" spans="1:7">
      <c r="A1287" s="3">
        <v>36</v>
      </c>
      <c r="B1287" s="3" t="s">
        <v>94</v>
      </c>
      <c r="C1287" s="3">
        <v>56</v>
      </c>
      <c r="D1287" s="3" t="s">
        <v>12</v>
      </c>
      <c r="E1287" s="3" t="s">
        <v>7616</v>
      </c>
      <c r="F1287" s="3" t="s">
        <v>7659</v>
      </c>
      <c r="G1287" s="3" t="s">
        <v>7624</v>
      </c>
    </row>
    <row r="1288" spans="1:7">
      <c r="A1288" s="2">
        <v>36</v>
      </c>
      <c r="B1288" s="2" t="s">
        <v>94</v>
      </c>
      <c r="C1288" s="2">
        <v>97</v>
      </c>
      <c r="D1288" s="2" t="s">
        <v>457</v>
      </c>
      <c r="E1288" s="2" t="s">
        <v>7620</v>
      </c>
      <c r="F1288" s="2" t="s">
        <v>7659</v>
      </c>
      <c r="G1288" s="2" t="s">
        <v>7617</v>
      </c>
    </row>
    <row r="1289" spans="1:7">
      <c r="A1289" s="3">
        <v>36</v>
      </c>
      <c r="B1289" s="3" t="s">
        <v>94</v>
      </c>
      <c r="C1289" s="3">
        <v>101</v>
      </c>
      <c r="D1289" s="3" t="s">
        <v>395</v>
      </c>
      <c r="E1289" s="3" t="s">
        <v>7620</v>
      </c>
      <c r="F1289" s="3" t="s">
        <v>7659</v>
      </c>
      <c r="G1289" s="3" t="s">
        <v>7617</v>
      </c>
    </row>
    <row r="1290" spans="1:7">
      <c r="A1290" s="2">
        <v>36</v>
      </c>
      <c r="B1290" s="2" t="s">
        <v>94</v>
      </c>
      <c r="C1290" s="2">
        <v>103</v>
      </c>
      <c r="D1290" s="2" t="s">
        <v>384</v>
      </c>
      <c r="E1290" s="2" t="s">
        <v>7620</v>
      </c>
      <c r="F1290" s="2" t="s">
        <v>7650</v>
      </c>
      <c r="G1290" s="2" t="s">
        <v>7621</v>
      </c>
    </row>
    <row r="1291" spans="1:7">
      <c r="A1291" s="3">
        <v>36</v>
      </c>
      <c r="B1291" s="3" t="s">
        <v>94</v>
      </c>
      <c r="C1291" s="3">
        <v>181</v>
      </c>
      <c r="D1291" s="3" t="s">
        <v>653</v>
      </c>
      <c r="E1291" s="3" t="s">
        <v>7608</v>
      </c>
      <c r="F1291" s="3" t="s">
        <v>7652</v>
      </c>
      <c r="G1291" s="3" t="s">
        <v>7625</v>
      </c>
    </row>
    <row r="1292" spans="1:7">
      <c r="A1292" s="2">
        <v>36</v>
      </c>
      <c r="B1292" s="2" t="s">
        <v>94</v>
      </c>
      <c r="C1292" s="2">
        <v>191</v>
      </c>
      <c r="D1292" s="2" t="s">
        <v>719</v>
      </c>
      <c r="E1292" s="2" t="s">
        <v>7620</v>
      </c>
      <c r="F1292" s="2" t="s">
        <v>7659</v>
      </c>
      <c r="G1292" s="2" t="s">
        <v>7617</v>
      </c>
    </row>
    <row r="1293" spans="1:7">
      <c r="A1293" s="3">
        <v>36</v>
      </c>
      <c r="B1293" s="3" t="s">
        <v>94</v>
      </c>
      <c r="C1293" s="3">
        <v>195</v>
      </c>
      <c r="D1293" s="3" t="s">
        <v>734</v>
      </c>
      <c r="E1293" s="3" t="s">
        <v>7620</v>
      </c>
      <c r="F1293" s="3" t="s">
        <v>7659</v>
      </c>
      <c r="G1293" s="3" t="s">
        <v>7617</v>
      </c>
    </row>
    <row r="1294" spans="1:7">
      <c r="A1294" s="2">
        <v>36</v>
      </c>
      <c r="B1294" s="2" t="s">
        <v>94</v>
      </c>
      <c r="C1294" s="2">
        <v>196</v>
      </c>
      <c r="D1294" s="2" t="s">
        <v>736</v>
      </c>
      <c r="E1294" s="2" t="s">
        <v>7608</v>
      </c>
      <c r="F1294" s="2" t="s">
        <v>7652</v>
      </c>
      <c r="G1294" s="2" t="s">
        <v>7621</v>
      </c>
    </row>
    <row r="1295" spans="1:7">
      <c r="A1295" s="3">
        <v>36</v>
      </c>
      <c r="B1295" s="3" t="s">
        <v>94</v>
      </c>
      <c r="C1295" s="3">
        <v>198</v>
      </c>
      <c r="D1295" s="3" t="s">
        <v>698</v>
      </c>
      <c r="E1295" s="3" t="s">
        <v>7620</v>
      </c>
      <c r="F1295" s="3" t="s">
        <v>7659</v>
      </c>
      <c r="G1295" s="3" t="s">
        <v>7619</v>
      </c>
    </row>
    <row r="1296" spans="1:7">
      <c r="A1296" s="2">
        <v>36</v>
      </c>
      <c r="B1296" s="2" t="s">
        <v>94</v>
      </c>
      <c r="C1296" s="2">
        <v>199</v>
      </c>
      <c r="D1296" s="2" t="s">
        <v>702</v>
      </c>
      <c r="E1296" s="2" t="s">
        <v>7620</v>
      </c>
      <c r="F1296" s="2" t="s">
        <v>7659</v>
      </c>
      <c r="G1296" s="2" t="s">
        <v>7617</v>
      </c>
    </row>
    <row r="1297" spans="1:7">
      <c r="A1297" s="3">
        <v>36</v>
      </c>
      <c r="B1297" s="3" t="s">
        <v>94</v>
      </c>
      <c r="C1297" s="3">
        <v>200</v>
      </c>
      <c r="D1297" s="3" t="s">
        <v>707</v>
      </c>
      <c r="E1297" s="3" t="s">
        <v>7620</v>
      </c>
      <c r="F1297" s="3" t="s">
        <v>7659</v>
      </c>
      <c r="G1297" s="3" t="s">
        <v>7617</v>
      </c>
    </row>
    <row r="1298" spans="1:7">
      <c r="A1298" s="2">
        <v>36</v>
      </c>
      <c r="B1298" s="2" t="s">
        <v>94</v>
      </c>
      <c r="C1298" s="2">
        <v>201</v>
      </c>
      <c r="D1298" s="2" t="s">
        <v>695</v>
      </c>
      <c r="E1298" s="2" t="s">
        <v>7608</v>
      </c>
      <c r="F1298" s="2" t="s">
        <v>7659</v>
      </c>
      <c r="G1298" s="2" t="s">
        <v>7625</v>
      </c>
    </row>
    <row r="1299" spans="1:7">
      <c r="A1299" s="3">
        <v>36</v>
      </c>
      <c r="B1299" s="3" t="s">
        <v>94</v>
      </c>
      <c r="C1299" s="3">
        <v>203</v>
      </c>
      <c r="D1299" s="3" t="s">
        <v>681</v>
      </c>
      <c r="E1299" s="3" t="s">
        <v>7608</v>
      </c>
      <c r="F1299" s="3" t="s">
        <v>7652</v>
      </c>
      <c r="G1299" s="3" t="s">
        <v>7625</v>
      </c>
    </row>
    <row r="1300" spans="1:7">
      <c r="A1300" s="2">
        <v>36</v>
      </c>
      <c r="B1300" s="2" t="s">
        <v>94</v>
      </c>
      <c r="C1300" s="2">
        <v>204</v>
      </c>
      <c r="D1300" s="2" t="s">
        <v>685</v>
      </c>
      <c r="E1300" s="2" t="s">
        <v>7608</v>
      </c>
      <c r="F1300" s="2" t="s">
        <v>7659</v>
      </c>
      <c r="G1300" s="2" t="s">
        <v>7625</v>
      </c>
    </row>
    <row r="1301" spans="1:7">
      <c r="A1301" s="3">
        <v>36</v>
      </c>
      <c r="B1301" s="3" t="s">
        <v>94</v>
      </c>
      <c r="C1301" s="3">
        <v>205</v>
      </c>
      <c r="D1301" s="3" t="s">
        <v>746</v>
      </c>
      <c r="E1301" s="3" t="s">
        <v>7620</v>
      </c>
      <c r="F1301" s="3" t="s">
        <v>7628</v>
      </c>
      <c r="G1301" s="3" t="s">
        <v>7633</v>
      </c>
    </row>
    <row r="1302" spans="1:7">
      <c r="A1302" s="2">
        <v>36</v>
      </c>
      <c r="B1302" s="2" t="s">
        <v>94</v>
      </c>
      <c r="C1302" s="2">
        <v>207</v>
      </c>
      <c r="D1302" s="2" t="s">
        <v>749</v>
      </c>
      <c r="E1302" s="2" t="s">
        <v>7620</v>
      </c>
      <c r="F1302" s="2" t="s">
        <v>7611</v>
      </c>
      <c r="G1302" s="2" t="s">
        <v>7622</v>
      </c>
    </row>
    <row r="1303" spans="1:7">
      <c r="A1303" s="3">
        <v>36</v>
      </c>
      <c r="B1303" s="3" t="s">
        <v>94</v>
      </c>
      <c r="C1303" s="3">
        <v>208</v>
      </c>
      <c r="D1303" s="3" t="s">
        <v>754</v>
      </c>
      <c r="E1303" s="3" t="s">
        <v>7620</v>
      </c>
      <c r="F1303" s="3" t="s">
        <v>7628</v>
      </c>
      <c r="G1303" s="3" t="s">
        <v>7633</v>
      </c>
    </row>
    <row r="1304" spans="1:7">
      <c r="A1304" s="2">
        <v>36</v>
      </c>
      <c r="B1304" s="2" t="s">
        <v>94</v>
      </c>
      <c r="C1304" s="2">
        <v>209</v>
      </c>
      <c r="D1304" s="2" t="s">
        <v>758</v>
      </c>
      <c r="E1304" s="2" t="s">
        <v>7620</v>
      </c>
      <c r="F1304" s="2" t="s">
        <v>7652</v>
      </c>
      <c r="G1304" s="2" t="s">
        <v>7633</v>
      </c>
    </row>
    <row r="1305" spans="1:7">
      <c r="A1305" s="3">
        <v>36</v>
      </c>
      <c r="B1305" s="3" t="s">
        <v>94</v>
      </c>
      <c r="C1305" s="3">
        <v>221</v>
      </c>
      <c r="D1305" s="3" t="s">
        <v>813</v>
      </c>
      <c r="E1305" s="3" t="s">
        <v>7616</v>
      </c>
      <c r="F1305" s="3" t="s">
        <v>7649</v>
      </c>
      <c r="G1305" s="3" t="s">
        <v>7619</v>
      </c>
    </row>
    <row r="1306" spans="1:7">
      <c r="A1306" s="2">
        <v>36</v>
      </c>
      <c r="B1306" s="2" t="s">
        <v>94</v>
      </c>
      <c r="C1306" s="2">
        <v>264</v>
      </c>
      <c r="D1306" s="2" t="s">
        <v>775</v>
      </c>
      <c r="E1306" s="2" t="s">
        <v>7620</v>
      </c>
      <c r="F1306" s="2" t="s">
        <v>7659</v>
      </c>
      <c r="G1306" s="2" t="s">
        <v>7617</v>
      </c>
    </row>
    <row r="1307" spans="1:7">
      <c r="A1307" s="3">
        <v>36</v>
      </c>
      <c r="B1307" s="3" t="s">
        <v>94</v>
      </c>
      <c r="C1307" s="3">
        <v>312</v>
      </c>
      <c r="D1307" s="3" t="s">
        <v>949</v>
      </c>
      <c r="E1307" s="3" t="s">
        <v>7608</v>
      </c>
      <c r="F1307" s="3" t="s">
        <v>7659</v>
      </c>
      <c r="G1307" s="3" t="s">
        <v>7625</v>
      </c>
    </row>
    <row r="1308" spans="1:7">
      <c r="A1308" s="2">
        <v>36</v>
      </c>
      <c r="B1308" s="2" t="s">
        <v>94</v>
      </c>
      <c r="C1308" s="2">
        <v>341</v>
      </c>
      <c r="D1308" s="2" t="s">
        <v>1052</v>
      </c>
      <c r="E1308" s="2" t="s">
        <v>7620</v>
      </c>
      <c r="F1308" s="2" t="s">
        <v>7649</v>
      </c>
      <c r="G1308" s="2" t="s">
        <v>7609</v>
      </c>
    </row>
    <row r="1309" spans="1:7">
      <c r="A1309" s="3">
        <v>36</v>
      </c>
      <c r="B1309" s="3" t="s">
        <v>94</v>
      </c>
      <c r="C1309" s="3">
        <v>343</v>
      </c>
      <c r="D1309" s="3" t="s">
        <v>977</v>
      </c>
      <c r="E1309" s="3" t="s">
        <v>7620</v>
      </c>
      <c r="F1309" s="3" t="s">
        <v>7659</v>
      </c>
      <c r="G1309" s="3" t="s">
        <v>7609</v>
      </c>
    </row>
    <row r="1310" spans="1:7">
      <c r="A1310" s="2">
        <v>39</v>
      </c>
      <c r="B1310" s="2" t="s">
        <v>133</v>
      </c>
      <c r="C1310" s="2">
        <v>56</v>
      </c>
      <c r="D1310" s="2" t="s">
        <v>12</v>
      </c>
      <c r="E1310" s="2" t="s">
        <v>7616</v>
      </c>
      <c r="F1310" s="2" t="s">
        <v>7628</v>
      </c>
      <c r="G1310" s="2" t="s">
        <v>7636</v>
      </c>
    </row>
    <row r="1311" spans="1:7">
      <c r="A1311" s="3">
        <v>39</v>
      </c>
      <c r="B1311" s="3" t="s">
        <v>133</v>
      </c>
      <c r="C1311" s="3">
        <v>97</v>
      </c>
      <c r="D1311" s="3" t="s">
        <v>457</v>
      </c>
      <c r="E1311" s="3" t="s">
        <v>7620</v>
      </c>
      <c r="F1311" s="3" t="s">
        <v>7628</v>
      </c>
      <c r="G1311" s="3" t="s">
        <v>7622</v>
      </c>
    </row>
    <row r="1312" spans="1:7">
      <c r="A1312" s="2">
        <v>39</v>
      </c>
      <c r="B1312" s="2" t="s">
        <v>133</v>
      </c>
      <c r="C1312" s="2">
        <v>101</v>
      </c>
      <c r="D1312" s="2" t="s">
        <v>395</v>
      </c>
      <c r="E1312" s="2" t="s">
        <v>7620</v>
      </c>
      <c r="F1312" s="2" t="s">
        <v>7628</v>
      </c>
      <c r="G1312" s="2" t="s">
        <v>7622</v>
      </c>
    </row>
    <row r="1313" spans="1:7">
      <c r="A1313" s="3">
        <v>39</v>
      </c>
      <c r="B1313" s="3" t="s">
        <v>133</v>
      </c>
      <c r="C1313" s="3">
        <v>191</v>
      </c>
      <c r="D1313" s="3" t="s">
        <v>719</v>
      </c>
      <c r="E1313" s="3" t="s">
        <v>7620</v>
      </c>
      <c r="F1313" s="3" t="s">
        <v>7628</v>
      </c>
      <c r="G1313" s="3" t="s">
        <v>7622</v>
      </c>
    </row>
    <row r="1314" spans="1:7">
      <c r="A1314" s="2">
        <v>39</v>
      </c>
      <c r="B1314" s="2" t="s">
        <v>133</v>
      </c>
      <c r="C1314" s="2">
        <v>195</v>
      </c>
      <c r="D1314" s="2" t="s">
        <v>734</v>
      </c>
      <c r="E1314" s="2" t="s">
        <v>7620</v>
      </c>
      <c r="F1314" s="2" t="s">
        <v>7628</v>
      </c>
      <c r="G1314" s="2" t="s">
        <v>7622</v>
      </c>
    </row>
    <row r="1315" spans="1:7">
      <c r="A1315" s="3">
        <v>39</v>
      </c>
      <c r="B1315" s="3" t="s">
        <v>133</v>
      </c>
      <c r="C1315" s="3">
        <v>198</v>
      </c>
      <c r="D1315" s="3" t="s">
        <v>698</v>
      </c>
      <c r="E1315" s="3" t="s">
        <v>7620</v>
      </c>
      <c r="F1315" s="3" t="s">
        <v>7628</v>
      </c>
      <c r="G1315" s="3" t="s">
        <v>7622</v>
      </c>
    </row>
    <row r="1316" spans="1:7">
      <c r="A1316" s="2">
        <v>39</v>
      </c>
      <c r="B1316" s="2" t="s">
        <v>133</v>
      </c>
      <c r="C1316" s="2">
        <v>199</v>
      </c>
      <c r="D1316" s="2" t="s">
        <v>702</v>
      </c>
      <c r="E1316" s="2" t="s">
        <v>7620</v>
      </c>
      <c r="F1316" s="2" t="s">
        <v>7628</v>
      </c>
      <c r="G1316" s="2" t="s">
        <v>7622</v>
      </c>
    </row>
    <row r="1317" spans="1:7">
      <c r="A1317" s="3">
        <v>39</v>
      </c>
      <c r="B1317" s="3" t="s">
        <v>133</v>
      </c>
      <c r="C1317" s="3">
        <v>200</v>
      </c>
      <c r="D1317" s="3" t="s">
        <v>707</v>
      </c>
      <c r="E1317" s="3" t="s">
        <v>7620</v>
      </c>
      <c r="F1317" s="3" t="s">
        <v>7628</v>
      </c>
      <c r="G1317" s="3" t="s">
        <v>7622</v>
      </c>
    </row>
    <row r="1318" spans="1:7">
      <c r="A1318" s="2">
        <v>39</v>
      </c>
      <c r="B1318" s="2" t="s">
        <v>133</v>
      </c>
      <c r="C1318" s="2">
        <v>205</v>
      </c>
      <c r="D1318" s="2" t="s">
        <v>746</v>
      </c>
      <c r="E1318" s="2" t="s">
        <v>7620</v>
      </c>
      <c r="F1318" s="2" t="s">
        <v>7628</v>
      </c>
      <c r="G1318" s="2" t="s">
        <v>7622</v>
      </c>
    </row>
    <row r="1319" spans="1:7">
      <c r="A1319" s="3">
        <v>39</v>
      </c>
      <c r="B1319" s="3" t="s">
        <v>133</v>
      </c>
      <c r="C1319" s="3">
        <v>207</v>
      </c>
      <c r="D1319" s="3" t="s">
        <v>749</v>
      </c>
      <c r="E1319" s="3" t="s">
        <v>7620</v>
      </c>
      <c r="F1319" s="3" t="s">
        <v>7611</v>
      </c>
      <c r="G1319" s="3" t="s">
        <v>7625</v>
      </c>
    </row>
    <row r="1320" spans="1:7">
      <c r="A1320" s="2">
        <v>39</v>
      </c>
      <c r="B1320" s="2" t="s">
        <v>133</v>
      </c>
      <c r="C1320" s="2">
        <v>208</v>
      </c>
      <c r="D1320" s="2" t="s">
        <v>754</v>
      </c>
      <c r="E1320" s="2" t="s">
        <v>7620</v>
      </c>
      <c r="F1320" s="2" t="s">
        <v>7628</v>
      </c>
      <c r="G1320" s="2" t="s">
        <v>7622</v>
      </c>
    </row>
    <row r="1321" spans="1:7">
      <c r="A1321" s="3">
        <v>39</v>
      </c>
      <c r="B1321" s="3" t="s">
        <v>133</v>
      </c>
      <c r="C1321" s="3">
        <v>209</v>
      </c>
      <c r="D1321" s="3" t="s">
        <v>758</v>
      </c>
      <c r="E1321" s="3" t="s">
        <v>7620</v>
      </c>
      <c r="F1321" s="3" t="s">
        <v>7635</v>
      </c>
      <c r="G1321" s="3" t="s">
        <v>7625</v>
      </c>
    </row>
    <row r="1322" spans="1:7">
      <c r="A1322" s="2">
        <v>39</v>
      </c>
      <c r="B1322" s="2" t="s">
        <v>133</v>
      </c>
      <c r="C1322" s="2">
        <v>221</v>
      </c>
      <c r="D1322" s="2" t="s">
        <v>813</v>
      </c>
      <c r="E1322" s="2" t="s">
        <v>7616</v>
      </c>
      <c r="F1322" s="2" t="s">
        <v>7611</v>
      </c>
      <c r="G1322" s="2" t="s">
        <v>7609</v>
      </c>
    </row>
    <row r="1323" spans="1:7">
      <c r="A1323" s="3">
        <v>39</v>
      </c>
      <c r="B1323" s="3" t="s">
        <v>133</v>
      </c>
      <c r="C1323" s="3">
        <v>264</v>
      </c>
      <c r="D1323" s="3" t="s">
        <v>775</v>
      </c>
      <c r="E1323" s="3" t="s">
        <v>7620</v>
      </c>
      <c r="F1323" s="3" t="s">
        <v>7628</v>
      </c>
      <c r="G1323" s="3" t="s">
        <v>7622</v>
      </c>
    </row>
    <row r="1324" spans="1:7">
      <c r="A1324" s="2">
        <v>39</v>
      </c>
      <c r="B1324" s="2" t="s">
        <v>133</v>
      </c>
      <c r="C1324" s="2">
        <v>341</v>
      </c>
      <c r="D1324" s="2" t="s">
        <v>1052</v>
      </c>
      <c r="E1324" s="2" t="s">
        <v>7620</v>
      </c>
      <c r="F1324" s="2" t="s">
        <v>7611</v>
      </c>
      <c r="G1324" s="2" t="s">
        <v>7625</v>
      </c>
    </row>
    <row r="1325" spans="1:7">
      <c r="A1325" s="3">
        <v>39</v>
      </c>
      <c r="B1325" s="3" t="s">
        <v>133</v>
      </c>
      <c r="C1325" s="3">
        <v>343</v>
      </c>
      <c r="D1325" s="3" t="s">
        <v>977</v>
      </c>
      <c r="E1325" s="3" t="s">
        <v>7620</v>
      </c>
      <c r="F1325" s="3" t="s">
        <v>7628</v>
      </c>
      <c r="G1325" s="3" t="s">
        <v>7622</v>
      </c>
    </row>
    <row r="1326" spans="1:7">
      <c r="A1326" s="2">
        <v>40</v>
      </c>
      <c r="B1326" s="2" t="s">
        <v>188</v>
      </c>
      <c r="C1326" s="2">
        <v>56</v>
      </c>
      <c r="D1326" s="2" t="s">
        <v>12</v>
      </c>
      <c r="E1326" s="2" t="s">
        <v>7643</v>
      </c>
      <c r="F1326" s="2" t="s">
        <v>7659</v>
      </c>
      <c r="G1326" s="2" t="s">
        <v>7617</v>
      </c>
    </row>
    <row r="1327" spans="1:7">
      <c r="A1327" s="3">
        <v>40</v>
      </c>
      <c r="B1327" s="3" t="s">
        <v>188</v>
      </c>
      <c r="C1327" s="3">
        <v>97</v>
      </c>
      <c r="D1327" s="3" t="s">
        <v>457</v>
      </c>
      <c r="E1327" s="3" t="s">
        <v>7645</v>
      </c>
      <c r="F1327" s="3" t="s">
        <v>7712</v>
      </c>
      <c r="G1327" s="3" t="s">
        <v>7644</v>
      </c>
    </row>
    <row r="1328" spans="1:7">
      <c r="A1328" s="2">
        <v>40</v>
      </c>
      <c r="B1328" s="2" t="s">
        <v>188</v>
      </c>
      <c r="C1328" s="2">
        <v>101</v>
      </c>
      <c r="D1328" s="2" t="s">
        <v>395</v>
      </c>
      <c r="E1328" s="2" t="s">
        <v>7608</v>
      </c>
      <c r="F1328" s="2" t="s">
        <v>7659</v>
      </c>
      <c r="G1328" s="2" t="s">
        <v>7621</v>
      </c>
    </row>
    <row r="1329" spans="1:7">
      <c r="A1329" s="3">
        <v>40</v>
      </c>
      <c r="B1329" s="3" t="s">
        <v>188</v>
      </c>
      <c r="C1329" s="3">
        <v>181</v>
      </c>
      <c r="D1329" s="3" t="s">
        <v>653</v>
      </c>
      <c r="E1329" s="3" t="s">
        <v>7608</v>
      </c>
      <c r="F1329" s="3" t="s">
        <v>7713</v>
      </c>
      <c r="G1329" s="3" t="s">
        <v>7621</v>
      </c>
    </row>
    <row r="1330" spans="1:7">
      <c r="A1330" s="2">
        <v>40</v>
      </c>
      <c r="B1330" s="2" t="s">
        <v>188</v>
      </c>
      <c r="C1330" s="2">
        <v>191</v>
      </c>
      <c r="D1330" s="2" t="s">
        <v>719</v>
      </c>
      <c r="E1330" s="2" t="s">
        <v>7645</v>
      </c>
      <c r="F1330" s="2" t="s">
        <v>7659</v>
      </c>
      <c r="G1330" s="2" t="s">
        <v>7636</v>
      </c>
    </row>
    <row r="1331" spans="1:7">
      <c r="A1331" s="3">
        <v>40</v>
      </c>
      <c r="B1331" s="3" t="s">
        <v>188</v>
      </c>
      <c r="C1331" s="3">
        <v>195</v>
      </c>
      <c r="D1331" s="3" t="s">
        <v>734</v>
      </c>
      <c r="E1331" s="3" t="s">
        <v>7645</v>
      </c>
      <c r="F1331" s="3" t="s">
        <v>7659</v>
      </c>
      <c r="G1331" s="3" t="s">
        <v>7636</v>
      </c>
    </row>
    <row r="1332" spans="1:7">
      <c r="A1332" s="2">
        <v>40</v>
      </c>
      <c r="B1332" s="2" t="s">
        <v>188</v>
      </c>
      <c r="C1332" s="2">
        <v>198</v>
      </c>
      <c r="D1332" s="2" t="s">
        <v>698</v>
      </c>
      <c r="E1332" s="2" t="s">
        <v>7608</v>
      </c>
      <c r="F1332" s="2" t="s">
        <v>7659</v>
      </c>
      <c r="G1332" s="2" t="s">
        <v>7621</v>
      </c>
    </row>
    <row r="1333" spans="1:7">
      <c r="A1333" s="3">
        <v>40</v>
      </c>
      <c r="B1333" s="3" t="s">
        <v>188</v>
      </c>
      <c r="C1333" s="3">
        <v>199</v>
      </c>
      <c r="D1333" s="3" t="s">
        <v>702</v>
      </c>
      <c r="E1333" s="3" t="s">
        <v>7645</v>
      </c>
      <c r="F1333" s="3" t="s">
        <v>7659</v>
      </c>
      <c r="G1333" s="3" t="s">
        <v>7619</v>
      </c>
    </row>
    <row r="1334" spans="1:7">
      <c r="A1334" s="2">
        <v>40</v>
      </c>
      <c r="B1334" s="2" t="s">
        <v>188</v>
      </c>
      <c r="C1334" s="2">
        <v>200</v>
      </c>
      <c r="D1334" s="2" t="s">
        <v>707</v>
      </c>
      <c r="E1334" s="2" t="s">
        <v>7608</v>
      </c>
      <c r="F1334" s="2" t="s">
        <v>7659</v>
      </c>
      <c r="G1334" s="2" t="s">
        <v>7621</v>
      </c>
    </row>
    <row r="1335" spans="1:7">
      <c r="A1335" s="3">
        <v>40</v>
      </c>
      <c r="B1335" s="3" t="s">
        <v>188</v>
      </c>
      <c r="C1335" s="3">
        <v>201</v>
      </c>
      <c r="D1335" s="3" t="s">
        <v>695</v>
      </c>
      <c r="E1335" s="3" t="s">
        <v>7608</v>
      </c>
      <c r="F1335" s="3" t="s">
        <v>7659</v>
      </c>
      <c r="G1335" s="3" t="s">
        <v>7625</v>
      </c>
    </row>
    <row r="1336" spans="1:7">
      <c r="A1336" s="2">
        <v>40</v>
      </c>
      <c r="B1336" s="2" t="s">
        <v>188</v>
      </c>
      <c r="C1336" s="2">
        <v>204</v>
      </c>
      <c r="D1336" s="2" t="s">
        <v>685</v>
      </c>
      <c r="E1336" s="2" t="s">
        <v>7608</v>
      </c>
      <c r="F1336" s="2" t="s">
        <v>7659</v>
      </c>
      <c r="G1336" s="2" t="s">
        <v>7625</v>
      </c>
    </row>
    <row r="1337" spans="1:7">
      <c r="A1337" s="3">
        <v>40</v>
      </c>
      <c r="B1337" s="3" t="s">
        <v>188</v>
      </c>
      <c r="C1337" s="3">
        <v>207</v>
      </c>
      <c r="D1337" s="3" t="s">
        <v>749</v>
      </c>
      <c r="E1337" s="3" t="s">
        <v>7645</v>
      </c>
      <c r="F1337" s="3" t="s">
        <v>7611</v>
      </c>
      <c r="G1337" s="3" t="s">
        <v>7621</v>
      </c>
    </row>
    <row r="1338" spans="1:7">
      <c r="A1338" s="2">
        <v>40</v>
      </c>
      <c r="B1338" s="2" t="s">
        <v>188</v>
      </c>
      <c r="C1338" s="2">
        <v>208</v>
      </c>
      <c r="D1338" s="2" t="s">
        <v>754</v>
      </c>
      <c r="E1338" s="2" t="s">
        <v>7608</v>
      </c>
      <c r="F1338" s="2" t="s">
        <v>7628</v>
      </c>
      <c r="G1338" s="2" t="s">
        <v>7625</v>
      </c>
    </row>
    <row r="1339" spans="1:7">
      <c r="A1339" s="3">
        <v>40</v>
      </c>
      <c r="B1339" s="3" t="s">
        <v>188</v>
      </c>
      <c r="C1339" s="3">
        <v>209</v>
      </c>
      <c r="D1339" s="3" t="s">
        <v>758</v>
      </c>
      <c r="E1339" s="3" t="s">
        <v>7645</v>
      </c>
      <c r="F1339" s="3" t="s">
        <v>7652</v>
      </c>
      <c r="G1339" s="3" t="s">
        <v>7609</v>
      </c>
    </row>
    <row r="1340" spans="1:7">
      <c r="A1340" s="2">
        <v>40</v>
      </c>
      <c r="B1340" s="2" t="s">
        <v>188</v>
      </c>
      <c r="C1340" s="2">
        <v>221</v>
      </c>
      <c r="D1340" s="2" t="s">
        <v>813</v>
      </c>
      <c r="E1340" s="2" t="s">
        <v>7704</v>
      </c>
      <c r="F1340" s="2" t="s">
        <v>7649</v>
      </c>
      <c r="G1340" s="2" t="s">
        <v>7641</v>
      </c>
    </row>
    <row r="1341" spans="1:7">
      <c r="A1341" s="3">
        <v>40</v>
      </c>
      <c r="B1341" s="3" t="s">
        <v>188</v>
      </c>
      <c r="C1341" s="3">
        <v>264</v>
      </c>
      <c r="D1341" s="3" t="s">
        <v>775</v>
      </c>
      <c r="E1341" s="3" t="s">
        <v>7645</v>
      </c>
      <c r="F1341" s="3" t="s">
        <v>7659</v>
      </c>
      <c r="G1341" s="3" t="s">
        <v>7617</v>
      </c>
    </row>
    <row r="1342" spans="1:7">
      <c r="A1342" s="2">
        <v>40</v>
      </c>
      <c r="B1342" s="2" t="s">
        <v>188</v>
      </c>
      <c r="C1342" s="2">
        <v>312</v>
      </c>
      <c r="D1342" s="2" t="s">
        <v>949</v>
      </c>
      <c r="E1342" s="2" t="s">
        <v>7608</v>
      </c>
      <c r="F1342" s="2" t="s">
        <v>7714</v>
      </c>
      <c r="G1342" s="2" t="s">
        <v>7622</v>
      </c>
    </row>
    <row r="1343" spans="1:7">
      <c r="A1343" s="3">
        <v>40</v>
      </c>
      <c r="B1343" s="3" t="s">
        <v>188</v>
      </c>
      <c r="C1343" s="3">
        <v>341</v>
      </c>
      <c r="D1343" s="3" t="s">
        <v>1052</v>
      </c>
      <c r="E1343" s="3" t="s">
        <v>7608</v>
      </c>
      <c r="F1343" s="3" t="s">
        <v>7649</v>
      </c>
      <c r="G1343" s="3" t="s">
        <v>7625</v>
      </c>
    </row>
    <row r="1344" spans="1:7">
      <c r="A1344" s="2">
        <v>40</v>
      </c>
      <c r="B1344" s="2" t="s">
        <v>188</v>
      </c>
      <c r="C1344" s="2">
        <v>343</v>
      </c>
      <c r="D1344" s="2" t="s">
        <v>977</v>
      </c>
      <c r="E1344" s="2" t="s">
        <v>7608</v>
      </c>
      <c r="F1344" s="2" t="s">
        <v>7659</v>
      </c>
      <c r="G1344" s="2" t="s">
        <v>7625</v>
      </c>
    </row>
    <row r="1345" spans="1:7">
      <c r="A1345" s="3">
        <v>41</v>
      </c>
      <c r="B1345" s="3" t="s">
        <v>56</v>
      </c>
      <c r="C1345" s="3">
        <v>56</v>
      </c>
      <c r="D1345" s="3" t="s">
        <v>12</v>
      </c>
      <c r="E1345" s="3" t="s">
        <v>7616</v>
      </c>
      <c r="F1345" s="3" t="s">
        <v>7659</v>
      </c>
      <c r="G1345" s="3" t="s">
        <v>7639</v>
      </c>
    </row>
    <row r="1346" spans="1:7">
      <c r="A1346" s="2">
        <v>41</v>
      </c>
      <c r="B1346" s="2" t="s">
        <v>56</v>
      </c>
      <c r="C1346" s="2">
        <v>97</v>
      </c>
      <c r="D1346" s="2" t="s">
        <v>457</v>
      </c>
      <c r="E1346" s="2" t="s">
        <v>7630</v>
      </c>
      <c r="F1346" s="2" t="s">
        <v>7659</v>
      </c>
      <c r="G1346" s="2" t="s">
        <v>7632</v>
      </c>
    </row>
    <row r="1347" spans="1:7">
      <c r="A1347" s="3">
        <v>41</v>
      </c>
      <c r="B1347" s="3" t="s">
        <v>56</v>
      </c>
      <c r="C1347" s="3">
        <v>101</v>
      </c>
      <c r="D1347" s="3" t="s">
        <v>395</v>
      </c>
      <c r="E1347" s="3" t="s">
        <v>7620</v>
      </c>
      <c r="F1347" s="3" t="s">
        <v>7659</v>
      </c>
      <c r="G1347" s="3" t="s">
        <v>7617</v>
      </c>
    </row>
    <row r="1348" spans="1:7">
      <c r="A1348" s="2">
        <v>41</v>
      </c>
      <c r="B1348" s="2" t="s">
        <v>56</v>
      </c>
      <c r="C1348" s="2">
        <v>103</v>
      </c>
      <c r="D1348" s="2" t="s">
        <v>384</v>
      </c>
      <c r="E1348" s="2" t="s">
        <v>7620</v>
      </c>
      <c r="F1348" s="2" t="s">
        <v>7650</v>
      </c>
      <c r="G1348" s="2" t="s">
        <v>7621</v>
      </c>
    </row>
    <row r="1349" spans="1:7">
      <c r="A1349" s="3">
        <v>41</v>
      </c>
      <c r="B1349" s="3" t="s">
        <v>56</v>
      </c>
      <c r="C1349" s="3">
        <v>191</v>
      </c>
      <c r="D1349" s="3" t="s">
        <v>719</v>
      </c>
      <c r="E1349" s="3" t="s">
        <v>7618</v>
      </c>
      <c r="F1349" s="3" t="s">
        <v>7659</v>
      </c>
      <c r="G1349" s="3" t="s">
        <v>7632</v>
      </c>
    </row>
    <row r="1350" spans="1:7">
      <c r="A1350" s="2">
        <v>41</v>
      </c>
      <c r="B1350" s="2" t="s">
        <v>56</v>
      </c>
      <c r="C1350" s="2">
        <v>195</v>
      </c>
      <c r="D1350" s="2" t="s">
        <v>734</v>
      </c>
      <c r="E1350" s="2" t="s">
        <v>7618</v>
      </c>
      <c r="F1350" s="2" t="s">
        <v>7659</v>
      </c>
      <c r="G1350" s="2" t="s">
        <v>7624</v>
      </c>
    </row>
    <row r="1351" spans="1:7">
      <c r="A1351" s="3">
        <v>41</v>
      </c>
      <c r="B1351" s="3" t="s">
        <v>56</v>
      </c>
      <c r="C1351" s="3">
        <v>198</v>
      </c>
      <c r="D1351" s="3" t="s">
        <v>698</v>
      </c>
      <c r="E1351" s="3" t="s">
        <v>7620</v>
      </c>
      <c r="F1351" s="3" t="s">
        <v>7659</v>
      </c>
      <c r="G1351" s="3" t="s">
        <v>7636</v>
      </c>
    </row>
    <row r="1352" spans="1:7">
      <c r="A1352" s="2">
        <v>41</v>
      </c>
      <c r="B1352" s="2" t="s">
        <v>56</v>
      </c>
      <c r="C1352" s="2">
        <v>199</v>
      </c>
      <c r="D1352" s="2" t="s">
        <v>702</v>
      </c>
      <c r="E1352" s="2" t="s">
        <v>7630</v>
      </c>
      <c r="F1352" s="2" t="s">
        <v>7659</v>
      </c>
      <c r="G1352" s="2" t="s">
        <v>7624</v>
      </c>
    </row>
    <row r="1353" spans="1:7">
      <c r="A1353" s="3">
        <v>41</v>
      </c>
      <c r="B1353" s="3" t="s">
        <v>56</v>
      </c>
      <c r="C1353" s="3">
        <v>200</v>
      </c>
      <c r="D1353" s="3" t="s">
        <v>707</v>
      </c>
      <c r="E1353" s="3" t="s">
        <v>7620</v>
      </c>
      <c r="F1353" s="3" t="s">
        <v>7659</v>
      </c>
      <c r="G1353" s="3" t="s">
        <v>7636</v>
      </c>
    </row>
    <row r="1354" spans="1:7">
      <c r="A1354" s="2">
        <v>41</v>
      </c>
      <c r="B1354" s="2" t="s">
        <v>56</v>
      </c>
      <c r="C1354" s="2">
        <v>201</v>
      </c>
      <c r="D1354" s="2" t="s">
        <v>695</v>
      </c>
      <c r="E1354" s="2" t="s">
        <v>7608</v>
      </c>
      <c r="F1354" s="2" t="s">
        <v>7659</v>
      </c>
      <c r="G1354" s="2" t="s">
        <v>7625</v>
      </c>
    </row>
    <row r="1355" spans="1:7">
      <c r="A1355" s="3">
        <v>41</v>
      </c>
      <c r="B1355" s="3" t="s">
        <v>56</v>
      </c>
      <c r="C1355" s="3">
        <v>204</v>
      </c>
      <c r="D1355" s="3" t="s">
        <v>685</v>
      </c>
      <c r="E1355" s="3" t="s">
        <v>7608</v>
      </c>
      <c r="F1355" s="3" t="s">
        <v>7659</v>
      </c>
      <c r="G1355" s="3" t="s">
        <v>7625</v>
      </c>
    </row>
    <row r="1356" spans="1:7">
      <c r="A1356" s="2">
        <v>41</v>
      </c>
      <c r="B1356" s="2" t="s">
        <v>56</v>
      </c>
      <c r="C1356" s="2">
        <v>205</v>
      </c>
      <c r="D1356" s="2" t="s">
        <v>746</v>
      </c>
      <c r="E1356" s="2" t="s">
        <v>7620</v>
      </c>
      <c r="F1356" s="2" t="s">
        <v>7628</v>
      </c>
      <c r="G1356" s="2" t="s">
        <v>7609</v>
      </c>
    </row>
    <row r="1357" spans="1:7">
      <c r="A1357" s="3">
        <v>41</v>
      </c>
      <c r="B1357" s="3" t="s">
        <v>56</v>
      </c>
      <c r="C1357" s="3">
        <v>207</v>
      </c>
      <c r="D1357" s="3" t="s">
        <v>749</v>
      </c>
      <c r="E1357" s="3" t="s">
        <v>7623</v>
      </c>
      <c r="F1357" s="3" t="s">
        <v>7611</v>
      </c>
      <c r="G1357" s="3" t="s">
        <v>7624</v>
      </c>
    </row>
    <row r="1358" spans="1:7">
      <c r="A1358" s="2">
        <v>41</v>
      </c>
      <c r="B1358" s="2" t="s">
        <v>56</v>
      </c>
      <c r="C1358" s="2">
        <v>208</v>
      </c>
      <c r="D1358" s="2" t="s">
        <v>754</v>
      </c>
      <c r="E1358" s="2" t="s">
        <v>7620</v>
      </c>
      <c r="F1358" s="2" t="s">
        <v>7628</v>
      </c>
      <c r="G1358" s="2" t="s">
        <v>7609</v>
      </c>
    </row>
    <row r="1359" spans="1:7">
      <c r="A1359" s="3">
        <v>41</v>
      </c>
      <c r="B1359" s="3" t="s">
        <v>56</v>
      </c>
      <c r="C1359" s="3">
        <v>209</v>
      </c>
      <c r="D1359" s="3" t="s">
        <v>758</v>
      </c>
      <c r="E1359" s="3" t="s">
        <v>7618</v>
      </c>
      <c r="F1359" s="3" t="s">
        <v>7652</v>
      </c>
      <c r="G1359" s="3" t="s">
        <v>7634</v>
      </c>
    </row>
    <row r="1360" spans="1:7">
      <c r="A1360" s="2">
        <v>41</v>
      </c>
      <c r="B1360" s="2" t="s">
        <v>56</v>
      </c>
      <c r="C1360" s="2">
        <v>221</v>
      </c>
      <c r="D1360" s="2" t="s">
        <v>813</v>
      </c>
      <c r="E1360" s="2" t="s">
        <v>7627</v>
      </c>
      <c r="F1360" s="2" t="s">
        <v>7649</v>
      </c>
      <c r="G1360" s="2" t="s">
        <v>7642</v>
      </c>
    </row>
    <row r="1361" spans="1:7">
      <c r="A1361" s="3">
        <v>41</v>
      </c>
      <c r="B1361" s="3" t="s">
        <v>56</v>
      </c>
      <c r="C1361" s="3">
        <v>264</v>
      </c>
      <c r="D1361" s="3" t="s">
        <v>775</v>
      </c>
      <c r="E1361" s="3" t="s">
        <v>7618</v>
      </c>
      <c r="F1361" s="3" t="s">
        <v>7659</v>
      </c>
      <c r="G1361" s="3" t="s">
        <v>7639</v>
      </c>
    </row>
    <row r="1362" spans="1:7">
      <c r="A1362" s="2">
        <v>41</v>
      </c>
      <c r="B1362" s="2" t="s">
        <v>56</v>
      </c>
      <c r="C1362" s="2">
        <v>312</v>
      </c>
      <c r="D1362" s="2" t="s">
        <v>949</v>
      </c>
      <c r="E1362" s="2" t="s">
        <v>7608</v>
      </c>
      <c r="F1362" s="2" t="s">
        <v>7659</v>
      </c>
      <c r="G1362" s="2" t="s">
        <v>7625</v>
      </c>
    </row>
    <row r="1363" spans="1:7">
      <c r="A1363" s="3">
        <v>41</v>
      </c>
      <c r="B1363" s="3" t="s">
        <v>56</v>
      </c>
      <c r="C1363" s="3">
        <v>341</v>
      </c>
      <c r="D1363" s="3" t="s">
        <v>1052</v>
      </c>
      <c r="E1363" s="3" t="s">
        <v>7620</v>
      </c>
      <c r="F1363" s="3" t="s">
        <v>7649</v>
      </c>
      <c r="G1363" s="3" t="s">
        <v>7609</v>
      </c>
    </row>
    <row r="1364" spans="1:7">
      <c r="A1364" s="2">
        <v>41</v>
      </c>
      <c r="B1364" s="2" t="s">
        <v>56</v>
      </c>
      <c r="C1364" s="2">
        <v>343</v>
      </c>
      <c r="D1364" s="2" t="s">
        <v>977</v>
      </c>
      <c r="E1364" s="2" t="s">
        <v>7620</v>
      </c>
      <c r="F1364" s="2" t="s">
        <v>7659</v>
      </c>
      <c r="G1364" s="2" t="s">
        <v>7609</v>
      </c>
    </row>
    <row r="1365" spans="1:7">
      <c r="A1365" s="3">
        <v>42</v>
      </c>
      <c r="B1365" s="3" t="s">
        <v>62</v>
      </c>
      <c r="C1365" s="3">
        <v>56</v>
      </c>
      <c r="D1365" s="3" t="s">
        <v>12</v>
      </c>
      <c r="E1365" s="3" t="s">
        <v>7616</v>
      </c>
      <c r="F1365" s="3" t="s">
        <v>7659</v>
      </c>
      <c r="G1365" s="3" t="s">
        <v>7639</v>
      </c>
    </row>
    <row r="1366" spans="1:7">
      <c r="A1366" s="2">
        <v>42</v>
      </c>
      <c r="B1366" s="2" t="s">
        <v>62</v>
      </c>
      <c r="C1366" s="2">
        <v>97</v>
      </c>
      <c r="D1366" s="2" t="s">
        <v>457</v>
      </c>
      <c r="E1366" s="2" t="s">
        <v>7618</v>
      </c>
      <c r="F1366" s="2" t="s">
        <v>7659</v>
      </c>
      <c r="G1366" s="2" t="s">
        <v>7624</v>
      </c>
    </row>
    <row r="1367" spans="1:7">
      <c r="A1367" s="3">
        <v>42</v>
      </c>
      <c r="B1367" s="3" t="s">
        <v>62</v>
      </c>
      <c r="C1367" s="3">
        <v>101</v>
      </c>
      <c r="D1367" s="3" t="s">
        <v>395</v>
      </c>
      <c r="E1367" s="3" t="s">
        <v>7620</v>
      </c>
      <c r="F1367" s="3" t="s">
        <v>7659</v>
      </c>
      <c r="G1367" s="3" t="s">
        <v>7609</v>
      </c>
    </row>
    <row r="1368" spans="1:7">
      <c r="A1368" s="2">
        <v>42</v>
      </c>
      <c r="B1368" s="2" t="s">
        <v>62</v>
      </c>
      <c r="C1368" s="2">
        <v>103</v>
      </c>
      <c r="D1368" s="2" t="s">
        <v>384</v>
      </c>
      <c r="E1368" s="2" t="s">
        <v>7620</v>
      </c>
      <c r="F1368" s="2" t="s">
        <v>7650</v>
      </c>
      <c r="G1368" s="2" t="s">
        <v>7621</v>
      </c>
    </row>
    <row r="1369" spans="1:7">
      <c r="A1369" s="3">
        <v>42</v>
      </c>
      <c r="B1369" s="3" t="s">
        <v>62</v>
      </c>
      <c r="C1369" s="3">
        <v>181</v>
      </c>
      <c r="D1369" s="3" t="s">
        <v>653</v>
      </c>
      <c r="E1369" s="3" t="s">
        <v>7715</v>
      </c>
      <c r="F1369" s="3" t="s">
        <v>7652</v>
      </c>
      <c r="G1369" s="3" t="s">
        <v>7622</v>
      </c>
    </row>
    <row r="1370" spans="1:7">
      <c r="A1370" s="2">
        <v>42</v>
      </c>
      <c r="B1370" s="2" t="s">
        <v>62</v>
      </c>
      <c r="C1370" s="2">
        <v>191</v>
      </c>
      <c r="D1370" s="2" t="s">
        <v>719</v>
      </c>
      <c r="E1370" s="2" t="s">
        <v>7618</v>
      </c>
      <c r="F1370" s="2" t="s">
        <v>7659</v>
      </c>
      <c r="G1370" s="2" t="s">
        <v>7634</v>
      </c>
    </row>
    <row r="1371" spans="1:7">
      <c r="A1371" s="3">
        <v>42</v>
      </c>
      <c r="B1371" s="3" t="s">
        <v>62</v>
      </c>
      <c r="C1371" s="3">
        <v>195</v>
      </c>
      <c r="D1371" s="3" t="s">
        <v>734</v>
      </c>
      <c r="E1371" s="3" t="s">
        <v>7618</v>
      </c>
      <c r="F1371" s="3" t="s">
        <v>7659</v>
      </c>
      <c r="G1371" s="3" t="s">
        <v>7639</v>
      </c>
    </row>
    <row r="1372" spans="1:7">
      <c r="A1372" s="2">
        <v>42</v>
      </c>
      <c r="B1372" s="2" t="s">
        <v>62</v>
      </c>
      <c r="C1372" s="2">
        <v>198</v>
      </c>
      <c r="D1372" s="2" t="s">
        <v>698</v>
      </c>
      <c r="E1372" s="2" t="s">
        <v>7620</v>
      </c>
      <c r="F1372" s="2" t="s">
        <v>7659</v>
      </c>
      <c r="G1372" s="2" t="s">
        <v>7617</v>
      </c>
    </row>
    <row r="1373" spans="1:7">
      <c r="A1373" s="3">
        <v>42</v>
      </c>
      <c r="B1373" s="3" t="s">
        <v>62</v>
      </c>
      <c r="C1373" s="3">
        <v>199</v>
      </c>
      <c r="D1373" s="3" t="s">
        <v>702</v>
      </c>
      <c r="E1373" s="3" t="s">
        <v>7618</v>
      </c>
      <c r="F1373" s="3" t="s">
        <v>7659</v>
      </c>
      <c r="G1373" s="3" t="s">
        <v>7639</v>
      </c>
    </row>
    <row r="1374" spans="1:7">
      <c r="A1374" s="2">
        <v>42</v>
      </c>
      <c r="B1374" s="2" t="s">
        <v>62</v>
      </c>
      <c r="C1374" s="2">
        <v>200</v>
      </c>
      <c r="D1374" s="2" t="s">
        <v>707</v>
      </c>
      <c r="E1374" s="2" t="s">
        <v>7620</v>
      </c>
      <c r="F1374" s="2" t="s">
        <v>7659</v>
      </c>
      <c r="G1374" s="2" t="s">
        <v>7636</v>
      </c>
    </row>
    <row r="1375" spans="1:7">
      <c r="A1375" s="3">
        <v>42</v>
      </c>
      <c r="B1375" s="3" t="s">
        <v>62</v>
      </c>
      <c r="C1375" s="3">
        <v>201</v>
      </c>
      <c r="D1375" s="3" t="s">
        <v>695</v>
      </c>
      <c r="E1375" s="3" t="s">
        <v>7608</v>
      </c>
      <c r="F1375" s="3" t="s">
        <v>7659</v>
      </c>
      <c r="G1375" s="3" t="s">
        <v>7625</v>
      </c>
    </row>
    <row r="1376" spans="1:7">
      <c r="A1376" s="2">
        <v>42</v>
      </c>
      <c r="B1376" s="2" t="s">
        <v>62</v>
      </c>
      <c r="C1376" s="2">
        <v>204</v>
      </c>
      <c r="D1376" s="2" t="s">
        <v>685</v>
      </c>
      <c r="E1376" s="2" t="s">
        <v>7608</v>
      </c>
      <c r="F1376" s="2" t="s">
        <v>7659</v>
      </c>
      <c r="G1376" s="2" t="s">
        <v>7625</v>
      </c>
    </row>
    <row r="1377" spans="1:7">
      <c r="A1377" s="3">
        <v>42</v>
      </c>
      <c r="B1377" s="3" t="s">
        <v>62</v>
      </c>
      <c r="C1377" s="3">
        <v>205</v>
      </c>
      <c r="D1377" s="3" t="s">
        <v>746</v>
      </c>
      <c r="E1377" s="3" t="s">
        <v>7620</v>
      </c>
      <c r="F1377" s="3" t="s">
        <v>7628</v>
      </c>
      <c r="G1377" s="3" t="s">
        <v>7633</v>
      </c>
    </row>
    <row r="1378" spans="1:7">
      <c r="A1378" s="2">
        <v>42</v>
      </c>
      <c r="B1378" s="2" t="s">
        <v>62</v>
      </c>
      <c r="C1378" s="2">
        <v>207</v>
      </c>
      <c r="D1378" s="2" t="s">
        <v>749</v>
      </c>
      <c r="E1378" s="2" t="s">
        <v>7623</v>
      </c>
      <c r="F1378" s="2" t="s">
        <v>7611</v>
      </c>
      <c r="G1378" s="2" t="s">
        <v>7639</v>
      </c>
    </row>
    <row r="1379" spans="1:7">
      <c r="A1379" s="3">
        <v>42</v>
      </c>
      <c r="B1379" s="3" t="s">
        <v>62</v>
      </c>
      <c r="C1379" s="3">
        <v>208</v>
      </c>
      <c r="D1379" s="3" t="s">
        <v>754</v>
      </c>
      <c r="E1379" s="3" t="s">
        <v>7620</v>
      </c>
      <c r="F1379" s="3" t="s">
        <v>7628</v>
      </c>
      <c r="G1379" s="3" t="s">
        <v>7622</v>
      </c>
    </row>
    <row r="1380" spans="1:7">
      <c r="A1380" s="2">
        <v>42</v>
      </c>
      <c r="B1380" s="2" t="s">
        <v>62</v>
      </c>
      <c r="C1380" s="2">
        <v>209</v>
      </c>
      <c r="D1380" s="2" t="s">
        <v>758</v>
      </c>
      <c r="E1380" s="2" t="s">
        <v>7618</v>
      </c>
      <c r="F1380" s="2" t="s">
        <v>7652</v>
      </c>
      <c r="G1380" s="2" t="s">
        <v>7619</v>
      </c>
    </row>
    <row r="1381" spans="1:7">
      <c r="A1381" s="3">
        <v>42</v>
      </c>
      <c r="B1381" s="3" t="s">
        <v>62</v>
      </c>
      <c r="C1381" s="3">
        <v>221</v>
      </c>
      <c r="D1381" s="3" t="s">
        <v>813</v>
      </c>
      <c r="E1381" s="3" t="s">
        <v>7658</v>
      </c>
      <c r="F1381" s="3" t="s">
        <v>7649</v>
      </c>
      <c r="G1381" s="3" t="s">
        <v>7642</v>
      </c>
    </row>
    <row r="1382" spans="1:7">
      <c r="A1382" s="2">
        <v>42</v>
      </c>
      <c r="B1382" s="2" t="s">
        <v>62</v>
      </c>
      <c r="C1382" s="2">
        <v>264</v>
      </c>
      <c r="D1382" s="2" t="s">
        <v>775</v>
      </c>
      <c r="E1382" s="2" t="s">
        <v>7716</v>
      </c>
      <c r="F1382" s="2" t="s">
        <v>7659</v>
      </c>
      <c r="G1382" s="2" t="s">
        <v>7641</v>
      </c>
    </row>
    <row r="1383" spans="1:7">
      <c r="A1383" s="3">
        <v>42</v>
      </c>
      <c r="B1383" s="3" t="s">
        <v>62</v>
      </c>
      <c r="C1383" s="3">
        <v>312</v>
      </c>
      <c r="D1383" s="3" t="s">
        <v>949</v>
      </c>
      <c r="E1383" s="3" t="s">
        <v>7608</v>
      </c>
      <c r="F1383" s="3" t="s">
        <v>7659</v>
      </c>
      <c r="G1383" s="3" t="s">
        <v>7625</v>
      </c>
    </row>
    <row r="1384" spans="1:7">
      <c r="A1384" s="2">
        <v>42</v>
      </c>
      <c r="B1384" s="2" t="s">
        <v>62</v>
      </c>
      <c r="C1384" s="2">
        <v>341</v>
      </c>
      <c r="D1384" s="2" t="s">
        <v>1052</v>
      </c>
      <c r="E1384" s="2" t="s">
        <v>7655</v>
      </c>
      <c r="F1384" s="2" t="s">
        <v>7649</v>
      </c>
      <c r="G1384" s="2" t="s">
        <v>7619</v>
      </c>
    </row>
    <row r="1385" spans="1:7">
      <c r="A1385" s="3">
        <v>42</v>
      </c>
      <c r="B1385" s="3" t="s">
        <v>62</v>
      </c>
      <c r="C1385" s="3">
        <v>343</v>
      </c>
      <c r="D1385" s="3" t="s">
        <v>977</v>
      </c>
      <c r="E1385" s="3" t="s">
        <v>7620</v>
      </c>
      <c r="F1385" s="3" t="s">
        <v>7659</v>
      </c>
      <c r="G1385" s="3" t="s">
        <v>7609</v>
      </c>
    </row>
    <row r="1386" spans="1:7">
      <c r="A1386" s="2">
        <v>43</v>
      </c>
      <c r="B1386" s="2" t="s">
        <v>205</v>
      </c>
      <c r="C1386" s="2">
        <v>56</v>
      </c>
      <c r="D1386" s="2" t="s">
        <v>12</v>
      </c>
      <c r="E1386" s="2" t="s">
        <v>7616</v>
      </c>
      <c r="F1386" s="2" t="s">
        <v>7611</v>
      </c>
      <c r="G1386" s="2" t="s">
        <v>7609</v>
      </c>
    </row>
    <row r="1387" spans="1:7">
      <c r="A1387" s="3">
        <v>43</v>
      </c>
      <c r="B1387" s="3" t="s">
        <v>205</v>
      </c>
      <c r="C1387" s="3">
        <v>97</v>
      </c>
      <c r="D1387" s="3" t="s">
        <v>457</v>
      </c>
      <c r="E1387" s="3" t="s">
        <v>7620</v>
      </c>
      <c r="F1387" s="3" t="s">
        <v>7611</v>
      </c>
      <c r="G1387" s="3" t="s">
        <v>7621</v>
      </c>
    </row>
    <row r="1388" spans="1:7">
      <c r="A1388" s="2">
        <v>43</v>
      </c>
      <c r="B1388" s="2" t="s">
        <v>205</v>
      </c>
      <c r="C1388" s="2">
        <v>101</v>
      </c>
      <c r="D1388" s="2" t="s">
        <v>395</v>
      </c>
      <c r="E1388" s="2" t="s">
        <v>7620</v>
      </c>
      <c r="F1388" s="2" t="s">
        <v>7611</v>
      </c>
      <c r="G1388" s="2" t="s">
        <v>7625</v>
      </c>
    </row>
    <row r="1389" spans="1:7">
      <c r="A1389" s="3">
        <v>43</v>
      </c>
      <c r="B1389" s="3" t="s">
        <v>205</v>
      </c>
      <c r="C1389" s="3">
        <v>191</v>
      </c>
      <c r="D1389" s="3" t="s">
        <v>719</v>
      </c>
      <c r="E1389" s="3" t="s">
        <v>7620</v>
      </c>
      <c r="F1389" s="3" t="s">
        <v>7611</v>
      </c>
      <c r="G1389" s="3" t="s">
        <v>7625</v>
      </c>
    </row>
    <row r="1390" spans="1:7">
      <c r="A1390" s="2">
        <v>43</v>
      </c>
      <c r="B1390" s="2" t="s">
        <v>205</v>
      </c>
      <c r="C1390" s="2">
        <v>195</v>
      </c>
      <c r="D1390" s="2" t="s">
        <v>734</v>
      </c>
      <c r="E1390" s="2" t="s">
        <v>7620</v>
      </c>
      <c r="F1390" s="2" t="s">
        <v>7611</v>
      </c>
      <c r="G1390" s="2" t="s">
        <v>7625</v>
      </c>
    </row>
    <row r="1391" spans="1:7">
      <c r="A1391" s="3">
        <v>43</v>
      </c>
      <c r="B1391" s="3" t="s">
        <v>205</v>
      </c>
      <c r="C1391" s="3">
        <v>198</v>
      </c>
      <c r="D1391" s="3" t="s">
        <v>698</v>
      </c>
      <c r="E1391" s="3" t="s">
        <v>7620</v>
      </c>
      <c r="F1391" s="3" t="s">
        <v>7611</v>
      </c>
      <c r="G1391" s="3" t="s">
        <v>7625</v>
      </c>
    </row>
    <row r="1392" spans="1:7">
      <c r="A1392" s="2">
        <v>43</v>
      </c>
      <c r="B1392" s="2" t="s">
        <v>205</v>
      </c>
      <c r="C1392" s="2">
        <v>199</v>
      </c>
      <c r="D1392" s="2" t="s">
        <v>702</v>
      </c>
      <c r="E1392" s="2" t="s">
        <v>7620</v>
      </c>
      <c r="F1392" s="2" t="s">
        <v>7611</v>
      </c>
      <c r="G1392" s="2" t="s">
        <v>7625</v>
      </c>
    </row>
    <row r="1393" spans="1:7">
      <c r="A1393" s="3">
        <v>43</v>
      </c>
      <c r="B1393" s="3" t="s">
        <v>205</v>
      </c>
      <c r="C1393" s="3">
        <v>200</v>
      </c>
      <c r="D1393" s="3" t="s">
        <v>707</v>
      </c>
      <c r="E1393" s="3" t="s">
        <v>7620</v>
      </c>
      <c r="F1393" s="3" t="s">
        <v>7611</v>
      </c>
      <c r="G1393" s="3" t="s">
        <v>7625</v>
      </c>
    </row>
    <row r="1394" spans="1:7">
      <c r="A1394" s="2">
        <v>43</v>
      </c>
      <c r="B1394" s="2" t="s">
        <v>205</v>
      </c>
      <c r="C1394" s="2">
        <v>205</v>
      </c>
      <c r="D1394" s="2" t="s">
        <v>746</v>
      </c>
      <c r="E1394" s="2" t="s">
        <v>7620</v>
      </c>
      <c r="F1394" s="2" t="s">
        <v>7611</v>
      </c>
      <c r="G1394" s="2" t="s">
        <v>7625</v>
      </c>
    </row>
    <row r="1395" spans="1:7">
      <c r="A1395" s="3">
        <v>43</v>
      </c>
      <c r="B1395" s="3" t="s">
        <v>205</v>
      </c>
      <c r="C1395" s="3">
        <v>207</v>
      </c>
      <c r="D1395" s="3" t="s">
        <v>749</v>
      </c>
      <c r="E1395" s="3" t="s">
        <v>7640</v>
      </c>
      <c r="F1395" s="3" t="s">
        <v>7611</v>
      </c>
      <c r="G1395" s="3" t="s">
        <v>7609</v>
      </c>
    </row>
    <row r="1396" spans="1:7">
      <c r="A1396" s="2">
        <v>43</v>
      </c>
      <c r="B1396" s="2" t="s">
        <v>205</v>
      </c>
      <c r="C1396" s="2">
        <v>208</v>
      </c>
      <c r="D1396" s="2" t="s">
        <v>754</v>
      </c>
      <c r="E1396" s="2" t="s">
        <v>7620</v>
      </c>
      <c r="F1396" s="2" t="s">
        <v>7611</v>
      </c>
      <c r="G1396" s="2" t="s">
        <v>7625</v>
      </c>
    </row>
    <row r="1397" spans="1:7">
      <c r="A1397" s="3">
        <v>43</v>
      </c>
      <c r="B1397" s="3" t="s">
        <v>205</v>
      </c>
      <c r="C1397" s="3">
        <v>221</v>
      </c>
      <c r="D1397" s="3" t="s">
        <v>813</v>
      </c>
      <c r="E1397" s="3" t="s">
        <v>7638</v>
      </c>
      <c r="F1397" s="3" t="s">
        <v>7611</v>
      </c>
      <c r="G1397" s="3" t="s">
        <v>7624</v>
      </c>
    </row>
    <row r="1398" spans="1:7">
      <c r="A1398" s="2">
        <v>43</v>
      </c>
      <c r="B1398" s="2" t="s">
        <v>205</v>
      </c>
      <c r="C1398" s="2">
        <v>264</v>
      </c>
      <c r="D1398" s="2" t="s">
        <v>775</v>
      </c>
      <c r="E1398" s="2" t="s">
        <v>7620</v>
      </c>
      <c r="F1398" s="2" t="s">
        <v>7611</v>
      </c>
      <c r="G1398" s="2" t="s">
        <v>7625</v>
      </c>
    </row>
    <row r="1399" spans="1:7">
      <c r="A1399" s="3">
        <v>43</v>
      </c>
      <c r="B1399" s="3" t="s">
        <v>205</v>
      </c>
      <c r="C1399" s="3">
        <v>341</v>
      </c>
      <c r="D1399" s="3" t="s">
        <v>1052</v>
      </c>
      <c r="E1399" s="3" t="s">
        <v>7620</v>
      </c>
      <c r="F1399" s="3" t="s">
        <v>7611</v>
      </c>
      <c r="G1399" s="3" t="s">
        <v>7625</v>
      </c>
    </row>
    <row r="1400" spans="1:7">
      <c r="A1400" s="2">
        <v>43</v>
      </c>
      <c r="B1400" s="2" t="s">
        <v>205</v>
      </c>
      <c r="C1400" s="2">
        <v>343</v>
      </c>
      <c r="D1400" s="2" t="s">
        <v>977</v>
      </c>
      <c r="E1400" s="2" t="s">
        <v>7620</v>
      </c>
      <c r="F1400" s="2" t="s">
        <v>7611</v>
      </c>
      <c r="G1400" s="2" t="s">
        <v>7625</v>
      </c>
    </row>
    <row r="1401" spans="1:7">
      <c r="A1401" s="3">
        <v>44</v>
      </c>
      <c r="B1401" s="3" t="s">
        <v>137</v>
      </c>
      <c r="C1401" s="3">
        <v>56</v>
      </c>
      <c r="D1401" s="3" t="s">
        <v>12</v>
      </c>
      <c r="E1401" s="3" t="s">
        <v>7616</v>
      </c>
      <c r="F1401" s="3" t="s">
        <v>7649</v>
      </c>
      <c r="G1401" s="3" t="s">
        <v>7634</v>
      </c>
    </row>
    <row r="1402" spans="1:7">
      <c r="A1402" s="2">
        <v>44</v>
      </c>
      <c r="B1402" s="2" t="s">
        <v>137</v>
      </c>
      <c r="C1402" s="2">
        <v>97</v>
      </c>
      <c r="D1402" s="2" t="s">
        <v>457</v>
      </c>
      <c r="E1402" s="2" t="s">
        <v>7630</v>
      </c>
      <c r="F1402" s="2" t="s">
        <v>7649</v>
      </c>
      <c r="G1402" s="2" t="s">
        <v>7634</v>
      </c>
    </row>
    <row r="1403" spans="1:7">
      <c r="A1403" s="3">
        <v>44</v>
      </c>
      <c r="B1403" s="3" t="s">
        <v>137</v>
      </c>
      <c r="C1403" s="3">
        <v>101</v>
      </c>
      <c r="D1403" s="3" t="s">
        <v>395</v>
      </c>
      <c r="E1403" s="3" t="s">
        <v>7620</v>
      </c>
      <c r="F1403" s="3" t="s">
        <v>7649</v>
      </c>
      <c r="G1403" s="3" t="s">
        <v>7633</v>
      </c>
    </row>
    <row r="1404" spans="1:7">
      <c r="A1404" s="2">
        <v>44</v>
      </c>
      <c r="B1404" s="2" t="s">
        <v>137</v>
      </c>
      <c r="C1404" s="2">
        <v>103</v>
      </c>
      <c r="D1404" s="2" t="s">
        <v>384</v>
      </c>
      <c r="E1404" s="2" t="s">
        <v>7620</v>
      </c>
      <c r="F1404" s="2" t="s">
        <v>7650</v>
      </c>
      <c r="G1404" s="2" t="s">
        <v>7621</v>
      </c>
    </row>
    <row r="1405" spans="1:7">
      <c r="A1405" s="3">
        <v>44</v>
      </c>
      <c r="B1405" s="3" t="s">
        <v>137</v>
      </c>
      <c r="C1405" s="3">
        <v>191</v>
      </c>
      <c r="D1405" s="3" t="s">
        <v>719</v>
      </c>
      <c r="E1405" s="3" t="s">
        <v>7618</v>
      </c>
      <c r="F1405" s="3" t="s">
        <v>7649</v>
      </c>
      <c r="G1405" s="3" t="s">
        <v>7634</v>
      </c>
    </row>
    <row r="1406" spans="1:7">
      <c r="A1406" s="2">
        <v>44</v>
      </c>
      <c r="B1406" s="2" t="s">
        <v>137</v>
      </c>
      <c r="C1406" s="2">
        <v>195</v>
      </c>
      <c r="D1406" s="2" t="s">
        <v>734</v>
      </c>
      <c r="E1406" s="2" t="s">
        <v>7618</v>
      </c>
      <c r="F1406" s="2" t="s">
        <v>7649</v>
      </c>
      <c r="G1406" s="2" t="s">
        <v>7619</v>
      </c>
    </row>
    <row r="1407" spans="1:7">
      <c r="A1407" s="3">
        <v>44</v>
      </c>
      <c r="B1407" s="3" t="s">
        <v>137</v>
      </c>
      <c r="C1407" s="3">
        <v>198</v>
      </c>
      <c r="D1407" s="3" t="s">
        <v>698</v>
      </c>
      <c r="E1407" s="3" t="s">
        <v>7620</v>
      </c>
      <c r="F1407" s="3" t="s">
        <v>7649</v>
      </c>
      <c r="G1407" s="3" t="s">
        <v>7609</v>
      </c>
    </row>
    <row r="1408" spans="1:7">
      <c r="A1408" s="2">
        <v>44</v>
      </c>
      <c r="B1408" s="2" t="s">
        <v>137</v>
      </c>
      <c r="C1408" s="2">
        <v>199</v>
      </c>
      <c r="D1408" s="2" t="s">
        <v>702</v>
      </c>
      <c r="E1408" s="2" t="s">
        <v>7630</v>
      </c>
      <c r="F1408" s="2" t="s">
        <v>7649</v>
      </c>
      <c r="G1408" s="2" t="s">
        <v>7619</v>
      </c>
    </row>
    <row r="1409" spans="1:7">
      <c r="A1409" s="3">
        <v>44</v>
      </c>
      <c r="B1409" s="3" t="s">
        <v>137</v>
      </c>
      <c r="C1409" s="3">
        <v>200</v>
      </c>
      <c r="D1409" s="3" t="s">
        <v>707</v>
      </c>
      <c r="E1409" s="3" t="s">
        <v>7620</v>
      </c>
      <c r="F1409" s="3" t="s">
        <v>7649</v>
      </c>
      <c r="G1409" s="3" t="s">
        <v>7633</v>
      </c>
    </row>
    <row r="1410" spans="1:7">
      <c r="A1410" s="2">
        <v>44</v>
      </c>
      <c r="B1410" s="2" t="s">
        <v>137</v>
      </c>
      <c r="C1410" s="2">
        <v>205</v>
      </c>
      <c r="D1410" s="2" t="s">
        <v>746</v>
      </c>
      <c r="E1410" s="2" t="s">
        <v>7620</v>
      </c>
      <c r="F1410" s="2" t="s">
        <v>7611</v>
      </c>
      <c r="G1410" s="2" t="s">
        <v>7622</v>
      </c>
    </row>
    <row r="1411" spans="1:7">
      <c r="A1411" s="3">
        <v>44</v>
      </c>
      <c r="B1411" s="3" t="s">
        <v>137</v>
      </c>
      <c r="C1411" s="3">
        <v>207</v>
      </c>
      <c r="D1411" s="3" t="s">
        <v>749</v>
      </c>
      <c r="E1411" s="3" t="s">
        <v>7623</v>
      </c>
      <c r="F1411" s="3" t="s">
        <v>7611</v>
      </c>
      <c r="G1411" s="3" t="s">
        <v>7624</v>
      </c>
    </row>
    <row r="1412" spans="1:7">
      <c r="A1412" s="2">
        <v>44</v>
      </c>
      <c r="B1412" s="2" t="s">
        <v>137</v>
      </c>
      <c r="C1412" s="2">
        <v>208</v>
      </c>
      <c r="D1412" s="2" t="s">
        <v>754</v>
      </c>
      <c r="E1412" s="2" t="s">
        <v>7620</v>
      </c>
      <c r="F1412" s="2" t="s">
        <v>7611</v>
      </c>
      <c r="G1412" s="2" t="s">
        <v>7621</v>
      </c>
    </row>
    <row r="1413" spans="1:7">
      <c r="A1413" s="3">
        <v>44</v>
      </c>
      <c r="B1413" s="3" t="s">
        <v>137</v>
      </c>
      <c r="C1413" s="3">
        <v>209</v>
      </c>
      <c r="D1413" s="3" t="s">
        <v>758</v>
      </c>
      <c r="E1413" s="3" t="s">
        <v>7618</v>
      </c>
      <c r="F1413" s="3" t="s">
        <v>7650</v>
      </c>
      <c r="G1413" s="3" t="s">
        <v>7617</v>
      </c>
    </row>
    <row r="1414" spans="1:7">
      <c r="A1414" s="2">
        <v>44</v>
      </c>
      <c r="B1414" s="2" t="s">
        <v>137</v>
      </c>
      <c r="C1414" s="2">
        <v>221</v>
      </c>
      <c r="D1414" s="2" t="s">
        <v>813</v>
      </c>
      <c r="E1414" s="2" t="s">
        <v>7627</v>
      </c>
      <c r="F1414" s="2" t="s">
        <v>7649</v>
      </c>
      <c r="G1414" s="2" t="s">
        <v>7626</v>
      </c>
    </row>
    <row r="1415" spans="1:7">
      <c r="A1415" s="3">
        <v>44</v>
      </c>
      <c r="B1415" s="3" t="s">
        <v>137</v>
      </c>
      <c r="C1415" s="3">
        <v>264</v>
      </c>
      <c r="D1415" s="3" t="s">
        <v>775</v>
      </c>
      <c r="E1415" s="3" t="s">
        <v>7618</v>
      </c>
      <c r="F1415" s="3" t="s">
        <v>7649</v>
      </c>
      <c r="G1415" s="3" t="s">
        <v>7619</v>
      </c>
    </row>
    <row r="1416" spans="1:7">
      <c r="A1416" s="2">
        <v>44</v>
      </c>
      <c r="B1416" s="2" t="s">
        <v>137</v>
      </c>
      <c r="C1416" s="2">
        <v>341</v>
      </c>
      <c r="D1416" s="2" t="s">
        <v>1052</v>
      </c>
      <c r="E1416" s="2" t="s">
        <v>7620</v>
      </c>
      <c r="F1416" s="2" t="s">
        <v>7649</v>
      </c>
      <c r="G1416" s="2" t="s">
        <v>7609</v>
      </c>
    </row>
    <row r="1417" spans="1:7">
      <c r="A1417" s="3">
        <v>44</v>
      </c>
      <c r="B1417" s="3" t="s">
        <v>137</v>
      </c>
      <c r="C1417" s="3">
        <v>343</v>
      </c>
      <c r="D1417" s="3" t="s">
        <v>977</v>
      </c>
      <c r="E1417" s="3" t="s">
        <v>7620</v>
      </c>
      <c r="F1417" s="3" t="s">
        <v>7649</v>
      </c>
      <c r="G1417" s="3" t="s">
        <v>7633</v>
      </c>
    </row>
    <row r="1418" spans="1:7">
      <c r="A1418" s="2">
        <v>45</v>
      </c>
      <c r="B1418" s="2" t="s">
        <v>197</v>
      </c>
      <c r="C1418" s="2">
        <v>56</v>
      </c>
      <c r="D1418" s="2" t="s">
        <v>12</v>
      </c>
      <c r="E1418" s="2" t="s">
        <v>7616</v>
      </c>
      <c r="F1418" s="2" t="s">
        <v>7649</v>
      </c>
      <c r="G1418" s="2" t="s">
        <v>7619</v>
      </c>
    </row>
    <row r="1419" spans="1:7">
      <c r="A1419" s="3">
        <v>45</v>
      </c>
      <c r="B1419" s="3" t="s">
        <v>197</v>
      </c>
      <c r="C1419" s="3">
        <v>97</v>
      </c>
      <c r="D1419" s="3" t="s">
        <v>457</v>
      </c>
      <c r="E1419" s="3" t="s">
        <v>7620</v>
      </c>
      <c r="F1419" s="3" t="s">
        <v>7717</v>
      </c>
      <c r="G1419" s="3" t="s">
        <v>7617</v>
      </c>
    </row>
    <row r="1420" spans="1:7">
      <c r="A1420" s="2">
        <v>45</v>
      </c>
      <c r="B1420" s="2" t="s">
        <v>197</v>
      </c>
      <c r="C1420" s="2">
        <v>101</v>
      </c>
      <c r="D1420" s="2" t="s">
        <v>395</v>
      </c>
      <c r="E1420" s="2" t="s">
        <v>7620</v>
      </c>
      <c r="F1420" s="2" t="s">
        <v>7718</v>
      </c>
      <c r="G1420" s="2" t="s">
        <v>7617</v>
      </c>
    </row>
    <row r="1421" spans="1:7">
      <c r="A1421" s="3">
        <v>45</v>
      </c>
      <c r="B1421" s="3" t="s">
        <v>197</v>
      </c>
      <c r="C1421" s="3">
        <v>103</v>
      </c>
      <c r="D1421" s="3" t="s">
        <v>384</v>
      </c>
      <c r="E1421" s="3" t="s">
        <v>7620</v>
      </c>
      <c r="F1421" s="3" t="s">
        <v>7650</v>
      </c>
      <c r="G1421" s="3" t="s">
        <v>7625</v>
      </c>
    </row>
    <row r="1422" spans="1:7">
      <c r="A1422" s="2">
        <v>45</v>
      </c>
      <c r="B1422" s="2" t="s">
        <v>197</v>
      </c>
      <c r="C1422" s="2">
        <v>191</v>
      </c>
      <c r="D1422" s="2" t="s">
        <v>719</v>
      </c>
      <c r="E1422" s="2" t="s">
        <v>7620</v>
      </c>
      <c r="F1422" s="2" t="s">
        <v>7649</v>
      </c>
      <c r="G1422" s="2" t="s">
        <v>7633</v>
      </c>
    </row>
    <row r="1423" spans="1:7">
      <c r="A1423" s="3">
        <v>45</v>
      </c>
      <c r="B1423" s="3" t="s">
        <v>197</v>
      </c>
      <c r="C1423" s="3">
        <v>195</v>
      </c>
      <c r="D1423" s="3" t="s">
        <v>734</v>
      </c>
      <c r="E1423" s="3" t="s">
        <v>7620</v>
      </c>
      <c r="F1423" s="3" t="s">
        <v>7649</v>
      </c>
      <c r="G1423" s="3" t="s">
        <v>7633</v>
      </c>
    </row>
    <row r="1424" spans="1:7">
      <c r="A1424" s="2">
        <v>45</v>
      </c>
      <c r="B1424" s="2" t="s">
        <v>197</v>
      </c>
      <c r="C1424" s="2">
        <v>198</v>
      </c>
      <c r="D1424" s="2" t="s">
        <v>698</v>
      </c>
      <c r="E1424" s="2" t="s">
        <v>7620</v>
      </c>
      <c r="F1424" s="2" t="s">
        <v>7649</v>
      </c>
      <c r="G1424" s="2" t="s">
        <v>7633</v>
      </c>
    </row>
    <row r="1425" spans="1:7">
      <c r="A1425" s="3">
        <v>45</v>
      </c>
      <c r="B1425" s="3" t="s">
        <v>197</v>
      </c>
      <c r="C1425" s="3">
        <v>199</v>
      </c>
      <c r="D1425" s="3" t="s">
        <v>702</v>
      </c>
      <c r="E1425" s="3" t="s">
        <v>7620</v>
      </c>
      <c r="F1425" s="3" t="s">
        <v>7718</v>
      </c>
      <c r="G1425" s="3" t="s">
        <v>7617</v>
      </c>
    </row>
    <row r="1426" spans="1:7">
      <c r="A1426" s="2">
        <v>45</v>
      </c>
      <c r="B1426" s="2" t="s">
        <v>197</v>
      </c>
      <c r="C1426" s="2">
        <v>200</v>
      </c>
      <c r="D1426" s="2" t="s">
        <v>707</v>
      </c>
      <c r="E1426" s="2" t="s">
        <v>7620</v>
      </c>
      <c r="F1426" s="2" t="s">
        <v>7649</v>
      </c>
      <c r="G1426" s="2" t="s">
        <v>7622</v>
      </c>
    </row>
    <row r="1427" spans="1:7">
      <c r="A1427" s="3">
        <v>45</v>
      </c>
      <c r="B1427" s="3" t="s">
        <v>197</v>
      </c>
      <c r="C1427" s="3">
        <v>205</v>
      </c>
      <c r="D1427" s="3" t="s">
        <v>746</v>
      </c>
      <c r="E1427" s="3" t="s">
        <v>7620</v>
      </c>
      <c r="F1427" s="3" t="s">
        <v>7683</v>
      </c>
      <c r="G1427" s="3" t="s">
        <v>7633</v>
      </c>
    </row>
    <row r="1428" spans="1:7">
      <c r="A1428" s="2">
        <v>45</v>
      </c>
      <c r="B1428" s="2" t="s">
        <v>197</v>
      </c>
      <c r="C1428" s="2">
        <v>207</v>
      </c>
      <c r="D1428" s="2" t="s">
        <v>749</v>
      </c>
      <c r="E1428" s="2" t="s">
        <v>7620</v>
      </c>
      <c r="F1428" s="2" t="s">
        <v>7611</v>
      </c>
      <c r="G1428" s="2" t="s">
        <v>7622</v>
      </c>
    </row>
    <row r="1429" spans="1:7">
      <c r="A1429" s="3">
        <v>45</v>
      </c>
      <c r="B1429" s="3" t="s">
        <v>197</v>
      </c>
      <c r="C1429" s="3">
        <v>208</v>
      </c>
      <c r="D1429" s="3" t="s">
        <v>754</v>
      </c>
      <c r="E1429" s="3" t="s">
        <v>7620</v>
      </c>
      <c r="F1429" s="3" t="s">
        <v>7683</v>
      </c>
      <c r="G1429" s="3" t="s">
        <v>7633</v>
      </c>
    </row>
    <row r="1430" spans="1:7">
      <c r="A1430" s="2">
        <v>45</v>
      </c>
      <c r="B1430" s="2" t="s">
        <v>197</v>
      </c>
      <c r="C1430" s="2">
        <v>209</v>
      </c>
      <c r="D1430" s="2" t="s">
        <v>758</v>
      </c>
      <c r="E1430" s="2" t="s">
        <v>7620</v>
      </c>
      <c r="F1430" s="2" t="s">
        <v>7719</v>
      </c>
      <c r="G1430" s="2" t="s">
        <v>7633</v>
      </c>
    </row>
    <row r="1431" spans="1:7">
      <c r="A1431" s="3">
        <v>45</v>
      </c>
      <c r="B1431" s="3" t="s">
        <v>197</v>
      </c>
      <c r="C1431" s="3">
        <v>221</v>
      </c>
      <c r="D1431" s="3" t="s">
        <v>813</v>
      </c>
      <c r="E1431" s="3" t="s">
        <v>7616</v>
      </c>
      <c r="F1431" s="3" t="s">
        <v>7649</v>
      </c>
      <c r="G1431" s="3" t="s">
        <v>7619</v>
      </c>
    </row>
    <row r="1432" spans="1:7">
      <c r="A1432" s="2">
        <v>45</v>
      </c>
      <c r="B1432" s="2" t="s">
        <v>197</v>
      </c>
      <c r="C1432" s="2">
        <v>264</v>
      </c>
      <c r="D1432" s="2" t="s">
        <v>775</v>
      </c>
      <c r="E1432" s="2" t="s">
        <v>7620</v>
      </c>
      <c r="F1432" s="2" t="s">
        <v>7649</v>
      </c>
      <c r="G1432" s="2" t="s">
        <v>7633</v>
      </c>
    </row>
    <row r="1433" spans="1:7">
      <c r="A1433" s="3">
        <v>45</v>
      </c>
      <c r="B1433" s="3" t="s">
        <v>197</v>
      </c>
      <c r="C1433" s="3">
        <v>312</v>
      </c>
      <c r="D1433" s="3" t="s">
        <v>949</v>
      </c>
      <c r="E1433" s="3" t="s">
        <v>7608</v>
      </c>
      <c r="F1433" s="3" t="s">
        <v>7720</v>
      </c>
      <c r="G1433" s="3" t="s">
        <v>7625</v>
      </c>
    </row>
    <row r="1434" spans="1:7">
      <c r="A1434" s="2">
        <v>45</v>
      </c>
      <c r="B1434" s="2" t="s">
        <v>197</v>
      </c>
      <c r="C1434" s="2">
        <v>341</v>
      </c>
      <c r="D1434" s="2" t="s">
        <v>1052</v>
      </c>
      <c r="E1434" s="2" t="s">
        <v>7620</v>
      </c>
      <c r="F1434" s="2" t="s">
        <v>7649</v>
      </c>
      <c r="G1434" s="2" t="s">
        <v>7609</v>
      </c>
    </row>
    <row r="1435" spans="1:7">
      <c r="A1435" s="3">
        <v>45</v>
      </c>
      <c r="B1435" s="3" t="s">
        <v>197</v>
      </c>
      <c r="C1435" s="3">
        <v>343</v>
      </c>
      <c r="D1435" s="3" t="s">
        <v>977</v>
      </c>
      <c r="E1435" s="3" t="s">
        <v>7620</v>
      </c>
      <c r="F1435" s="3" t="s">
        <v>7649</v>
      </c>
      <c r="G1435" s="3" t="s">
        <v>7622</v>
      </c>
    </row>
    <row r="1436" spans="1:7">
      <c r="A1436" s="2">
        <v>46</v>
      </c>
      <c r="B1436" s="2" t="s">
        <v>89</v>
      </c>
      <c r="C1436" s="2">
        <v>56</v>
      </c>
      <c r="D1436" s="2" t="s">
        <v>12</v>
      </c>
      <c r="E1436" s="2" t="s">
        <v>7616</v>
      </c>
      <c r="F1436" s="2" t="s">
        <v>7611</v>
      </c>
      <c r="G1436" s="2" t="s">
        <v>7636</v>
      </c>
    </row>
    <row r="1437" spans="1:7">
      <c r="A1437" s="3">
        <v>46</v>
      </c>
      <c r="B1437" s="3" t="s">
        <v>89</v>
      </c>
      <c r="C1437" s="3">
        <v>97</v>
      </c>
      <c r="D1437" s="3" t="s">
        <v>457</v>
      </c>
      <c r="E1437" s="3" t="s">
        <v>7630</v>
      </c>
      <c r="F1437" s="3" t="s">
        <v>7721</v>
      </c>
      <c r="G1437" s="3" t="s">
        <v>7634</v>
      </c>
    </row>
    <row r="1438" spans="1:7">
      <c r="A1438" s="2">
        <v>46</v>
      </c>
      <c r="B1438" s="2" t="s">
        <v>89</v>
      </c>
      <c r="C1438" s="2">
        <v>101</v>
      </c>
      <c r="D1438" s="2" t="s">
        <v>395</v>
      </c>
      <c r="E1438" s="2" t="s">
        <v>7620</v>
      </c>
      <c r="F1438" s="2" t="s">
        <v>7611</v>
      </c>
      <c r="G1438" s="2" t="s">
        <v>7621</v>
      </c>
    </row>
    <row r="1439" spans="1:7">
      <c r="A1439" s="3">
        <v>46</v>
      </c>
      <c r="B1439" s="3" t="s">
        <v>89</v>
      </c>
      <c r="C1439" s="3">
        <v>103</v>
      </c>
      <c r="D1439" s="3" t="s">
        <v>384</v>
      </c>
      <c r="E1439" s="3" t="s">
        <v>7620</v>
      </c>
      <c r="F1439" s="3" t="s">
        <v>7608</v>
      </c>
      <c r="G1439" s="3" t="s">
        <v>7625</v>
      </c>
    </row>
    <row r="1440" spans="1:7">
      <c r="A1440" s="2">
        <v>46</v>
      </c>
      <c r="B1440" s="2" t="s">
        <v>89</v>
      </c>
      <c r="C1440" s="2">
        <v>191</v>
      </c>
      <c r="D1440" s="2" t="s">
        <v>719</v>
      </c>
      <c r="E1440" s="2" t="s">
        <v>7618</v>
      </c>
      <c r="F1440" s="2" t="s">
        <v>7611</v>
      </c>
      <c r="G1440" s="2" t="s">
        <v>7636</v>
      </c>
    </row>
    <row r="1441" spans="1:7">
      <c r="A1441" s="3">
        <v>46</v>
      </c>
      <c r="B1441" s="3" t="s">
        <v>89</v>
      </c>
      <c r="C1441" s="3">
        <v>195</v>
      </c>
      <c r="D1441" s="3" t="s">
        <v>734</v>
      </c>
      <c r="E1441" s="3" t="s">
        <v>7618</v>
      </c>
      <c r="F1441" s="3" t="s">
        <v>7611</v>
      </c>
      <c r="G1441" s="3" t="s">
        <v>7619</v>
      </c>
    </row>
    <row r="1442" spans="1:7">
      <c r="A1442" s="2">
        <v>46</v>
      </c>
      <c r="B1442" s="2" t="s">
        <v>89</v>
      </c>
      <c r="C1442" s="2">
        <v>198</v>
      </c>
      <c r="D1442" s="2" t="s">
        <v>698</v>
      </c>
      <c r="E1442" s="2" t="s">
        <v>7620</v>
      </c>
      <c r="F1442" s="2" t="s">
        <v>7611</v>
      </c>
      <c r="G1442" s="2" t="s">
        <v>7633</v>
      </c>
    </row>
    <row r="1443" spans="1:7">
      <c r="A1443" s="3">
        <v>46</v>
      </c>
      <c r="B1443" s="3" t="s">
        <v>89</v>
      </c>
      <c r="C1443" s="3">
        <v>199</v>
      </c>
      <c r="D1443" s="3" t="s">
        <v>702</v>
      </c>
      <c r="E1443" s="3" t="s">
        <v>7630</v>
      </c>
      <c r="F1443" s="3" t="s">
        <v>7611</v>
      </c>
      <c r="G1443" s="3" t="s">
        <v>7617</v>
      </c>
    </row>
    <row r="1444" spans="1:7">
      <c r="A1444" s="2">
        <v>46</v>
      </c>
      <c r="B1444" s="2" t="s">
        <v>89</v>
      </c>
      <c r="C1444" s="2">
        <v>200</v>
      </c>
      <c r="D1444" s="2" t="s">
        <v>707</v>
      </c>
      <c r="E1444" s="2" t="s">
        <v>7620</v>
      </c>
      <c r="F1444" s="2" t="s">
        <v>7611</v>
      </c>
      <c r="G1444" s="2" t="s">
        <v>7633</v>
      </c>
    </row>
    <row r="1445" spans="1:7">
      <c r="A1445" s="3">
        <v>46</v>
      </c>
      <c r="B1445" s="3" t="s">
        <v>89</v>
      </c>
      <c r="C1445" s="3">
        <v>205</v>
      </c>
      <c r="D1445" s="3" t="s">
        <v>746</v>
      </c>
      <c r="E1445" s="3" t="s">
        <v>7620</v>
      </c>
      <c r="F1445" s="3" t="s">
        <v>7611</v>
      </c>
      <c r="G1445" s="3" t="s">
        <v>7622</v>
      </c>
    </row>
    <row r="1446" spans="1:7">
      <c r="A1446" s="2">
        <v>46</v>
      </c>
      <c r="B1446" s="2" t="s">
        <v>89</v>
      </c>
      <c r="C1446" s="2">
        <v>207</v>
      </c>
      <c r="D1446" s="2" t="s">
        <v>749</v>
      </c>
      <c r="E1446" s="2" t="s">
        <v>7618</v>
      </c>
      <c r="F1446" s="2" t="s">
        <v>7611</v>
      </c>
      <c r="G1446" s="2" t="s">
        <v>7636</v>
      </c>
    </row>
    <row r="1447" spans="1:7">
      <c r="A1447" s="3">
        <v>46</v>
      </c>
      <c r="B1447" s="3" t="s">
        <v>89</v>
      </c>
      <c r="C1447" s="3">
        <v>208</v>
      </c>
      <c r="D1447" s="3" t="s">
        <v>754</v>
      </c>
      <c r="E1447" s="3" t="s">
        <v>7620</v>
      </c>
      <c r="F1447" s="3" t="s">
        <v>7611</v>
      </c>
      <c r="G1447" s="3" t="s">
        <v>7621</v>
      </c>
    </row>
    <row r="1448" spans="1:7">
      <c r="A1448" s="2">
        <v>46</v>
      </c>
      <c r="B1448" s="2" t="s">
        <v>89</v>
      </c>
      <c r="C1448" s="2">
        <v>209</v>
      </c>
      <c r="D1448" s="2" t="s">
        <v>758</v>
      </c>
      <c r="E1448" s="2" t="s">
        <v>7618</v>
      </c>
      <c r="F1448" s="2" t="s">
        <v>7608</v>
      </c>
      <c r="G1448" s="2" t="s">
        <v>7617</v>
      </c>
    </row>
    <row r="1449" spans="1:7">
      <c r="A1449" s="3">
        <v>46</v>
      </c>
      <c r="B1449" s="3" t="s">
        <v>89</v>
      </c>
      <c r="C1449" s="3">
        <v>221</v>
      </c>
      <c r="D1449" s="3" t="s">
        <v>813</v>
      </c>
      <c r="E1449" s="3" t="s">
        <v>7610</v>
      </c>
      <c r="F1449" s="3" t="s">
        <v>7611</v>
      </c>
      <c r="G1449" s="3" t="s">
        <v>7624</v>
      </c>
    </row>
    <row r="1450" spans="1:7">
      <c r="A1450" s="2">
        <v>46</v>
      </c>
      <c r="B1450" s="2" t="s">
        <v>89</v>
      </c>
      <c r="C1450" s="2">
        <v>264</v>
      </c>
      <c r="D1450" s="2" t="s">
        <v>775</v>
      </c>
      <c r="E1450" s="2" t="s">
        <v>7618</v>
      </c>
      <c r="F1450" s="2" t="s">
        <v>7611</v>
      </c>
      <c r="G1450" s="2" t="s">
        <v>7617</v>
      </c>
    </row>
    <row r="1451" spans="1:7">
      <c r="A1451" s="3">
        <v>46</v>
      </c>
      <c r="B1451" s="3" t="s">
        <v>89</v>
      </c>
      <c r="C1451" s="3">
        <v>341</v>
      </c>
      <c r="D1451" s="3" t="s">
        <v>1052</v>
      </c>
      <c r="E1451" s="3" t="s">
        <v>7620</v>
      </c>
      <c r="F1451" s="3" t="s">
        <v>7611</v>
      </c>
      <c r="G1451" s="3" t="s">
        <v>7621</v>
      </c>
    </row>
    <row r="1452" spans="1:7">
      <c r="A1452" s="2">
        <v>46</v>
      </c>
      <c r="B1452" s="2" t="s">
        <v>89</v>
      </c>
      <c r="C1452" s="2">
        <v>343</v>
      </c>
      <c r="D1452" s="2" t="s">
        <v>977</v>
      </c>
      <c r="E1452" s="2" t="s">
        <v>7620</v>
      </c>
      <c r="F1452" s="2" t="s">
        <v>7611</v>
      </c>
      <c r="G1452" s="2" t="s">
        <v>7625</v>
      </c>
    </row>
    <row r="1453" spans="1:7">
      <c r="A1453" s="3">
        <v>47</v>
      </c>
      <c r="B1453" s="3" t="s">
        <v>100</v>
      </c>
      <c r="C1453" s="3">
        <v>56</v>
      </c>
      <c r="D1453" s="3" t="s">
        <v>12</v>
      </c>
      <c r="E1453" s="3" t="s">
        <v>7616</v>
      </c>
      <c r="F1453" s="3" t="s">
        <v>7659</v>
      </c>
      <c r="G1453" s="3" t="s">
        <v>7634</v>
      </c>
    </row>
    <row r="1454" spans="1:7">
      <c r="A1454" s="2">
        <v>47</v>
      </c>
      <c r="B1454" s="2" t="s">
        <v>100</v>
      </c>
      <c r="C1454" s="2">
        <v>97</v>
      </c>
      <c r="D1454" s="2" t="s">
        <v>457</v>
      </c>
      <c r="E1454" s="2" t="s">
        <v>7620</v>
      </c>
      <c r="F1454" s="2" t="s">
        <v>7659</v>
      </c>
      <c r="G1454" s="2" t="s">
        <v>7636</v>
      </c>
    </row>
    <row r="1455" spans="1:7">
      <c r="A1455" s="3">
        <v>47</v>
      </c>
      <c r="B1455" s="3" t="s">
        <v>100</v>
      </c>
      <c r="C1455" s="3">
        <v>101</v>
      </c>
      <c r="D1455" s="3" t="s">
        <v>395</v>
      </c>
      <c r="E1455" s="3" t="s">
        <v>7620</v>
      </c>
      <c r="F1455" s="3" t="s">
        <v>7659</v>
      </c>
      <c r="G1455" s="3" t="s">
        <v>7609</v>
      </c>
    </row>
    <row r="1456" spans="1:7">
      <c r="A1456" s="2">
        <v>47</v>
      </c>
      <c r="B1456" s="2" t="s">
        <v>100</v>
      </c>
      <c r="C1456" s="2">
        <v>103</v>
      </c>
      <c r="D1456" s="2" t="s">
        <v>384</v>
      </c>
      <c r="E1456" s="2" t="s">
        <v>7620</v>
      </c>
      <c r="F1456" s="2" t="s">
        <v>7650</v>
      </c>
      <c r="G1456" s="2" t="s">
        <v>7621</v>
      </c>
    </row>
    <row r="1457" spans="1:7">
      <c r="A1457" s="3">
        <v>47</v>
      </c>
      <c r="B1457" s="3" t="s">
        <v>100</v>
      </c>
      <c r="C1457" s="3">
        <v>189</v>
      </c>
      <c r="D1457" s="3" t="s">
        <v>742</v>
      </c>
      <c r="E1457" s="3" t="s">
        <v>7653</v>
      </c>
      <c r="F1457" s="3" t="s">
        <v>7608</v>
      </c>
      <c r="G1457" s="3" t="s">
        <v>7621</v>
      </c>
    </row>
    <row r="1458" spans="1:7">
      <c r="A1458" s="2">
        <v>47</v>
      </c>
      <c r="B1458" s="2" t="s">
        <v>100</v>
      </c>
      <c r="C1458" s="2">
        <v>191</v>
      </c>
      <c r="D1458" s="2" t="s">
        <v>719</v>
      </c>
      <c r="E1458" s="2" t="s">
        <v>7620</v>
      </c>
      <c r="F1458" s="2" t="s">
        <v>7659</v>
      </c>
      <c r="G1458" s="2" t="s">
        <v>7636</v>
      </c>
    </row>
    <row r="1459" spans="1:7">
      <c r="A1459" s="3">
        <v>47</v>
      </c>
      <c r="B1459" s="3" t="s">
        <v>100</v>
      </c>
      <c r="C1459" s="3">
        <v>195</v>
      </c>
      <c r="D1459" s="3" t="s">
        <v>734</v>
      </c>
      <c r="E1459" s="3" t="s">
        <v>7620</v>
      </c>
      <c r="F1459" s="3" t="s">
        <v>7659</v>
      </c>
      <c r="G1459" s="3" t="s">
        <v>7617</v>
      </c>
    </row>
    <row r="1460" spans="1:7">
      <c r="A1460" s="2">
        <v>47</v>
      </c>
      <c r="B1460" s="2" t="s">
        <v>100</v>
      </c>
      <c r="C1460" s="2">
        <v>198</v>
      </c>
      <c r="D1460" s="2" t="s">
        <v>698</v>
      </c>
      <c r="E1460" s="2" t="s">
        <v>7620</v>
      </c>
      <c r="F1460" s="2" t="s">
        <v>7659</v>
      </c>
      <c r="G1460" s="2" t="s">
        <v>7636</v>
      </c>
    </row>
    <row r="1461" spans="1:7">
      <c r="A1461" s="3">
        <v>47</v>
      </c>
      <c r="B1461" s="3" t="s">
        <v>100</v>
      </c>
      <c r="C1461" s="3">
        <v>199</v>
      </c>
      <c r="D1461" s="3" t="s">
        <v>702</v>
      </c>
      <c r="E1461" s="3" t="s">
        <v>7654</v>
      </c>
      <c r="F1461" s="3" t="s">
        <v>7659</v>
      </c>
      <c r="G1461" s="3" t="s">
        <v>7639</v>
      </c>
    </row>
    <row r="1462" spans="1:7">
      <c r="A1462" s="2">
        <v>47</v>
      </c>
      <c r="B1462" s="2" t="s">
        <v>100</v>
      </c>
      <c r="C1462" s="2">
        <v>200</v>
      </c>
      <c r="D1462" s="2" t="s">
        <v>707</v>
      </c>
      <c r="E1462" s="2" t="s">
        <v>7654</v>
      </c>
      <c r="F1462" s="2" t="s">
        <v>7659</v>
      </c>
      <c r="G1462" s="2" t="s">
        <v>7644</v>
      </c>
    </row>
    <row r="1463" spans="1:7">
      <c r="A1463" s="3">
        <v>47</v>
      </c>
      <c r="B1463" s="3" t="s">
        <v>100</v>
      </c>
      <c r="C1463" s="3">
        <v>201</v>
      </c>
      <c r="D1463" s="3" t="s">
        <v>695</v>
      </c>
      <c r="E1463" s="3" t="s">
        <v>7608</v>
      </c>
      <c r="F1463" s="3" t="s">
        <v>7659</v>
      </c>
      <c r="G1463" s="3" t="s">
        <v>7625</v>
      </c>
    </row>
    <row r="1464" spans="1:7">
      <c r="A1464" s="2">
        <v>47</v>
      </c>
      <c r="B1464" s="2" t="s">
        <v>100</v>
      </c>
      <c r="C1464" s="2">
        <v>204</v>
      </c>
      <c r="D1464" s="2" t="s">
        <v>685</v>
      </c>
      <c r="E1464" s="2" t="s">
        <v>7608</v>
      </c>
      <c r="F1464" s="2" t="s">
        <v>7659</v>
      </c>
      <c r="G1464" s="2" t="s">
        <v>7625</v>
      </c>
    </row>
    <row r="1465" spans="1:7">
      <c r="A1465" s="3">
        <v>47</v>
      </c>
      <c r="B1465" s="3" t="s">
        <v>100</v>
      </c>
      <c r="C1465" s="3">
        <v>205</v>
      </c>
      <c r="D1465" s="3" t="s">
        <v>746</v>
      </c>
      <c r="E1465" s="3" t="s">
        <v>7620</v>
      </c>
      <c r="F1465" s="3" t="s">
        <v>7628</v>
      </c>
      <c r="G1465" s="3" t="s">
        <v>7633</v>
      </c>
    </row>
    <row r="1466" spans="1:7">
      <c r="A1466" s="2">
        <v>47</v>
      </c>
      <c r="B1466" s="2" t="s">
        <v>100</v>
      </c>
      <c r="C1466" s="2">
        <v>207</v>
      </c>
      <c r="D1466" s="2" t="s">
        <v>749</v>
      </c>
      <c r="E1466" s="2" t="s">
        <v>7640</v>
      </c>
      <c r="F1466" s="2" t="s">
        <v>7611</v>
      </c>
      <c r="G1466" s="2" t="s">
        <v>7636</v>
      </c>
    </row>
    <row r="1467" spans="1:7">
      <c r="A1467" s="3">
        <v>47</v>
      </c>
      <c r="B1467" s="3" t="s">
        <v>100</v>
      </c>
      <c r="C1467" s="3">
        <v>208</v>
      </c>
      <c r="D1467" s="3" t="s">
        <v>754</v>
      </c>
      <c r="E1467" s="3" t="s">
        <v>7620</v>
      </c>
      <c r="F1467" s="3" t="s">
        <v>7628</v>
      </c>
      <c r="G1467" s="3" t="s">
        <v>7622</v>
      </c>
    </row>
    <row r="1468" spans="1:7">
      <c r="A1468" s="2">
        <v>47</v>
      </c>
      <c r="B1468" s="2" t="s">
        <v>100</v>
      </c>
      <c r="C1468" s="2">
        <v>209</v>
      </c>
      <c r="D1468" s="2" t="s">
        <v>758</v>
      </c>
      <c r="E1468" s="2" t="s">
        <v>7620</v>
      </c>
      <c r="F1468" s="2" t="s">
        <v>7652</v>
      </c>
      <c r="G1468" s="2" t="s">
        <v>7633</v>
      </c>
    </row>
    <row r="1469" spans="1:7">
      <c r="A1469" s="3">
        <v>47</v>
      </c>
      <c r="B1469" s="3" t="s">
        <v>100</v>
      </c>
      <c r="C1469" s="3">
        <v>221</v>
      </c>
      <c r="D1469" s="3" t="s">
        <v>813</v>
      </c>
      <c r="E1469" s="3" t="s">
        <v>7638</v>
      </c>
      <c r="F1469" s="3" t="s">
        <v>7649</v>
      </c>
      <c r="G1469" s="3" t="s">
        <v>7624</v>
      </c>
    </row>
    <row r="1470" spans="1:7">
      <c r="A1470" s="2">
        <v>47</v>
      </c>
      <c r="B1470" s="2" t="s">
        <v>100</v>
      </c>
      <c r="C1470" s="2">
        <v>264</v>
      </c>
      <c r="D1470" s="2" t="s">
        <v>775</v>
      </c>
      <c r="E1470" s="2" t="s">
        <v>7620</v>
      </c>
      <c r="F1470" s="2" t="s">
        <v>7659</v>
      </c>
      <c r="G1470" s="2" t="s">
        <v>7609</v>
      </c>
    </row>
    <row r="1471" spans="1:7">
      <c r="A1471" s="3">
        <v>47</v>
      </c>
      <c r="B1471" s="3" t="s">
        <v>100</v>
      </c>
      <c r="C1471" s="3">
        <v>312</v>
      </c>
      <c r="D1471" s="3" t="s">
        <v>949</v>
      </c>
      <c r="E1471" s="3" t="s">
        <v>7608</v>
      </c>
      <c r="F1471" s="3" t="s">
        <v>7659</v>
      </c>
      <c r="G1471" s="3" t="s">
        <v>7625</v>
      </c>
    </row>
    <row r="1472" spans="1:7">
      <c r="A1472" s="2">
        <v>47</v>
      </c>
      <c r="B1472" s="2" t="s">
        <v>100</v>
      </c>
      <c r="C1472" s="2">
        <v>341</v>
      </c>
      <c r="D1472" s="2" t="s">
        <v>1052</v>
      </c>
      <c r="E1472" s="2" t="s">
        <v>7620</v>
      </c>
      <c r="F1472" s="2" t="s">
        <v>7649</v>
      </c>
      <c r="G1472" s="2" t="s">
        <v>7633</v>
      </c>
    </row>
    <row r="1473" spans="1:7">
      <c r="A1473" s="3">
        <v>47</v>
      </c>
      <c r="B1473" s="3" t="s">
        <v>100</v>
      </c>
      <c r="C1473" s="3">
        <v>343</v>
      </c>
      <c r="D1473" s="3" t="s">
        <v>977</v>
      </c>
      <c r="E1473" s="3" t="s">
        <v>7620</v>
      </c>
      <c r="F1473" s="3" t="s">
        <v>7659</v>
      </c>
      <c r="G1473" s="3" t="s">
        <v>7609</v>
      </c>
    </row>
    <row r="1474" spans="1:7">
      <c r="A1474" s="2">
        <v>48</v>
      </c>
      <c r="B1474" s="2" t="s">
        <v>167</v>
      </c>
      <c r="C1474" s="2">
        <v>56</v>
      </c>
      <c r="D1474" s="2" t="s">
        <v>12</v>
      </c>
      <c r="E1474" s="2" t="s">
        <v>7616</v>
      </c>
      <c r="F1474" s="2" t="s">
        <v>7649</v>
      </c>
      <c r="G1474" s="2" t="s">
        <v>7619</v>
      </c>
    </row>
    <row r="1475" spans="1:7">
      <c r="A1475" s="3">
        <v>48</v>
      </c>
      <c r="B1475" s="3" t="s">
        <v>167</v>
      </c>
      <c r="C1475" s="3">
        <v>97</v>
      </c>
      <c r="D1475" s="3" t="s">
        <v>457</v>
      </c>
      <c r="E1475" s="3" t="s">
        <v>7620</v>
      </c>
      <c r="F1475" s="3" t="s">
        <v>7649</v>
      </c>
      <c r="G1475" s="3" t="s">
        <v>7636</v>
      </c>
    </row>
    <row r="1476" spans="1:7">
      <c r="A1476" s="2">
        <v>48</v>
      </c>
      <c r="B1476" s="2" t="s">
        <v>167</v>
      </c>
      <c r="C1476" s="2">
        <v>101</v>
      </c>
      <c r="D1476" s="2" t="s">
        <v>395</v>
      </c>
      <c r="E1476" s="2" t="s">
        <v>7620</v>
      </c>
      <c r="F1476" s="2" t="s">
        <v>7649</v>
      </c>
      <c r="G1476" s="2" t="s">
        <v>7633</v>
      </c>
    </row>
    <row r="1477" spans="1:7">
      <c r="A1477" s="3">
        <v>48</v>
      </c>
      <c r="B1477" s="3" t="s">
        <v>167</v>
      </c>
      <c r="C1477" s="3">
        <v>103</v>
      </c>
      <c r="D1477" s="3" t="s">
        <v>384</v>
      </c>
      <c r="E1477" s="3" t="s">
        <v>7620</v>
      </c>
      <c r="F1477" s="3" t="s">
        <v>7650</v>
      </c>
      <c r="G1477" s="3" t="s">
        <v>7625</v>
      </c>
    </row>
    <row r="1478" spans="1:7">
      <c r="A1478" s="2">
        <v>48</v>
      </c>
      <c r="B1478" s="2" t="s">
        <v>167</v>
      </c>
      <c r="C1478" s="2">
        <v>189</v>
      </c>
      <c r="D1478" s="2" t="s">
        <v>742</v>
      </c>
      <c r="E1478" s="2" t="s">
        <v>7653</v>
      </c>
      <c r="F1478" s="2" t="s">
        <v>7608</v>
      </c>
      <c r="G1478" s="2" t="s">
        <v>7625</v>
      </c>
    </row>
    <row r="1479" spans="1:7">
      <c r="A1479" s="3">
        <v>48</v>
      </c>
      <c r="B1479" s="3" t="s">
        <v>167</v>
      </c>
      <c r="C1479" s="3">
        <v>191</v>
      </c>
      <c r="D1479" s="3" t="s">
        <v>719</v>
      </c>
      <c r="E1479" s="3" t="s">
        <v>7620</v>
      </c>
      <c r="F1479" s="3" t="s">
        <v>7649</v>
      </c>
      <c r="G1479" s="3" t="s">
        <v>7636</v>
      </c>
    </row>
    <row r="1480" spans="1:7">
      <c r="A1480" s="2">
        <v>48</v>
      </c>
      <c r="B1480" s="2" t="s">
        <v>167</v>
      </c>
      <c r="C1480" s="2">
        <v>195</v>
      </c>
      <c r="D1480" s="2" t="s">
        <v>734</v>
      </c>
      <c r="E1480" s="2" t="s">
        <v>7620</v>
      </c>
      <c r="F1480" s="2" t="s">
        <v>7649</v>
      </c>
      <c r="G1480" s="2" t="s">
        <v>7633</v>
      </c>
    </row>
    <row r="1481" spans="1:7">
      <c r="A1481" s="3">
        <v>48</v>
      </c>
      <c r="B1481" s="3" t="s">
        <v>167</v>
      </c>
      <c r="C1481" s="3">
        <v>198</v>
      </c>
      <c r="D1481" s="3" t="s">
        <v>698</v>
      </c>
      <c r="E1481" s="3" t="s">
        <v>7620</v>
      </c>
      <c r="F1481" s="3" t="s">
        <v>7649</v>
      </c>
      <c r="G1481" s="3" t="s">
        <v>7609</v>
      </c>
    </row>
    <row r="1482" spans="1:7">
      <c r="A1482" s="2">
        <v>48</v>
      </c>
      <c r="B1482" s="2" t="s">
        <v>167</v>
      </c>
      <c r="C1482" s="2">
        <v>199</v>
      </c>
      <c r="D1482" s="2" t="s">
        <v>702</v>
      </c>
      <c r="E1482" s="2" t="s">
        <v>7654</v>
      </c>
      <c r="F1482" s="2" t="s">
        <v>7649</v>
      </c>
      <c r="G1482" s="2" t="s">
        <v>7634</v>
      </c>
    </row>
    <row r="1483" spans="1:7">
      <c r="A1483" s="3">
        <v>48</v>
      </c>
      <c r="B1483" s="3" t="s">
        <v>167</v>
      </c>
      <c r="C1483" s="3">
        <v>200</v>
      </c>
      <c r="D1483" s="3" t="s">
        <v>707</v>
      </c>
      <c r="E1483" s="3" t="s">
        <v>7654</v>
      </c>
      <c r="F1483" s="3" t="s">
        <v>7649</v>
      </c>
      <c r="G1483" s="3" t="s">
        <v>7639</v>
      </c>
    </row>
    <row r="1484" spans="1:7">
      <c r="A1484" s="2">
        <v>48</v>
      </c>
      <c r="B1484" s="2" t="s">
        <v>167</v>
      </c>
      <c r="C1484" s="2">
        <v>205</v>
      </c>
      <c r="D1484" s="2" t="s">
        <v>746</v>
      </c>
      <c r="E1484" s="2" t="s">
        <v>7620</v>
      </c>
      <c r="F1484" s="2" t="s">
        <v>7611</v>
      </c>
      <c r="G1484" s="2" t="s">
        <v>7621</v>
      </c>
    </row>
    <row r="1485" spans="1:7">
      <c r="A1485" s="3">
        <v>48</v>
      </c>
      <c r="B1485" s="3" t="s">
        <v>167</v>
      </c>
      <c r="C1485" s="3">
        <v>207</v>
      </c>
      <c r="D1485" s="3" t="s">
        <v>749</v>
      </c>
      <c r="E1485" s="3" t="s">
        <v>7640</v>
      </c>
      <c r="F1485" s="3" t="s">
        <v>7611</v>
      </c>
      <c r="G1485" s="3" t="s">
        <v>7617</v>
      </c>
    </row>
    <row r="1486" spans="1:7">
      <c r="A1486" s="2">
        <v>48</v>
      </c>
      <c r="B1486" s="2" t="s">
        <v>167</v>
      </c>
      <c r="C1486" s="2">
        <v>208</v>
      </c>
      <c r="D1486" s="2" t="s">
        <v>754</v>
      </c>
      <c r="E1486" s="2" t="s">
        <v>7620</v>
      </c>
      <c r="F1486" s="2" t="s">
        <v>7611</v>
      </c>
      <c r="G1486" s="2" t="s">
        <v>7622</v>
      </c>
    </row>
    <row r="1487" spans="1:7">
      <c r="A1487" s="3">
        <v>48</v>
      </c>
      <c r="B1487" s="3" t="s">
        <v>167</v>
      </c>
      <c r="C1487" s="3">
        <v>209</v>
      </c>
      <c r="D1487" s="3" t="s">
        <v>758</v>
      </c>
      <c r="E1487" s="3" t="s">
        <v>7620</v>
      </c>
      <c r="F1487" s="3" t="s">
        <v>7650</v>
      </c>
      <c r="G1487" s="3" t="s">
        <v>7621</v>
      </c>
    </row>
    <row r="1488" spans="1:7">
      <c r="A1488" s="2">
        <v>48</v>
      </c>
      <c r="B1488" s="2" t="s">
        <v>167</v>
      </c>
      <c r="C1488" s="2">
        <v>221</v>
      </c>
      <c r="D1488" s="2" t="s">
        <v>813</v>
      </c>
      <c r="E1488" s="2" t="s">
        <v>7638</v>
      </c>
      <c r="F1488" s="2" t="s">
        <v>7649</v>
      </c>
      <c r="G1488" s="2" t="s">
        <v>7641</v>
      </c>
    </row>
    <row r="1489" spans="1:7">
      <c r="A1489" s="3">
        <v>48</v>
      </c>
      <c r="B1489" s="3" t="s">
        <v>167</v>
      </c>
      <c r="C1489" s="3">
        <v>264</v>
      </c>
      <c r="D1489" s="3" t="s">
        <v>775</v>
      </c>
      <c r="E1489" s="3" t="s">
        <v>7620</v>
      </c>
      <c r="F1489" s="3" t="s">
        <v>7649</v>
      </c>
      <c r="G1489" s="3" t="s">
        <v>7633</v>
      </c>
    </row>
    <row r="1490" spans="1:7">
      <c r="A1490" s="2">
        <v>48</v>
      </c>
      <c r="B1490" s="2" t="s">
        <v>167</v>
      </c>
      <c r="C1490" s="2">
        <v>341</v>
      </c>
      <c r="D1490" s="2" t="s">
        <v>1052</v>
      </c>
      <c r="E1490" s="2" t="s">
        <v>7620</v>
      </c>
      <c r="F1490" s="2" t="s">
        <v>7649</v>
      </c>
      <c r="G1490" s="2" t="s">
        <v>7609</v>
      </c>
    </row>
    <row r="1491" spans="1:7">
      <c r="A1491" s="3">
        <v>48</v>
      </c>
      <c r="B1491" s="3" t="s">
        <v>167</v>
      </c>
      <c r="C1491" s="3">
        <v>343</v>
      </c>
      <c r="D1491" s="3" t="s">
        <v>977</v>
      </c>
      <c r="E1491" s="3" t="s">
        <v>7620</v>
      </c>
      <c r="F1491" s="3" t="s">
        <v>7649</v>
      </c>
      <c r="G1491" s="3" t="s">
        <v>7622</v>
      </c>
    </row>
    <row r="1492" spans="1:7">
      <c r="A1492" s="2">
        <v>49</v>
      </c>
      <c r="B1492" s="2" t="s">
        <v>158</v>
      </c>
      <c r="C1492" s="2">
        <v>56</v>
      </c>
      <c r="D1492" s="2" t="s">
        <v>12</v>
      </c>
      <c r="E1492" s="2" t="s">
        <v>7616</v>
      </c>
      <c r="F1492" s="2" t="s">
        <v>7608</v>
      </c>
      <c r="G1492" s="2" t="s">
        <v>7633</v>
      </c>
    </row>
    <row r="1493" spans="1:7">
      <c r="A1493" s="3">
        <v>49</v>
      </c>
      <c r="B1493" s="3" t="s">
        <v>158</v>
      </c>
      <c r="C1493" s="3">
        <v>191</v>
      </c>
      <c r="D1493" s="3" t="s">
        <v>719</v>
      </c>
      <c r="E1493" s="3" t="s">
        <v>7620</v>
      </c>
      <c r="F1493" s="3" t="s">
        <v>7608</v>
      </c>
      <c r="G1493" s="3" t="s">
        <v>7625</v>
      </c>
    </row>
    <row r="1494" spans="1:7">
      <c r="A1494" s="2">
        <v>49</v>
      </c>
      <c r="B1494" s="2" t="s">
        <v>158</v>
      </c>
      <c r="C1494" s="2">
        <v>195</v>
      </c>
      <c r="D1494" s="2" t="s">
        <v>734</v>
      </c>
      <c r="E1494" s="2" t="s">
        <v>7620</v>
      </c>
      <c r="F1494" s="2" t="s">
        <v>7608</v>
      </c>
      <c r="G1494" s="2" t="s">
        <v>7621</v>
      </c>
    </row>
    <row r="1495" spans="1:7">
      <c r="A1495" s="3">
        <v>49</v>
      </c>
      <c r="B1495" s="3" t="s">
        <v>158</v>
      </c>
      <c r="C1495" s="3">
        <v>198</v>
      </c>
      <c r="D1495" s="3" t="s">
        <v>698</v>
      </c>
      <c r="E1495" s="3" t="s">
        <v>7620</v>
      </c>
      <c r="F1495" s="3" t="s">
        <v>7608</v>
      </c>
      <c r="G1495" s="3" t="s">
        <v>7625</v>
      </c>
    </row>
    <row r="1496" spans="1:7">
      <c r="A1496" s="2">
        <v>49</v>
      </c>
      <c r="B1496" s="2" t="s">
        <v>158</v>
      </c>
      <c r="C1496" s="2">
        <v>205</v>
      </c>
      <c r="D1496" s="2" t="s">
        <v>746</v>
      </c>
      <c r="E1496" s="2" t="s">
        <v>7620</v>
      </c>
      <c r="F1496" s="2" t="s">
        <v>7608</v>
      </c>
      <c r="G1496" s="2" t="s">
        <v>7625</v>
      </c>
    </row>
    <row r="1497" spans="1:7">
      <c r="A1497" s="3">
        <v>49</v>
      </c>
      <c r="B1497" s="3" t="s">
        <v>158</v>
      </c>
      <c r="C1497" s="3">
        <v>207</v>
      </c>
      <c r="D1497" s="3" t="s">
        <v>749</v>
      </c>
      <c r="E1497" s="3" t="s">
        <v>7620</v>
      </c>
      <c r="F1497" s="3" t="s">
        <v>7608</v>
      </c>
      <c r="G1497" s="3" t="s">
        <v>7625</v>
      </c>
    </row>
    <row r="1498" spans="1:7">
      <c r="A1498" s="2">
        <v>49</v>
      </c>
      <c r="B1498" s="2" t="s">
        <v>158</v>
      </c>
      <c r="C1498" s="2">
        <v>208</v>
      </c>
      <c r="D1498" s="2" t="s">
        <v>754</v>
      </c>
      <c r="E1498" s="2" t="s">
        <v>7620</v>
      </c>
      <c r="F1498" s="2" t="s">
        <v>7608</v>
      </c>
      <c r="G1498" s="2" t="s">
        <v>7621</v>
      </c>
    </row>
    <row r="1499" spans="1:7">
      <c r="A1499" s="3">
        <v>49</v>
      </c>
      <c r="B1499" s="3" t="s">
        <v>158</v>
      </c>
      <c r="C1499" s="3">
        <v>209</v>
      </c>
      <c r="D1499" s="3" t="s">
        <v>758</v>
      </c>
      <c r="E1499" s="3" t="s">
        <v>7620</v>
      </c>
      <c r="F1499" s="3" t="s">
        <v>7608</v>
      </c>
      <c r="G1499" s="3" t="s">
        <v>7625</v>
      </c>
    </row>
    <row r="1500" spans="1:7">
      <c r="A1500" s="2">
        <v>49</v>
      </c>
      <c r="B1500" s="2" t="s">
        <v>158</v>
      </c>
      <c r="C1500" s="2">
        <v>221</v>
      </c>
      <c r="D1500" s="2" t="s">
        <v>813</v>
      </c>
      <c r="E1500" s="2" t="s">
        <v>7616</v>
      </c>
      <c r="F1500" s="2" t="s">
        <v>7608</v>
      </c>
      <c r="G1500" s="2" t="s">
        <v>7633</v>
      </c>
    </row>
    <row r="1501" spans="1:7">
      <c r="A1501" s="3">
        <v>49</v>
      </c>
      <c r="B1501" s="3" t="s">
        <v>158</v>
      </c>
      <c r="C1501" s="3">
        <v>341</v>
      </c>
      <c r="D1501" s="3" t="s">
        <v>1052</v>
      </c>
      <c r="E1501" s="3" t="s">
        <v>7620</v>
      </c>
      <c r="F1501" s="3" t="s">
        <v>7608</v>
      </c>
      <c r="G1501" s="3" t="s">
        <v>7625</v>
      </c>
    </row>
    <row r="1502" spans="1:7">
      <c r="A1502" s="2">
        <v>50</v>
      </c>
      <c r="B1502" s="2" t="s">
        <v>212</v>
      </c>
      <c r="C1502" s="2">
        <v>56</v>
      </c>
      <c r="D1502" s="2" t="s">
        <v>12</v>
      </c>
      <c r="E1502" s="2" t="s">
        <v>7616</v>
      </c>
      <c r="F1502" s="2" t="s">
        <v>7611</v>
      </c>
      <c r="G1502" s="2" t="s">
        <v>7636</v>
      </c>
    </row>
    <row r="1503" spans="1:7">
      <c r="A1503" s="3">
        <v>50</v>
      </c>
      <c r="B1503" s="3" t="s">
        <v>212</v>
      </c>
      <c r="C1503" s="3">
        <v>97</v>
      </c>
      <c r="D1503" s="3" t="s">
        <v>457</v>
      </c>
      <c r="E1503" s="3" t="s">
        <v>7630</v>
      </c>
      <c r="F1503" s="3" t="s">
        <v>7611</v>
      </c>
      <c r="G1503" s="3" t="s">
        <v>7617</v>
      </c>
    </row>
    <row r="1504" spans="1:7">
      <c r="A1504" s="2">
        <v>50</v>
      </c>
      <c r="B1504" s="2" t="s">
        <v>212</v>
      </c>
      <c r="C1504" s="2">
        <v>101</v>
      </c>
      <c r="D1504" s="2" t="s">
        <v>395</v>
      </c>
      <c r="E1504" s="2" t="s">
        <v>7620</v>
      </c>
      <c r="F1504" s="2" t="s">
        <v>7611</v>
      </c>
      <c r="G1504" s="2" t="s">
        <v>7621</v>
      </c>
    </row>
    <row r="1505" spans="1:7">
      <c r="A1505" s="3">
        <v>50</v>
      </c>
      <c r="B1505" s="3" t="s">
        <v>212</v>
      </c>
      <c r="C1505" s="3">
        <v>103</v>
      </c>
      <c r="D1505" s="3" t="s">
        <v>384</v>
      </c>
      <c r="E1505" s="3" t="s">
        <v>7620</v>
      </c>
      <c r="F1505" s="3" t="s">
        <v>7608</v>
      </c>
      <c r="G1505" s="3" t="s">
        <v>7625</v>
      </c>
    </row>
    <row r="1506" spans="1:7">
      <c r="A1506" s="2">
        <v>50</v>
      </c>
      <c r="B1506" s="2" t="s">
        <v>212</v>
      </c>
      <c r="C1506" s="2">
        <v>191</v>
      </c>
      <c r="D1506" s="2" t="s">
        <v>719</v>
      </c>
      <c r="E1506" s="2" t="s">
        <v>7618</v>
      </c>
      <c r="F1506" s="2" t="s">
        <v>7611</v>
      </c>
      <c r="G1506" s="2" t="s">
        <v>7636</v>
      </c>
    </row>
    <row r="1507" spans="1:7">
      <c r="A1507" s="3">
        <v>50</v>
      </c>
      <c r="B1507" s="3" t="s">
        <v>212</v>
      </c>
      <c r="C1507" s="3">
        <v>195</v>
      </c>
      <c r="D1507" s="3" t="s">
        <v>734</v>
      </c>
      <c r="E1507" s="3" t="s">
        <v>7630</v>
      </c>
      <c r="F1507" s="3" t="s">
        <v>7611</v>
      </c>
      <c r="G1507" s="3" t="s">
        <v>7636</v>
      </c>
    </row>
    <row r="1508" spans="1:7">
      <c r="A1508" s="2">
        <v>50</v>
      </c>
      <c r="B1508" s="2" t="s">
        <v>212</v>
      </c>
      <c r="C1508" s="2">
        <v>198</v>
      </c>
      <c r="D1508" s="2" t="s">
        <v>698</v>
      </c>
      <c r="E1508" s="2" t="s">
        <v>7620</v>
      </c>
      <c r="F1508" s="2" t="s">
        <v>7611</v>
      </c>
      <c r="G1508" s="2" t="s">
        <v>7633</v>
      </c>
    </row>
    <row r="1509" spans="1:7">
      <c r="A1509" s="3">
        <v>50</v>
      </c>
      <c r="B1509" s="3" t="s">
        <v>212</v>
      </c>
      <c r="C1509" s="3">
        <v>199</v>
      </c>
      <c r="D1509" s="3" t="s">
        <v>702</v>
      </c>
      <c r="E1509" s="3" t="s">
        <v>7630</v>
      </c>
      <c r="F1509" s="3" t="s">
        <v>7611</v>
      </c>
      <c r="G1509" s="3" t="s">
        <v>7617</v>
      </c>
    </row>
    <row r="1510" spans="1:7">
      <c r="A1510" s="2">
        <v>50</v>
      </c>
      <c r="B1510" s="2" t="s">
        <v>212</v>
      </c>
      <c r="C1510" s="2">
        <v>200</v>
      </c>
      <c r="D1510" s="2" t="s">
        <v>707</v>
      </c>
      <c r="E1510" s="2" t="s">
        <v>7620</v>
      </c>
      <c r="F1510" s="2" t="s">
        <v>7611</v>
      </c>
      <c r="G1510" s="2" t="s">
        <v>7633</v>
      </c>
    </row>
    <row r="1511" spans="1:7">
      <c r="A1511" s="3">
        <v>50</v>
      </c>
      <c r="B1511" s="3" t="s">
        <v>212</v>
      </c>
      <c r="C1511" s="3">
        <v>205</v>
      </c>
      <c r="D1511" s="3" t="s">
        <v>746</v>
      </c>
      <c r="E1511" s="3" t="s">
        <v>7620</v>
      </c>
      <c r="F1511" s="3" t="s">
        <v>7611</v>
      </c>
      <c r="G1511" s="3" t="s">
        <v>7622</v>
      </c>
    </row>
    <row r="1512" spans="1:7">
      <c r="A1512" s="2">
        <v>50</v>
      </c>
      <c r="B1512" s="2" t="s">
        <v>212</v>
      </c>
      <c r="C1512" s="2">
        <v>207</v>
      </c>
      <c r="D1512" s="2" t="s">
        <v>749</v>
      </c>
      <c r="E1512" s="2" t="s">
        <v>7630</v>
      </c>
      <c r="F1512" s="2" t="s">
        <v>7611</v>
      </c>
      <c r="G1512" s="2" t="s">
        <v>7636</v>
      </c>
    </row>
    <row r="1513" spans="1:7">
      <c r="A1513" s="3">
        <v>50</v>
      </c>
      <c r="B1513" s="3" t="s">
        <v>212</v>
      </c>
      <c r="C1513" s="3">
        <v>208</v>
      </c>
      <c r="D1513" s="3" t="s">
        <v>754</v>
      </c>
      <c r="E1513" s="3" t="s">
        <v>7620</v>
      </c>
      <c r="F1513" s="3" t="s">
        <v>7611</v>
      </c>
      <c r="G1513" s="3" t="s">
        <v>7621</v>
      </c>
    </row>
    <row r="1514" spans="1:7">
      <c r="A1514" s="2">
        <v>50</v>
      </c>
      <c r="B1514" s="2" t="s">
        <v>212</v>
      </c>
      <c r="C1514" s="2">
        <v>209</v>
      </c>
      <c r="D1514" s="2" t="s">
        <v>758</v>
      </c>
      <c r="E1514" s="2" t="s">
        <v>7630</v>
      </c>
      <c r="F1514" s="2" t="s">
        <v>7608</v>
      </c>
      <c r="G1514" s="2" t="s">
        <v>7609</v>
      </c>
    </row>
    <row r="1515" spans="1:7">
      <c r="A1515" s="3">
        <v>50</v>
      </c>
      <c r="B1515" s="3" t="s">
        <v>212</v>
      </c>
      <c r="C1515" s="3">
        <v>221</v>
      </c>
      <c r="D1515" s="3" t="s">
        <v>813</v>
      </c>
      <c r="E1515" s="3" t="s">
        <v>7610</v>
      </c>
      <c r="F1515" s="3" t="s">
        <v>7611</v>
      </c>
      <c r="G1515" s="3" t="s">
        <v>7639</v>
      </c>
    </row>
    <row r="1516" spans="1:7">
      <c r="A1516" s="2">
        <v>50</v>
      </c>
      <c r="B1516" s="2" t="s">
        <v>212</v>
      </c>
      <c r="C1516" s="2">
        <v>264</v>
      </c>
      <c r="D1516" s="2" t="s">
        <v>775</v>
      </c>
      <c r="E1516" s="2" t="s">
        <v>7630</v>
      </c>
      <c r="F1516" s="2" t="s">
        <v>7611</v>
      </c>
      <c r="G1516" s="2" t="s">
        <v>7617</v>
      </c>
    </row>
    <row r="1517" spans="1:7">
      <c r="A1517" s="3">
        <v>50</v>
      </c>
      <c r="B1517" s="3" t="s">
        <v>212</v>
      </c>
      <c r="C1517" s="3">
        <v>341</v>
      </c>
      <c r="D1517" s="3" t="s">
        <v>1052</v>
      </c>
      <c r="E1517" s="3" t="s">
        <v>7620</v>
      </c>
      <c r="F1517" s="3" t="s">
        <v>7611</v>
      </c>
      <c r="G1517" s="3" t="s">
        <v>7621</v>
      </c>
    </row>
    <row r="1518" spans="1:7">
      <c r="A1518" s="2">
        <v>50</v>
      </c>
      <c r="B1518" s="2" t="s">
        <v>212</v>
      </c>
      <c r="C1518" s="2">
        <v>343</v>
      </c>
      <c r="D1518" s="2" t="s">
        <v>977</v>
      </c>
      <c r="E1518" s="2" t="s">
        <v>7620</v>
      </c>
      <c r="F1518" s="2" t="s">
        <v>7611</v>
      </c>
      <c r="G1518" s="2" t="s">
        <v>7625</v>
      </c>
    </row>
    <row r="1519" spans="1:7">
      <c r="A1519" s="3">
        <v>51</v>
      </c>
      <c r="B1519" s="3" t="s">
        <v>144</v>
      </c>
      <c r="C1519" s="3">
        <v>56</v>
      </c>
      <c r="D1519" s="3" t="s">
        <v>12</v>
      </c>
      <c r="E1519" s="3" t="s">
        <v>7616</v>
      </c>
      <c r="F1519" s="3" t="s">
        <v>7611</v>
      </c>
      <c r="G1519" s="3" t="s">
        <v>7636</v>
      </c>
    </row>
    <row r="1520" spans="1:7">
      <c r="A1520" s="2">
        <v>51</v>
      </c>
      <c r="B1520" s="2" t="s">
        <v>144</v>
      </c>
      <c r="C1520" s="2">
        <v>97</v>
      </c>
      <c r="D1520" s="2" t="s">
        <v>457</v>
      </c>
      <c r="E1520" s="2" t="s">
        <v>7618</v>
      </c>
      <c r="F1520" s="2" t="s">
        <v>7611</v>
      </c>
      <c r="G1520" s="2" t="s">
        <v>7636</v>
      </c>
    </row>
    <row r="1521" spans="1:7">
      <c r="A1521" s="3">
        <v>51</v>
      </c>
      <c r="B1521" s="3" t="s">
        <v>144</v>
      </c>
      <c r="C1521" s="3">
        <v>101</v>
      </c>
      <c r="D1521" s="3" t="s">
        <v>395</v>
      </c>
      <c r="E1521" s="3" t="s">
        <v>7620</v>
      </c>
      <c r="F1521" s="3" t="s">
        <v>7611</v>
      </c>
      <c r="G1521" s="3" t="s">
        <v>7621</v>
      </c>
    </row>
    <row r="1522" spans="1:7">
      <c r="A1522" s="2">
        <v>51</v>
      </c>
      <c r="B1522" s="2" t="s">
        <v>144</v>
      </c>
      <c r="C1522" s="2">
        <v>103</v>
      </c>
      <c r="D1522" s="2" t="s">
        <v>384</v>
      </c>
      <c r="E1522" s="2" t="s">
        <v>7620</v>
      </c>
      <c r="F1522" s="2" t="s">
        <v>7608</v>
      </c>
      <c r="G1522" s="2" t="s">
        <v>7625</v>
      </c>
    </row>
    <row r="1523" spans="1:7">
      <c r="A1523" s="3">
        <v>51</v>
      </c>
      <c r="B1523" s="3" t="s">
        <v>144</v>
      </c>
      <c r="C1523" s="3">
        <v>191</v>
      </c>
      <c r="D1523" s="3" t="s">
        <v>719</v>
      </c>
      <c r="E1523" s="3" t="s">
        <v>7618</v>
      </c>
      <c r="F1523" s="3" t="s">
        <v>7611</v>
      </c>
      <c r="G1523" s="3" t="s">
        <v>7636</v>
      </c>
    </row>
    <row r="1524" spans="1:7">
      <c r="A1524" s="2">
        <v>51</v>
      </c>
      <c r="B1524" s="2" t="s">
        <v>144</v>
      </c>
      <c r="C1524" s="2">
        <v>195</v>
      </c>
      <c r="D1524" s="2" t="s">
        <v>734</v>
      </c>
      <c r="E1524" s="2" t="s">
        <v>7618</v>
      </c>
      <c r="F1524" s="2" t="s">
        <v>7611</v>
      </c>
      <c r="G1524" s="2" t="s">
        <v>7636</v>
      </c>
    </row>
    <row r="1525" spans="1:7">
      <c r="A1525" s="3">
        <v>51</v>
      </c>
      <c r="B1525" s="3" t="s">
        <v>144</v>
      </c>
      <c r="C1525" s="3">
        <v>198</v>
      </c>
      <c r="D1525" s="3" t="s">
        <v>698</v>
      </c>
      <c r="E1525" s="3" t="s">
        <v>7620</v>
      </c>
      <c r="F1525" s="3" t="s">
        <v>7611</v>
      </c>
      <c r="G1525" s="3" t="s">
        <v>7633</v>
      </c>
    </row>
    <row r="1526" spans="1:7">
      <c r="A1526" s="2">
        <v>51</v>
      </c>
      <c r="B1526" s="2" t="s">
        <v>144</v>
      </c>
      <c r="C1526" s="2">
        <v>199</v>
      </c>
      <c r="D1526" s="2" t="s">
        <v>702</v>
      </c>
      <c r="E1526" s="2" t="s">
        <v>7618</v>
      </c>
      <c r="F1526" s="2" t="s">
        <v>7611</v>
      </c>
      <c r="G1526" s="2" t="s">
        <v>7617</v>
      </c>
    </row>
    <row r="1527" spans="1:7">
      <c r="A1527" s="3">
        <v>51</v>
      </c>
      <c r="B1527" s="3" t="s">
        <v>144</v>
      </c>
      <c r="C1527" s="3">
        <v>200</v>
      </c>
      <c r="D1527" s="3" t="s">
        <v>707</v>
      </c>
      <c r="E1527" s="3" t="s">
        <v>7620</v>
      </c>
      <c r="F1527" s="3" t="s">
        <v>7611</v>
      </c>
      <c r="G1527" s="3" t="s">
        <v>7633</v>
      </c>
    </row>
    <row r="1528" spans="1:7">
      <c r="A1528" s="2">
        <v>51</v>
      </c>
      <c r="B1528" s="2" t="s">
        <v>144</v>
      </c>
      <c r="C1528" s="2">
        <v>205</v>
      </c>
      <c r="D1528" s="2" t="s">
        <v>746</v>
      </c>
      <c r="E1528" s="2" t="s">
        <v>7620</v>
      </c>
      <c r="F1528" s="2" t="s">
        <v>7611</v>
      </c>
      <c r="G1528" s="2" t="s">
        <v>7622</v>
      </c>
    </row>
    <row r="1529" spans="1:7">
      <c r="A1529" s="3">
        <v>51</v>
      </c>
      <c r="B1529" s="3" t="s">
        <v>144</v>
      </c>
      <c r="C1529" s="3">
        <v>207</v>
      </c>
      <c r="D1529" s="3" t="s">
        <v>749</v>
      </c>
      <c r="E1529" s="3" t="s">
        <v>7623</v>
      </c>
      <c r="F1529" s="3" t="s">
        <v>7611</v>
      </c>
      <c r="G1529" s="3" t="s">
        <v>7632</v>
      </c>
    </row>
    <row r="1530" spans="1:7">
      <c r="A1530" s="2">
        <v>51</v>
      </c>
      <c r="B1530" s="2" t="s">
        <v>144</v>
      </c>
      <c r="C1530" s="2">
        <v>208</v>
      </c>
      <c r="D1530" s="2" t="s">
        <v>754</v>
      </c>
      <c r="E1530" s="2" t="s">
        <v>7620</v>
      </c>
      <c r="F1530" s="2" t="s">
        <v>7611</v>
      </c>
      <c r="G1530" s="2" t="s">
        <v>7621</v>
      </c>
    </row>
    <row r="1531" spans="1:7">
      <c r="A1531" s="3">
        <v>51</v>
      </c>
      <c r="B1531" s="3" t="s">
        <v>144</v>
      </c>
      <c r="C1531" s="3">
        <v>209</v>
      </c>
      <c r="D1531" s="3" t="s">
        <v>758</v>
      </c>
      <c r="E1531" s="3" t="s">
        <v>7618</v>
      </c>
      <c r="F1531" s="3" t="s">
        <v>7608</v>
      </c>
      <c r="G1531" s="3" t="s">
        <v>7609</v>
      </c>
    </row>
    <row r="1532" spans="1:7">
      <c r="A1532" s="2">
        <v>51</v>
      </c>
      <c r="B1532" s="2" t="s">
        <v>144</v>
      </c>
      <c r="C1532" s="2">
        <v>221</v>
      </c>
      <c r="D1532" s="2" t="s">
        <v>813</v>
      </c>
      <c r="E1532" s="2" t="s">
        <v>7613</v>
      </c>
      <c r="F1532" s="2" t="s">
        <v>7611</v>
      </c>
      <c r="G1532" s="2" t="s">
        <v>7614</v>
      </c>
    </row>
    <row r="1533" spans="1:7">
      <c r="A1533" s="3">
        <v>51</v>
      </c>
      <c r="B1533" s="3" t="s">
        <v>144</v>
      </c>
      <c r="C1533" s="3">
        <v>264</v>
      </c>
      <c r="D1533" s="3" t="s">
        <v>775</v>
      </c>
      <c r="E1533" s="3" t="s">
        <v>7618</v>
      </c>
      <c r="F1533" s="3" t="s">
        <v>7611</v>
      </c>
      <c r="G1533" s="3" t="s">
        <v>7617</v>
      </c>
    </row>
    <row r="1534" spans="1:7">
      <c r="A1534" s="2">
        <v>51</v>
      </c>
      <c r="B1534" s="2" t="s">
        <v>144</v>
      </c>
      <c r="C1534" s="2">
        <v>341</v>
      </c>
      <c r="D1534" s="2" t="s">
        <v>1052</v>
      </c>
      <c r="E1534" s="2" t="s">
        <v>7620</v>
      </c>
      <c r="F1534" s="2" t="s">
        <v>7611</v>
      </c>
      <c r="G1534" s="2" t="s">
        <v>7622</v>
      </c>
    </row>
    <row r="1535" spans="1:7">
      <c r="A1535" s="3">
        <v>51</v>
      </c>
      <c r="B1535" s="3" t="s">
        <v>144</v>
      </c>
      <c r="C1535" s="3">
        <v>343</v>
      </c>
      <c r="D1535" s="3" t="s">
        <v>977</v>
      </c>
      <c r="E1535" s="3" t="s">
        <v>7620</v>
      </c>
      <c r="F1535" s="3" t="s">
        <v>7611</v>
      </c>
      <c r="G1535" s="3" t="s">
        <v>7625</v>
      </c>
    </row>
    <row r="1536" spans="1:7">
      <c r="A1536" s="2">
        <v>52</v>
      </c>
      <c r="B1536" s="2" t="s">
        <v>149</v>
      </c>
      <c r="C1536" s="2">
        <v>56</v>
      </c>
      <c r="D1536" s="2" t="s">
        <v>12</v>
      </c>
      <c r="E1536" s="2" t="s">
        <v>7616</v>
      </c>
      <c r="F1536" s="2" t="s">
        <v>7611</v>
      </c>
      <c r="G1536" s="2" t="s">
        <v>7617</v>
      </c>
    </row>
    <row r="1537" spans="1:7">
      <c r="A1537" s="3">
        <v>52</v>
      </c>
      <c r="B1537" s="3" t="s">
        <v>149</v>
      </c>
      <c r="C1537" s="3">
        <v>97</v>
      </c>
      <c r="D1537" s="3" t="s">
        <v>457</v>
      </c>
      <c r="E1537" s="3" t="s">
        <v>7618</v>
      </c>
      <c r="F1537" s="3" t="s">
        <v>7611</v>
      </c>
      <c r="G1537" s="3" t="s">
        <v>7617</v>
      </c>
    </row>
    <row r="1538" spans="1:7">
      <c r="A1538" s="2">
        <v>52</v>
      </c>
      <c r="B1538" s="2" t="s">
        <v>149</v>
      </c>
      <c r="C1538" s="2">
        <v>101</v>
      </c>
      <c r="D1538" s="2" t="s">
        <v>395</v>
      </c>
      <c r="E1538" s="2" t="s">
        <v>7620</v>
      </c>
      <c r="F1538" s="2" t="s">
        <v>7611</v>
      </c>
      <c r="G1538" s="2" t="s">
        <v>7621</v>
      </c>
    </row>
    <row r="1539" spans="1:7">
      <c r="A1539" s="3">
        <v>52</v>
      </c>
      <c r="B1539" s="3" t="s">
        <v>149</v>
      </c>
      <c r="C1539" s="3">
        <v>191</v>
      </c>
      <c r="D1539" s="3" t="s">
        <v>719</v>
      </c>
      <c r="E1539" s="3" t="s">
        <v>7618</v>
      </c>
      <c r="F1539" s="3" t="s">
        <v>7611</v>
      </c>
      <c r="G1539" s="3" t="s">
        <v>7636</v>
      </c>
    </row>
    <row r="1540" spans="1:7">
      <c r="A1540" s="2">
        <v>52</v>
      </c>
      <c r="B1540" s="2" t="s">
        <v>149</v>
      </c>
      <c r="C1540" s="2">
        <v>195</v>
      </c>
      <c r="D1540" s="2" t="s">
        <v>734</v>
      </c>
      <c r="E1540" s="2" t="s">
        <v>7673</v>
      </c>
      <c r="F1540" s="2" t="s">
        <v>7611</v>
      </c>
      <c r="G1540" s="2" t="s">
        <v>7632</v>
      </c>
    </row>
    <row r="1541" spans="1:7">
      <c r="A1541" s="3">
        <v>52</v>
      </c>
      <c r="B1541" s="3" t="s">
        <v>149</v>
      </c>
      <c r="C1541" s="3">
        <v>198</v>
      </c>
      <c r="D1541" s="3" t="s">
        <v>698</v>
      </c>
      <c r="E1541" s="3" t="s">
        <v>7620</v>
      </c>
      <c r="F1541" s="3" t="s">
        <v>7611</v>
      </c>
      <c r="G1541" s="3" t="s">
        <v>7622</v>
      </c>
    </row>
    <row r="1542" spans="1:7">
      <c r="A1542" s="2">
        <v>52</v>
      </c>
      <c r="B1542" s="2" t="s">
        <v>149</v>
      </c>
      <c r="C1542" s="2">
        <v>199</v>
      </c>
      <c r="D1542" s="2" t="s">
        <v>702</v>
      </c>
      <c r="E1542" s="2" t="s">
        <v>7673</v>
      </c>
      <c r="F1542" s="2" t="s">
        <v>7611</v>
      </c>
      <c r="G1542" s="2" t="s">
        <v>7632</v>
      </c>
    </row>
    <row r="1543" spans="1:7">
      <c r="A1543" s="3">
        <v>52</v>
      </c>
      <c r="B1543" s="3" t="s">
        <v>149</v>
      </c>
      <c r="C1543" s="3">
        <v>200</v>
      </c>
      <c r="D1543" s="3" t="s">
        <v>707</v>
      </c>
      <c r="E1543" s="3" t="s">
        <v>7620</v>
      </c>
      <c r="F1543" s="3" t="s">
        <v>7611</v>
      </c>
      <c r="G1543" s="3" t="s">
        <v>7625</v>
      </c>
    </row>
    <row r="1544" spans="1:7">
      <c r="A1544" s="2">
        <v>52</v>
      </c>
      <c r="B1544" s="2" t="s">
        <v>149</v>
      </c>
      <c r="C1544" s="2">
        <v>201</v>
      </c>
      <c r="D1544" s="2" t="s">
        <v>695</v>
      </c>
      <c r="E1544" s="2" t="s">
        <v>7675</v>
      </c>
      <c r="F1544" s="2" t="s">
        <v>7611</v>
      </c>
      <c r="G1544" s="2" t="s">
        <v>7621</v>
      </c>
    </row>
    <row r="1545" spans="1:7">
      <c r="A1545" s="3">
        <v>52</v>
      </c>
      <c r="B1545" s="3" t="s">
        <v>149</v>
      </c>
      <c r="C1545" s="3">
        <v>205</v>
      </c>
      <c r="D1545" s="3" t="s">
        <v>746</v>
      </c>
      <c r="E1545" s="3" t="s">
        <v>7620</v>
      </c>
      <c r="F1545" s="3" t="s">
        <v>7611</v>
      </c>
      <c r="G1545" s="3" t="s">
        <v>7621</v>
      </c>
    </row>
    <row r="1546" spans="1:7">
      <c r="A1546" s="2">
        <v>52</v>
      </c>
      <c r="B1546" s="2" t="s">
        <v>149</v>
      </c>
      <c r="C1546" s="2">
        <v>207</v>
      </c>
      <c r="D1546" s="2" t="s">
        <v>749</v>
      </c>
      <c r="E1546" s="2" t="s">
        <v>7623</v>
      </c>
      <c r="F1546" s="2" t="s">
        <v>7611</v>
      </c>
      <c r="G1546" s="2" t="s">
        <v>7639</v>
      </c>
    </row>
    <row r="1547" spans="1:7">
      <c r="A1547" s="3">
        <v>52</v>
      </c>
      <c r="B1547" s="3" t="s">
        <v>149</v>
      </c>
      <c r="C1547" s="3">
        <v>208</v>
      </c>
      <c r="D1547" s="3" t="s">
        <v>754</v>
      </c>
      <c r="E1547" s="3" t="s">
        <v>7620</v>
      </c>
      <c r="F1547" s="3" t="s">
        <v>7611</v>
      </c>
      <c r="G1547" s="3" t="s">
        <v>7622</v>
      </c>
    </row>
    <row r="1548" spans="1:7">
      <c r="A1548" s="2">
        <v>52</v>
      </c>
      <c r="B1548" s="2" t="s">
        <v>149</v>
      </c>
      <c r="C1548" s="2">
        <v>209</v>
      </c>
      <c r="D1548" s="2" t="s">
        <v>758</v>
      </c>
      <c r="E1548" s="2" t="s">
        <v>7673</v>
      </c>
      <c r="F1548" s="2" t="s">
        <v>7608</v>
      </c>
      <c r="G1548" s="2" t="s">
        <v>7639</v>
      </c>
    </row>
    <row r="1549" spans="1:7">
      <c r="A1549" s="3">
        <v>52</v>
      </c>
      <c r="B1549" s="3" t="s">
        <v>149</v>
      </c>
      <c r="C1549" s="3">
        <v>221</v>
      </c>
      <c r="D1549" s="3" t="s">
        <v>813</v>
      </c>
      <c r="E1549" s="3" t="s">
        <v>7658</v>
      </c>
      <c r="F1549" s="3" t="s">
        <v>7611</v>
      </c>
      <c r="G1549" s="3" t="s">
        <v>7641</v>
      </c>
    </row>
    <row r="1550" spans="1:7">
      <c r="A1550" s="2">
        <v>52</v>
      </c>
      <c r="B1550" s="2" t="s">
        <v>149</v>
      </c>
      <c r="C1550" s="2">
        <v>264</v>
      </c>
      <c r="D1550" s="2" t="s">
        <v>775</v>
      </c>
      <c r="E1550" s="2" t="s">
        <v>7618</v>
      </c>
      <c r="F1550" s="2" t="s">
        <v>7611</v>
      </c>
      <c r="G1550" s="2" t="s">
        <v>7617</v>
      </c>
    </row>
    <row r="1551" spans="1:7">
      <c r="A1551" s="3">
        <v>52</v>
      </c>
      <c r="B1551" s="3" t="s">
        <v>149</v>
      </c>
      <c r="C1551" s="3">
        <v>341</v>
      </c>
      <c r="D1551" s="3" t="s">
        <v>1052</v>
      </c>
      <c r="E1551" s="3" t="s">
        <v>7620</v>
      </c>
      <c r="F1551" s="3" t="s">
        <v>7611</v>
      </c>
      <c r="G1551" s="3" t="s">
        <v>7621</v>
      </c>
    </row>
    <row r="1552" spans="1:7">
      <c r="A1552" s="2">
        <v>52</v>
      </c>
      <c r="B1552" s="2" t="s">
        <v>149</v>
      </c>
      <c r="C1552" s="2">
        <v>343</v>
      </c>
      <c r="D1552" s="2" t="s">
        <v>977</v>
      </c>
      <c r="E1552" s="2" t="s">
        <v>7620</v>
      </c>
      <c r="F1552" s="2" t="s">
        <v>7611</v>
      </c>
      <c r="G1552" s="2" t="s">
        <v>7621</v>
      </c>
    </row>
    <row r="1553" spans="1:7">
      <c r="A1553" s="3">
        <v>53</v>
      </c>
      <c r="B1553" s="3" t="s">
        <v>215</v>
      </c>
      <c r="C1553" s="3">
        <v>56</v>
      </c>
      <c r="D1553" s="3" t="s">
        <v>12</v>
      </c>
      <c r="E1553" s="3" t="s">
        <v>7643</v>
      </c>
      <c r="F1553" s="3" t="s">
        <v>7649</v>
      </c>
      <c r="G1553" s="3" t="s">
        <v>7633</v>
      </c>
    </row>
    <row r="1554" spans="1:7">
      <c r="A1554" s="2">
        <v>53</v>
      </c>
      <c r="B1554" s="2" t="s">
        <v>215</v>
      </c>
      <c r="C1554" s="2">
        <v>97</v>
      </c>
      <c r="D1554" s="2" t="s">
        <v>457</v>
      </c>
      <c r="E1554" s="2" t="s">
        <v>7645</v>
      </c>
      <c r="F1554" s="2" t="s">
        <v>7649</v>
      </c>
      <c r="G1554" s="2" t="s">
        <v>7617</v>
      </c>
    </row>
    <row r="1555" spans="1:7">
      <c r="A1555" s="3">
        <v>53</v>
      </c>
      <c r="B1555" s="3" t="s">
        <v>215</v>
      </c>
      <c r="C1555" s="3">
        <v>189</v>
      </c>
      <c r="D1555" s="3" t="s">
        <v>742</v>
      </c>
      <c r="E1555" s="3" t="s">
        <v>7653</v>
      </c>
      <c r="F1555" s="3" t="s">
        <v>7608</v>
      </c>
      <c r="G1555" s="3" t="s">
        <v>7622</v>
      </c>
    </row>
    <row r="1556" spans="1:7">
      <c r="A1556" s="2">
        <v>53</v>
      </c>
      <c r="B1556" s="2" t="s">
        <v>215</v>
      </c>
      <c r="C1556" s="2">
        <v>191</v>
      </c>
      <c r="D1556" s="2" t="s">
        <v>719</v>
      </c>
      <c r="E1556" s="2" t="s">
        <v>7645</v>
      </c>
      <c r="F1556" s="2" t="s">
        <v>7649</v>
      </c>
      <c r="G1556" s="2" t="s">
        <v>7609</v>
      </c>
    </row>
    <row r="1557" spans="1:7">
      <c r="A1557" s="3">
        <v>53</v>
      </c>
      <c r="B1557" s="3" t="s">
        <v>215</v>
      </c>
      <c r="C1557" s="3">
        <v>195</v>
      </c>
      <c r="D1557" s="3" t="s">
        <v>734</v>
      </c>
      <c r="E1557" s="3" t="s">
        <v>7645</v>
      </c>
      <c r="F1557" s="3" t="s">
        <v>7649</v>
      </c>
      <c r="G1557" s="3" t="s">
        <v>7617</v>
      </c>
    </row>
    <row r="1558" spans="1:7">
      <c r="A1558" s="2">
        <v>53</v>
      </c>
      <c r="B1558" s="2" t="s">
        <v>215</v>
      </c>
      <c r="C1558" s="2">
        <v>198</v>
      </c>
      <c r="D1558" s="2" t="s">
        <v>698</v>
      </c>
      <c r="E1558" s="2" t="s">
        <v>7608</v>
      </c>
      <c r="F1558" s="2" t="s">
        <v>7649</v>
      </c>
      <c r="G1558" s="2" t="s">
        <v>7621</v>
      </c>
    </row>
    <row r="1559" spans="1:7">
      <c r="A1559" s="3">
        <v>53</v>
      </c>
      <c r="B1559" s="3" t="s">
        <v>215</v>
      </c>
      <c r="C1559" s="3">
        <v>199</v>
      </c>
      <c r="D1559" s="3" t="s">
        <v>702</v>
      </c>
      <c r="E1559" s="3" t="s">
        <v>7722</v>
      </c>
      <c r="F1559" s="3" t="s">
        <v>7649</v>
      </c>
      <c r="G1559" s="3" t="s">
        <v>7634</v>
      </c>
    </row>
    <row r="1560" spans="1:7">
      <c r="A1560" s="2">
        <v>53</v>
      </c>
      <c r="B1560" s="2" t="s">
        <v>215</v>
      </c>
      <c r="C1560" s="2">
        <v>200</v>
      </c>
      <c r="D1560" s="2" t="s">
        <v>707</v>
      </c>
      <c r="E1560" s="2" t="s">
        <v>7653</v>
      </c>
      <c r="F1560" s="2" t="s">
        <v>7649</v>
      </c>
      <c r="G1560" s="2" t="s">
        <v>7617</v>
      </c>
    </row>
    <row r="1561" spans="1:7">
      <c r="A1561" s="3">
        <v>53</v>
      </c>
      <c r="B1561" s="3" t="s">
        <v>215</v>
      </c>
      <c r="C1561" s="3">
        <v>207</v>
      </c>
      <c r="D1561" s="3" t="s">
        <v>749</v>
      </c>
      <c r="E1561" s="3" t="s">
        <v>7645</v>
      </c>
      <c r="F1561" s="3" t="s">
        <v>7611</v>
      </c>
      <c r="G1561" s="3" t="s">
        <v>7622</v>
      </c>
    </row>
    <row r="1562" spans="1:7">
      <c r="A1562" s="2">
        <v>53</v>
      </c>
      <c r="B1562" s="2" t="s">
        <v>215</v>
      </c>
      <c r="C1562" s="2">
        <v>209</v>
      </c>
      <c r="D1562" s="2" t="s">
        <v>758</v>
      </c>
      <c r="E1562" s="2" t="s">
        <v>7645</v>
      </c>
      <c r="F1562" s="2" t="s">
        <v>7650</v>
      </c>
      <c r="G1562" s="2" t="s">
        <v>7622</v>
      </c>
    </row>
    <row r="1563" spans="1:7">
      <c r="A1563" s="3">
        <v>53</v>
      </c>
      <c r="B1563" s="3" t="s">
        <v>215</v>
      </c>
      <c r="C1563" s="3">
        <v>221</v>
      </c>
      <c r="D1563" s="3" t="s">
        <v>813</v>
      </c>
      <c r="E1563" s="3" t="s">
        <v>7607</v>
      </c>
      <c r="F1563" s="3" t="s">
        <v>7649</v>
      </c>
      <c r="G1563" s="3" t="s">
        <v>7619</v>
      </c>
    </row>
    <row r="1564" spans="1:7">
      <c r="A1564" s="2">
        <v>53</v>
      </c>
      <c r="B1564" s="2" t="s">
        <v>215</v>
      </c>
      <c r="C1564" s="2">
        <v>264</v>
      </c>
      <c r="D1564" s="2" t="s">
        <v>775</v>
      </c>
      <c r="E1564" s="2" t="s">
        <v>7645</v>
      </c>
      <c r="F1564" s="2" t="s">
        <v>7649</v>
      </c>
      <c r="G1564" s="2" t="s">
        <v>7633</v>
      </c>
    </row>
    <row r="1565" spans="1:7">
      <c r="A1565" s="3">
        <v>54</v>
      </c>
      <c r="B1565" s="3" t="s">
        <v>202</v>
      </c>
      <c r="C1565" s="3">
        <v>56</v>
      </c>
      <c r="D1565" s="3" t="s">
        <v>12</v>
      </c>
      <c r="E1565" s="3" t="s">
        <v>7643</v>
      </c>
      <c r="F1565" s="3" t="s">
        <v>7650</v>
      </c>
      <c r="G1565" s="3" t="s">
        <v>7625</v>
      </c>
    </row>
    <row r="1566" spans="1:7">
      <c r="A1566" s="2">
        <v>54</v>
      </c>
      <c r="B1566" s="2" t="s">
        <v>202</v>
      </c>
      <c r="C1566" s="2">
        <v>189</v>
      </c>
      <c r="D1566" s="2" t="s">
        <v>742</v>
      </c>
      <c r="E1566" s="2" t="s">
        <v>7653</v>
      </c>
      <c r="F1566" s="2" t="s">
        <v>7608</v>
      </c>
      <c r="G1566" s="2" t="s">
        <v>7621</v>
      </c>
    </row>
    <row r="1567" spans="1:7">
      <c r="A1567" s="3">
        <v>54</v>
      </c>
      <c r="B1567" s="3" t="s">
        <v>202</v>
      </c>
      <c r="C1567" s="3">
        <v>199</v>
      </c>
      <c r="D1567" s="3" t="s">
        <v>702</v>
      </c>
      <c r="E1567" s="3" t="s">
        <v>7653</v>
      </c>
      <c r="F1567" s="3" t="s">
        <v>7650</v>
      </c>
      <c r="G1567" s="3" t="s">
        <v>7621</v>
      </c>
    </row>
    <row r="1568" spans="1:7">
      <c r="A1568" s="2">
        <v>54</v>
      </c>
      <c r="B1568" s="2" t="s">
        <v>202</v>
      </c>
      <c r="C1568" s="2">
        <v>200</v>
      </c>
      <c r="D1568" s="2" t="s">
        <v>707</v>
      </c>
      <c r="E1568" s="2" t="s">
        <v>7653</v>
      </c>
      <c r="F1568" s="2" t="s">
        <v>7650</v>
      </c>
      <c r="G1568" s="2" t="s">
        <v>7622</v>
      </c>
    </row>
    <row r="1569" spans="1:7">
      <c r="A1569" s="3">
        <v>54</v>
      </c>
      <c r="B1569" s="3" t="s">
        <v>202</v>
      </c>
      <c r="C1569" s="3">
        <v>221</v>
      </c>
      <c r="D1569" s="3" t="s">
        <v>813</v>
      </c>
      <c r="E1569" s="3" t="s">
        <v>7643</v>
      </c>
      <c r="F1569" s="3" t="s">
        <v>7650</v>
      </c>
      <c r="G1569" s="3" t="s">
        <v>7625</v>
      </c>
    </row>
    <row r="1570" spans="1:7">
      <c r="A1570" s="2">
        <v>55</v>
      </c>
      <c r="B1570" s="2" t="s">
        <v>218</v>
      </c>
      <c r="C1570" s="2">
        <v>56</v>
      </c>
      <c r="D1570" s="2" t="s">
        <v>12</v>
      </c>
      <c r="E1570" s="2" t="s">
        <v>7616</v>
      </c>
      <c r="F1570" s="2" t="s">
        <v>7659</v>
      </c>
      <c r="G1570" s="2" t="s">
        <v>7639</v>
      </c>
    </row>
    <row r="1571" spans="1:7">
      <c r="A1571" s="3">
        <v>55</v>
      </c>
      <c r="B1571" s="3" t="s">
        <v>218</v>
      </c>
      <c r="C1571" s="3">
        <v>97</v>
      </c>
      <c r="D1571" s="3" t="s">
        <v>457</v>
      </c>
      <c r="E1571" s="3" t="s">
        <v>7618</v>
      </c>
      <c r="F1571" s="3" t="s">
        <v>7659</v>
      </c>
      <c r="G1571" s="3" t="s">
        <v>7641</v>
      </c>
    </row>
    <row r="1572" spans="1:7">
      <c r="A1572" s="2">
        <v>55</v>
      </c>
      <c r="B1572" s="2" t="s">
        <v>218</v>
      </c>
      <c r="C1572" s="2">
        <v>101</v>
      </c>
      <c r="D1572" s="2" t="s">
        <v>395</v>
      </c>
      <c r="E1572" s="2" t="s">
        <v>7620</v>
      </c>
      <c r="F1572" s="2" t="s">
        <v>7659</v>
      </c>
      <c r="G1572" s="2" t="s">
        <v>7617</v>
      </c>
    </row>
    <row r="1573" spans="1:7">
      <c r="A1573" s="3">
        <v>55</v>
      </c>
      <c r="B1573" s="3" t="s">
        <v>218</v>
      </c>
      <c r="C1573" s="3">
        <v>103</v>
      </c>
      <c r="D1573" s="3" t="s">
        <v>384</v>
      </c>
      <c r="E1573" s="3" t="s">
        <v>7620</v>
      </c>
      <c r="F1573" s="3" t="s">
        <v>7650</v>
      </c>
      <c r="G1573" s="3" t="s">
        <v>7625</v>
      </c>
    </row>
    <row r="1574" spans="1:7">
      <c r="A1574" s="2">
        <v>55</v>
      </c>
      <c r="B1574" s="2" t="s">
        <v>218</v>
      </c>
      <c r="C1574" s="2">
        <v>181</v>
      </c>
      <c r="D1574" s="2" t="s">
        <v>653</v>
      </c>
      <c r="E1574" s="2" t="s">
        <v>7715</v>
      </c>
      <c r="F1574" s="2" t="s">
        <v>7652</v>
      </c>
      <c r="G1574" s="2" t="s">
        <v>7633</v>
      </c>
    </row>
    <row r="1575" spans="1:7">
      <c r="A1575" s="3">
        <v>55</v>
      </c>
      <c r="B1575" s="3" t="s">
        <v>218</v>
      </c>
      <c r="C1575" s="3">
        <v>189</v>
      </c>
      <c r="D1575" s="3" t="s">
        <v>742</v>
      </c>
      <c r="E1575" s="3" t="s">
        <v>7653</v>
      </c>
      <c r="F1575" s="3" t="s">
        <v>7608</v>
      </c>
      <c r="G1575" s="3" t="s">
        <v>7621</v>
      </c>
    </row>
    <row r="1576" spans="1:7">
      <c r="A1576" s="2">
        <v>55</v>
      </c>
      <c r="B1576" s="2" t="s">
        <v>218</v>
      </c>
      <c r="C1576" s="2">
        <v>191</v>
      </c>
      <c r="D1576" s="2" t="s">
        <v>719</v>
      </c>
      <c r="E1576" s="2" t="s">
        <v>7618</v>
      </c>
      <c r="F1576" s="2" t="s">
        <v>7659</v>
      </c>
      <c r="G1576" s="2" t="s">
        <v>7624</v>
      </c>
    </row>
    <row r="1577" spans="1:7">
      <c r="A1577" s="3">
        <v>55</v>
      </c>
      <c r="B1577" s="3" t="s">
        <v>218</v>
      </c>
      <c r="C1577" s="3">
        <v>195</v>
      </c>
      <c r="D1577" s="3" t="s">
        <v>734</v>
      </c>
      <c r="E1577" s="3" t="s">
        <v>7618</v>
      </c>
      <c r="F1577" s="3" t="s">
        <v>7659</v>
      </c>
      <c r="G1577" s="3" t="s">
        <v>7624</v>
      </c>
    </row>
    <row r="1578" spans="1:7">
      <c r="A1578" s="2">
        <v>55</v>
      </c>
      <c r="B1578" s="2" t="s">
        <v>218</v>
      </c>
      <c r="C1578" s="2">
        <v>198</v>
      </c>
      <c r="D1578" s="2" t="s">
        <v>698</v>
      </c>
      <c r="E1578" s="2" t="s">
        <v>7620</v>
      </c>
      <c r="F1578" s="2" t="s">
        <v>7659</v>
      </c>
      <c r="G1578" s="2" t="s">
        <v>7636</v>
      </c>
    </row>
    <row r="1579" spans="1:7">
      <c r="A1579" s="3">
        <v>55</v>
      </c>
      <c r="B1579" s="3" t="s">
        <v>218</v>
      </c>
      <c r="C1579" s="3">
        <v>199</v>
      </c>
      <c r="D1579" s="3" t="s">
        <v>702</v>
      </c>
      <c r="E1579" s="3" t="s">
        <v>7660</v>
      </c>
      <c r="F1579" s="3" t="s">
        <v>7659</v>
      </c>
      <c r="G1579" s="3" t="s">
        <v>7626</v>
      </c>
    </row>
    <row r="1580" spans="1:7">
      <c r="A1580" s="2">
        <v>55</v>
      </c>
      <c r="B1580" s="2" t="s">
        <v>218</v>
      </c>
      <c r="C1580" s="2">
        <v>200</v>
      </c>
      <c r="D1580" s="2" t="s">
        <v>707</v>
      </c>
      <c r="E1580" s="2" t="s">
        <v>7654</v>
      </c>
      <c r="F1580" s="2" t="s">
        <v>7659</v>
      </c>
      <c r="G1580" s="2" t="s">
        <v>7624</v>
      </c>
    </row>
    <row r="1581" spans="1:7">
      <c r="A1581" s="3">
        <v>55</v>
      </c>
      <c r="B1581" s="3" t="s">
        <v>218</v>
      </c>
      <c r="C1581" s="3">
        <v>201</v>
      </c>
      <c r="D1581" s="3" t="s">
        <v>695</v>
      </c>
      <c r="E1581" s="3" t="s">
        <v>7608</v>
      </c>
      <c r="F1581" s="3" t="s">
        <v>7659</v>
      </c>
      <c r="G1581" s="3" t="s">
        <v>7625</v>
      </c>
    </row>
    <row r="1582" spans="1:7">
      <c r="A1582" s="2">
        <v>55</v>
      </c>
      <c r="B1582" s="2" t="s">
        <v>218</v>
      </c>
      <c r="C1582" s="2">
        <v>204</v>
      </c>
      <c r="D1582" s="2" t="s">
        <v>685</v>
      </c>
      <c r="E1582" s="2" t="s">
        <v>7608</v>
      </c>
      <c r="F1582" s="2" t="s">
        <v>7659</v>
      </c>
      <c r="G1582" s="2" t="s">
        <v>7625</v>
      </c>
    </row>
    <row r="1583" spans="1:7">
      <c r="A1583" s="3">
        <v>55</v>
      </c>
      <c r="B1583" s="3" t="s">
        <v>218</v>
      </c>
      <c r="C1583" s="3">
        <v>205</v>
      </c>
      <c r="D1583" s="3" t="s">
        <v>746</v>
      </c>
      <c r="E1583" s="3" t="s">
        <v>7620</v>
      </c>
      <c r="F1583" s="3" t="s">
        <v>7628</v>
      </c>
      <c r="G1583" s="3" t="s">
        <v>7633</v>
      </c>
    </row>
    <row r="1584" spans="1:7">
      <c r="A1584" s="2">
        <v>55</v>
      </c>
      <c r="B1584" s="2" t="s">
        <v>218</v>
      </c>
      <c r="C1584" s="2">
        <v>207</v>
      </c>
      <c r="D1584" s="2" t="s">
        <v>749</v>
      </c>
      <c r="E1584" s="2" t="s">
        <v>7623</v>
      </c>
      <c r="F1584" s="2" t="s">
        <v>7611</v>
      </c>
      <c r="G1584" s="2" t="s">
        <v>7639</v>
      </c>
    </row>
    <row r="1585" spans="1:7">
      <c r="A1585" s="3">
        <v>55</v>
      </c>
      <c r="B1585" s="3" t="s">
        <v>218</v>
      </c>
      <c r="C1585" s="3">
        <v>208</v>
      </c>
      <c r="D1585" s="3" t="s">
        <v>754</v>
      </c>
      <c r="E1585" s="3" t="s">
        <v>7620</v>
      </c>
      <c r="F1585" s="3" t="s">
        <v>7628</v>
      </c>
      <c r="G1585" s="3" t="s">
        <v>7609</v>
      </c>
    </row>
    <row r="1586" spans="1:7">
      <c r="A1586" s="2">
        <v>55</v>
      </c>
      <c r="B1586" s="2" t="s">
        <v>218</v>
      </c>
      <c r="C1586" s="2">
        <v>209</v>
      </c>
      <c r="D1586" s="2" t="s">
        <v>758</v>
      </c>
      <c r="E1586" s="2" t="s">
        <v>7618</v>
      </c>
      <c r="F1586" s="2" t="s">
        <v>7652</v>
      </c>
      <c r="G1586" s="2" t="s">
        <v>7619</v>
      </c>
    </row>
    <row r="1587" spans="1:7">
      <c r="A1587" s="3">
        <v>55</v>
      </c>
      <c r="B1587" s="3" t="s">
        <v>218</v>
      </c>
      <c r="C1587" s="3">
        <v>221</v>
      </c>
      <c r="D1587" s="3" t="s">
        <v>813</v>
      </c>
      <c r="E1587" s="3" t="s">
        <v>7658</v>
      </c>
      <c r="F1587" s="3" t="s">
        <v>7649</v>
      </c>
      <c r="G1587" s="3" t="s">
        <v>7629</v>
      </c>
    </row>
    <row r="1588" spans="1:7">
      <c r="A1588" s="2">
        <v>55</v>
      </c>
      <c r="B1588" s="2" t="s">
        <v>218</v>
      </c>
      <c r="C1588" s="2">
        <v>264</v>
      </c>
      <c r="D1588" s="2" t="s">
        <v>775</v>
      </c>
      <c r="E1588" s="2" t="s">
        <v>7618</v>
      </c>
      <c r="F1588" s="2" t="s">
        <v>7659</v>
      </c>
      <c r="G1588" s="2" t="s">
        <v>7639</v>
      </c>
    </row>
    <row r="1589" spans="1:7">
      <c r="A1589" s="3">
        <v>55</v>
      </c>
      <c r="B1589" s="3" t="s">
        <v>218</v>
      </c>
      <c r="C1589" s="3">
        <v>312</v>
      </c>
      <c r="D1589" s="3" t="s">
        <v>949</v>
      </c>
      <c r="E1589" s="3" t="s">
        <v>7608</v>
      </c>
      <c r="F1589" s="3" t="s">
        <v>7659</v>
      </c>
      <c r="G1589" s="3" t="s">
        <v>7625</v>
      </c>
    </row>
    <row r="1590" spans="1:7">
      <c r="A1590" s="2">
        <v>55</v>
      </c>
      <c r="B1590" s="2" t="s">
        <v>218</v>
      </c>
      <c r="C1590" s="2">
        <v>341</v>
      </c>
      <c r="D1590" s="2" t="s">
        <v>1052</v>
      </c>
      <c r="E1590" s="2" t="s">
        <v>7620</v>
      </c>
      <c r="F1590" s="2" t="s">
        <v>7649</v>
      </c>
      <c r="G1590" s="2" t="s">
        <v>7633</v>
      </c>
    </row>
    <row r="1591" spans="1:7">
      <c r="A1591" s="3">
        <v>55</v>
      </c>
      <c r="B1591" s="3" t="s">
        <v>218</v>
      </c>
      <c r="C1591" s="3">
        <v>343</v>
      </c>
      <c r="D1591" s="3" t="s">
        <v>977</v>
      </c>
      <c r="E1591" s="3" t="s">
        <v>7620</v>
      </c>
      <c r="F1591" s="3" t="s">
        <v>7659</v>
      </c>
      <c r="G1591" s="3" t="s">
        <v>7609</v>
      </c>
    </row>
    <row r="1592" spans="1:7">
      <c r="A1592" s="2">
        <v>56</v>
      </c>
      <c r="B1592" s="2" t="s">
        <v>12</v>
      </c>
      <c r="C1592" s="2">
        <v>57</v>
      </c>
      <c r="D1592" s="2" t="s">
        <v>39</v>
      </c>
      <c r="E1592" s="2" t="s">
        <v>7616</v>
      </c>
      <c r="F1592" s="2" t="s">
        <v>7611</v>
      </c>
      <c r="G1592" s="2" t="s">
        <v>7617</v>
      </c>
    </row>
    <row r="1593" spans="1:7">
      <c r="A1593" s="3">
        <v>56</v>
      </c>
      <c r="B1593" s="3" t="s">
        <v>12</v>
      </c>
      <c r="C1593" s="3">
        <v>58</v>
      </c>
      <c r="D1593" s="3" t="s">
        <v>152</v>
      </c>
      <c r="E1593" s="3" t="s">
        <v>7616</v>
      </c>
      <c r="F1593" s="3" t="s">
        <v>7659</v>
      </c>
      <c r="G1593" s="3" t="s">
        <v>7624</v>
      </c>
    </row>
    <row r="1594" spans="1:7">
      <c r="A1594" s="2">
        <v>56</v>
      </c>
      <c r="B1594" s="2" t="s">
        <v>12</v>
      </c>
      <c r="C1594" s="2">
        <v>59</v>
      </c>
      <c r="D1594" s="2" t="s">
        <v>28</v>
      </c>
      <c r="E1594" s="2" t="s">
        <v>7616</v>
      </c>
      <c r="F1594" s="2" t="s">
        <v>7611</v>
      </c>
      <c r="G1594" s="2" t="s">
        <v>7609</v>
      </c>
    </row>
    <row r="1595" spans="1:7">
      <c r="A1595" s="3">
        <v>56</v>
      </c>
      <c r="B1595" s="3" t="s">
        <v>12</v>
      </c>
      <c r="C1595" s="3">
        <v>60</v>
      </c>
      <c r="D1595" s="3" t="s">
        <v>285</v>
      </c>
      <c r="E1595" s="3" t="s">
        <v>7620</v>
      </c>
      <c r="F1595" s="3" t="s">
        <v>7611</v>
      </c>
      <c r="G1595" s="3" t="s">
        <v>7621</v>
      </c>
    </row>
    <row r="1596" spans="1:7">
      <c r="A1596" s="2">
        <v>56</v>
      </c>
      <c r="B1596" s="2" t="s">
        <v>12</v>
      </c>
      <c r="C1596" s="2">
        <v>61</v>
      </c>
      <c r="D1596" s="2" t="s">
        <v>273</v>
      </c>
      <c r="E1596" s="2" t="s">
        <v>7620</v>
      </c>
      <c r="F1596" s="2" t="s">
        <v>7649</v>
      </c>
      <c r="G1596" s="2" t="s">
        <v>7622</v>
      </c>
    </row>
    <row r="1597" spans="1:7">
      <c r="A1597" s="3">
        <v>56</v>
      </c>
      <c r="B1597" s="3" t="s">
        <v>12</v>
      </c>
      <c r="C1597" s="3">
        <v>62</v>
      </c>
      <c r="D1597" s="3" t="s">
        <v>280</v>
      </c>
      <c r="E1597" s="3" t="s">
        <v>7620</v>
      </c>
      <c r="F1597" s="3" t="s">
        <v>7649</v>
      </c>
      <c r="G1597" s="3" t="s">
        <v>7617</v>
      </c>
    </row>
    <row r="1598" spans="1:7">
      <c r="A1598" s="2">
        <v>56</v>
      </c>
      <c r="B1598" s="2" t="s">
        <v>12</v>
      </c>
      <c r="C1598" s="2">
        <v>63</v>
      </c>
      <c r="D1598" s="2" t="s">
        <v>265</v>
      </c>
      <c r="E1598" s="2" t="s">
        <v>7620</v>
      </c>
      <c r="F1598" s="2" t="s">
        <v>7659</v>
      </c>
      <c r="G1598" s="2" t="s">
        <v>7617</v>
      </c>
    </row>
    <row r="1599" spans="1:7">
      <c r="A1599" s="3">
        <v>56</v>
      </c>
      <c r="B1599" s="3" t="s">
        <v>12</v>
      </c>
      <c r="C1599" s="3">
        <v>64</v>
      </c>
      <c r="D1599" s="3" t="s">
        <v>283</v>
      </c>
      <c r="E1599" s="3" t="s">
        <v>7620</v>
      </c>
      <c r="F1599" s="3" t="s">
        <v>7611</v>
      </c>
      <c r="G1599" s="3" t="s">
        <v>7621</v>
      </c>
    </row>
    <row r="1600" spans="1:7">
      <c r="A1600" s="2">
        <v>56</v>
      </c>
      <c r="B1600" s="2" t="s">
        <v>12</v>
      </c>
      <c r="C1600" s="2">
        <v>65</v>
      </c>
      <c r="D1600" s="2" t="s">
        <v>243</v>
      </c>
      <c r="E1600" s="2" t="s">
        <v>7620</v>
      </c>
      <c r="F1600" s="2" t="s">
        <v>7659</v>
      </c>
      <c r="G1600" s="2" t="s">
        <v>7617</v>
      </c>
    </row>
    <row r="1601" spans="1:7">
      <c r="A1601" s="3">
        <v>56</v>
      </c>
      <c r="B1601" s="3" t="s">
        <v>12</v>
      </c>
      <c r="C1601" s="3">
        <v>66</v>
      </c>
      <c r="D1601" s="3" t="s">
        <v>249</v>
      </c>
      <c r="E1601" s="3" t="s">
        <v>7620</v>
      </c>
      <c r="F1601" s="3" t="s">
        <v>7611</v>
      </c>
      <c r="G1601" s="3" t="s">
        <v>7621</v>
      </c>
    </row>
    <row r="1602" spans="1:7">
      <c r="A1602" s="2">
        <v>56</v>
      </c>
      <c r="B1602" s="2" t="s">
        <v>12</v>
      </c>
      <c r="C1602" s="2">
        <v>67</v>
      </c>
      <c r="D1602" s="2" t="s">
        <v>252</v>
      </c>
      <c r="E1602" s="2" t="s">
        <v>7620</v>
      </c>
      <c r="F1602" s="2" t="s">
        <v>7628</v>
      </c>
      <c r="G1602" s="2" t="s">
        <v>7609</v>
      </c>
    </row>
    <row r="1603" spans="1:7">
      <c r="A1603" s="3">
        <v>56</v>
      </c>
      <c r="B1603" s="3" t="s">
        <v>12</v>
      </c>
      <c r="C1603" s="3">
        <v>68</v>
      </c>
      <c r="D1603" s="3" t="s">
        <v>254</v>
      </c>
      <c r="E1603" s="3" t="s">
        <v>7620</v>
      </c>
      <c r="F1603" s="3" t="s">
        <v>7650</v>
      </c>
      <c r="G1603" s="3" t="s">
        <v>7621</v>
      </c>
    </row>
    <row r="1604" spans="1:7">
      <c r="A1604" s="2">
        <v>56</v>
      </c>
      <c r="B1604" s="2" t="s">
        <v>12</v>
      </c>
      <c r="C1604" s="2">
        <v>69</v>
      </c>
      <c r="D1604" s="2" t="s">
        <v>259</v>
      </c>
      <c r="E1604" s="2" t="s">
        <v>7620</v>
      </c>
      <c r="F1604" s="2" t="s">
        <v>7611</v>
      </c>
      <c r="G1604" s="2" t="s">
        <v>7621</v>
      </c>
    </row>
    <row r="1605" spans="1:7">
      <c r="A1605" s="3">
        <v>56</v>
      </c>
      <c r="B1605" s="3" t="s">
        <v>12</v>
      </c>
      <c r="C1605" s="3">
        <v>70</v>
      </c>
      <c r="D1605" s="3" t="s">
        <v>262</v>
      </c>
      <c r="E1605" s="3" t="s">
        <v>7620</v>
      </c>
      <c r="F1605" s="3" t="s">
        <v>7611</v>
      </c>
      <c r="G1605" s="3" t="s">
        <v>7621</v>
      </c>
    </row>
    <row r="1606" spans="1:7">
      <c r="A1606" s="2">
        <v>56</v>
      </c>
      <c r="B1606" s="2" t="s">
        <v>12</v>
      </c>
      <c r="C1606" s="2">
        <v>71</v>
      </c>
      <c r="D1606" s="2" t="s">
        <v>235</v>
      </c>
      <c r="E1606" s="2" t="s">
        <v>7620</v>
      </c>
      <c r="F1606" s="2" t="s">
        <v>7649</v>
      </c>
      <c r="G1606" s="2" t="s">
        <v>7609</v>
      </c>
    </row>
    <row r="1607" spans="1:7">
      <c r="A1607" s="3">
        <v>56</v>
      </c>
      <c r="B1607" s="3" t="s">
        <v>12</v>
      </c>
      <c r="C1607" s="3">
        <v>72</v>
      </c>
      <c r="D1607" s="3" t="s">
        <v>238</v>
      </c>
      <c r="E1607" s="3" t="s">
        <v>7620</v>
      </c>
      <c r="F1607" s="3" t="s">
        <v>7659</v>
      </c>
      <c r="G1607" s="3" t="s">
        <v>7617</v>
      </c>
    </row>
    <row r="1608" spans="1:7">
      <c r="A1608" s="2">
        <v>56</v>
      </c>
      <c r="B1608" s="2" t="s">
        <v>12</v>
      </c>
      <c r="C1608" s="2">
        <v>73</v>
      </c>
      <c r="D1608" s="2" t="s">
        <v>240</v>
      </c>
      <c r="E1608" s="2" t="s">
        <v>7620</v>
      </c>
      <c r="F1608" s="2" t="s">
        <v>7659</v>
      </c>
      <c r="G1608" s="2" t="s">
        <v>7617</v>
      </c>
    </row>
    <row r="1609" spans="1:7">
      <c r="A1609" s="3">
        <v>56</v>
      </c>
      <c r="B1609" s="3" t="s">
        <v>12</v>
      </c>
      <c r="C1609" s="3">
        <v>74</v>
      </c>
      <c r="D1609" s="3" t="s">
        <v>293</v>
      </c>
      <c r="E1609" s="3" t="s">
        <v>7620</v>
      </c>
      <c r="F1609" s="3" t="s">
        <v>7611</v>
      </c>
      <c r="G1609" s="3" t="s">
        <v>7625</v>
      </c>
    </row>
    <row r="1610" spans="1:7">
      <c r="A1610" s="2">
        <v>56</v>
      </c>
      <c r="B1610" s="2" t="s">
        <v>12</v>
      </c>
      <c r="C1610" s="2">
        <v>75</v>
      </c>
      <c r="D1610" s="2" t="s">
        <v>230</v>
      </c>
      <c r="E1610" s="2" t="s">
        <v>7620</v>
      </c>
      <c r="F1610" s="2" t="s">
        <v>7652</v>
      </c>
      <c r="G1610" s="2" t="s">
        <v>7633</v>
      </c>
    </row>
    <row r="1611" spans="1:7">
      <c r="A1611" s="3">
        <v>56</v>
      </c>
      <c r="B1611" s="3" t="s">
        <v>12</v>
      </c>
      <c r="C1611" s="3">
        <v>76</v>
      </c>
      <c r="D1611" s="3" t="s">
        <v>268</v>
      </c>
      <c r="E1611" s="3" t="s">
        <v>7620</v>
      </c>
      <c r="F1611" s="3" t="s">
        <v>7611</v>
      </c>
      <c r="G1611" s="3" t="s">
        <v>7621</v>
      </c>
    </row>
    <row r="1612" spans="1:7">
      <c r="A1612" s="2">
        <v>56</v>
      </c>
      <c r="B1612" s="2" t="s">
        <v>12</v>
      </c>
      <c r="C1612" s="2">
        <v>77</v>
      </c>
      <c r="D1612" s="2" t="s">
        <v>297</v>
      </c>
      <c r="E1612" s="2" t="s">
        <v>7620</v>
      </c>
      <c r="F1612" s="2" t="s">
        <v>7649</v>
      </c>
      <c r="G1612" s="2" t="s">
        <v>7633</v>
      </c>
    </row>
    <row r="1613" spans="1:7">
      <c r="A1613" s="3">
        <v>56</v>
      </c>
      <c r="B1613" s="3" t="s">
        <v>12</v>
      </c>
      <c r="C1613" s="3">
        <v>78</v>
      </c>
      <c r="D1613" s="3" t="s">
        <v>301</v>
      </c>
      <c r="E1613" s="3" t="s">
        <v>7620</v>
      </c>
      <c r="F1613" s="3" t="s">
        <v>7649</v>
      </c>
      <c r="G1613" s="3" t="s">
        <v>7622</v>
      </c>
    </row>
    <row r="1614" spans="1:7">
      <c r="A1614" s="2">
        <v>56</v>
      </c>
      <c r="B1614" s="2" t="s">
        <v>12</v>
      </c>
      <c r="C1614" s="2">
        <v>79</v>
      </c>
      <c r="D1614" s="2" t="s">
        <v>246</v>
      </c>
      <c r="E1614" s="2" t="s">
        <v>7620</v>
      </c>
      <c r="F1614" s="2" t="s">
        <v>7649</v>
      </c>
      <c r="G1614" s="2" t="s">
        <v>7633</v>
      </c>
    </row>
    <row r="1615" spans="1:7">
      <c r="A1615" s="3">
        <v>56</v>
      </c>
      <c r="B1615" s="3" t="s">
        <v>12</v>
      </c>
      <c r="C1615" s="3">
        <v>80</v>
      </c>
      <c r="D1615" s="3" t="s">
        <v>289</v>
      </c>
      <c r="E1615" s="3" t="s">
        <v>7620</v>
      </c>
      <c r="F1615" s="3" t="s">
        <v>7659</v>
      </c>
      <c r="G1615" s="3" t="s">
        <v>7617</v>
      </c>
    </row>
    <row r="1616" spans="1:7">
      <c r="A1616" s="2">
        <v>56</v>
      </c>
      <c r="B1616" s="2" t="s">
        <v>12</v>
      </c>
      <c r="C1616" s="2">
        <v>81</v>
      </c>
      <c r="D1616" s="2" t="s">
        <v>308</v>
      </c>
      <c r="E1616" s="2" t="s">
        <v>7620</v>
      </c>
      <c r="F1616" s="2" t="s">
        <v>7649</v>
      </c>
      <c r="G1616" s="2" t="s">
        <v>7633</v>
      </c>
    </row>
    <row r="1617" spans="1:7">
      <c r="A1617" s="3">
        <v>56</v>
      </c>
      <c r="B1617" s="3" t="s">
        <v>12</v>
      </c>
      <c r="C1617" s="3">
        <v>82</v>
      </c>
      <c r="D1617" s="3" t="s">
        <v>277</v>
      </c>
      <c r="E1617" s="3" t="s">
        <v>7620</v>
      </c>
      <c r="F1617" s="3" t="s">
        <v>7611</v>
      </c>
      <c r="G1617" s="3" t="s">
        <v>7621</v>
      </c>
    </row>
    <row r="1618" spans="1:7">
      <c r="A1618" s="2">
        <v>56</v>
      </c>
      <c r="B1618" s="2" t="s">
        <v>12</v>
      </c>
      <c r="C1618" s="2">
        <v>83</v>
      </c>
      <c r="D1618" s="2" t="s">
        <v>304</v>
      </c>
      <c r="E1618" s="2" t="s">
        <v>7620</v>
      </c>
      <c r="F1618" s="2" t="s">
        <v>7611</v>
      </c>
      <c r="G1618" s="2" t="s">
        <v>7621</v>
      </c>
    </row>
    <row r="1619" spans="1:7">
      <c r="A1619" s="3">
        <v>56</v>
      </c>
      <c r="B1619" s="3" t="s">
        <v>12</v>
      </c>
      <c r="C1619" s="3">
        <v>85</v>
      </c>
      <c r="D1619" s="3" t="s">
        <v>334</v>
      </c>
      <c r="E1619" s="3" t="s">
        <v>7620</v>
      </c>
      <c r="F1619" s="3" t="s">
        <v>7649</v>
      </c>
      <c r="G1619" s="3" t="s">
        <v>7633</v>
      </c>
    </row>
    <row r="1620" spans="1:7">
      <c r="A1620" s="2">
        <v>56</v>
      </c>
      <c r="B1620" s="2" t="s">
        <v>12</v>
      </c>
      <c r="C1620" s="2">
        <v>86</v>
      </c>
      <c r="D1620" s="2" t="s">
        <v>322</v>
      </c>
      <c r="E1620" s="2" t="s">
        <v>7620</v>
      </c>
      <c r="F1620" s="2" t="s">
        <v>7650</v>
      </c>
      <c r="G1620" s="2" t="s">
        <v>7621</v>
      </c>
    </row>
    <row r="1621" spans="1:7">
      <c r="A1621" s="3">
        <v>56</v>
      </c>
      <c r="B1621" s="3" t="s">
        <v>12</v>
      </c>
      <c r="C1621" s="3">
        <v>88</v>
      </c>
      <c r="D1621" s="3" t="s">
        <v>312</v>
      </c>
      <c r="E1621" s="3" t="s">
        <v>7620</v>
      </c>
      <c r="F1621" s="3" t="s">
        <v>7649</v>
      </c>
      <c r="G1621" s="3" t="s">
        <v>7609</v>
      </c>
    </row>
    <row r="1622" spans="1:7">
      <c r="A1622" s="2">
        <v>56</v>
      </c>
      <c r="B1622" s="2" t="s">
        <v>12</v>
      </c>
      <c r="C1622" s="2">
        <v>89</v>
      </c>
      <c r="D1622" s="2" t="s">
        <v>339</v>
      </c>
      <c r="E1622" s="2" t="s">
        <v>7620</v>
      </c>
      <c r="F1622" s="2" t="s">
        <v>7650</v>
      </c>
      <c r="G1622" s="2" t="s">
        <v>7622</v>
      </c>
    </row>
    <row r="1623" spans="1:7">
      <c r="A1623" s="3">
        <v>56</v>
      </c>
      <c r="B1623" s="3" t="s">
        <v>12</v>
      </c>
      <c r="C1623" s="3">
        <v>90</v>
      </c>
      <c r="D1623" s="3" t="s">
        <v>355</v>
      </c>
      <c r="E1623" s="3" t="s">
        <v>7620</v>
      </c>
      <c r="F1623" s="3" t="s">
        <v>7650</v>
      </c>
      <c r="G1623" s="3" t="s">
        <v>7621</v>
      </c>
    </row>
    <row r="1624" spans="1:7">
      <c r="A1624" s="2">
        <v>56</v>
      </c>
      <c r="B1624" s="2" t="s">
        <v>12</v>
      </c>
      <c r="C1624" s="2">
        <v>91</v>
      </c>
      <c r="D1624" s="2" t="s">
        <v>326</v>
      </c>
      <c r="E1624" s="2" t="s">
        <v>7620</v>
      </c>
      <c r="F1624" s="2" t="s">
        <v>7649</v>
      </c>
      <c r="G1624" s="2" t="s">
        <v>7633</v>
      </c>
    </row>
    <row r="1625" spans="1:7">
      <c r="A1625" s="3">
        <v>56</v>
      </c>
      <c r="B1625" s="3" t="s">
        <v>12</v>
      </c>
      <c r="C1625" s="3">
        <v>92</v>
      </c>
      <c r="D1625" s="3" t="s">
        <v>330</v>
      </c>
      <c r="E1625" s="3" t="s">
        <v>7620</v>
      </c>
      <c r="F1625" s="3" t="s">
        <v>7659</v>
      </c>
      <c r="G1625" s="3" t="s">
        <v>7617</v>
      </c>
    </row>
    <row r="1626" spans="1:7">
      <c r="A1626" s="2">
        <v>56</v>
      </c>
      <c r="B1626" s="2" t="s">
        <v>12</v>
      </c>
      <c r="C1626" s="2">
        <v>93</v>
      </c>
      <c r="D1626" s="2" t="s">
        <v>351</v>
      </c>
      <c r="E1626" s="2" t="s">
        <v>7620</v>
      </c>
      <c r="F1626" s="2" t="s">
        <v>7650</v>
      </c>
      <c r="G1626" s="2" t="s">
        <v>7625</v>
      </c>
    </row>
    <row r="1627" spans="1:7">
      <c r="A1627" s="3">
        <v>56</v>
      </c>
      <c r="B1627" s="3" t="s">
        <v>12</v>
      </c>
      <c r="C1627" s="3">
        <v>94</v>
      </c>
      <c r="D1627" s="3" t="s">
        <v>316</v>
      </c>
      <c r="E1627" s="3" t="s">
        <v>7620</v>
      </c>
      <c r="F1627" s="3" t="s">
        <v>7652</v>
      </c>
      <c r="G1627" s="3" t="s">
        <v>7609</v>
      </c>
    </row>
    <row r="1628" spans="1:7">
      <c r="A1628" s="2">
        <v>56</v>
      </c>
      <c r="B1628" s="2" t="s">
        <v>12</v>
      </c>
      <c r="C1628" s="2">
        <v>95</v>
      </c>
      <c r="D1628" s="2" t="s">
        <v>342</v>
      </c>
      <c r="E1628" s="2" t="s">
        <v>7620</v>
      </c>
      <c r="F1628" s="2" t="s">
        <v>7649</v>
      </c>
      <c r="G1628" s="2" t="s">
        <v>7609</v>
      </c>
    </row>
    <row r="1629" spans="1:7">
      <c r="A1629" s="3">
        <v>56</v>
      </c>
      <c r="B1629" s="3" t="s">
        <v>12</v>
      </c>
      <c r="C1629" s="3">
        <v>96</v>
      </c>
      <c r="D1629" s="3" t="s">
        <v>359</v>
      </c>
      <c r="E1629" s="3" t="s">
        <v>7620</v>
      </c>
      <c r="F1629" s="3" t="s">
        <v>7611</v>
      </c>
      <c r="G1629" s="3" t="s">
        <v>7621</v>
      </c>
    </row>
    <row r="1630" spans="1:7">
      <c r="A1630" s="2">
        <v>56</v>
      </c>
      <c r="B1630" s="2" t="s">
        <v>12</v>
      </c>
      <c r="C1630" s="2">
        <v>97</v>
      </c>
      <c r="D1630" s="2" t="s">
        <v>457</v>
      </c>
      <c r="E1630" s="2" t="s">
        <v>7723</v>
      </c>
      <c r="F1630" s="2" t="s">
        <v>7659</v>
      </c>
      <c r="G1630" s="2" t="s">
        <v>7626</v>
      </c>
    </row>
    <row r="1631" spans="1:7">
      <c r="A1631" s="3">
        <v>56</v>
      </c>
      <c r="B1631" s="3" t="s">
        <v>12</v>
      </c>
      <c r="C1631" s="3">
        <v>98</v>
      </c>
      <c r="D1631" s="3" t="s">
        <v>440</v>
      </c>
      <c r="E1631" s="3" t="s">
        <v>7620</v>
      </c>
      <c r="F1631" s="3" t="s">
        <v>7649</v>
      </c>
      <c r="G1631" s="3" t="s">
        <v>7622</v>
      </c>
    </row>
    <row r="1632" spans="1:7">
      <c r="A1632" s="2">
        <v>56</v>
      </c>
      <c r="B1632" s="2" t="s">
        <v>12</v>
      </c>
      <c r="C1632" s="2">
        <v>99</v>
      </c>
      <c r="D1632" s="2" t="s">
        <v>446</v>
      </c>
      <c r="E1632" s="2" t="s">
        <v>7620</v>
      </c>
      <c r="F1632" s="2" t="s">
        <v>7659</v>
      </c>
      <c r="G1632" s="2" t="s">
        <v>7609</v>
      </c>
    </row>
    <row r="1633" spans="1:7">
      <c r="A1633" s="3">
        <v>56</v>
      </c>
      <c r="B1633" s="3" t="s">
        <v>12</v>
      </c>
      <c r="C1633" s="3">
        <v>101</v>
      </c>
      <c r="D1633" s="3" t="s">
        <v>395</v>
      </c>
      <c r="E1633" s="3" t="s">
        <v>7723</v>
      </c>
      <c r="F1633" s="3" t="s">
        <v>7659</v>
      </c>
      <c r="G1633" s="3" t="s">
        <v>7612</v>
      </c>
    </row>
    <row r="1634" spans="1:7">
      <c r="A1634" s="2">
        <v>56</v>
      </c>
      <c r="B1634" s="2" t="s">
        <v>12</v>
      </c>
      <c r="C1634" s="2">
        <v>102</v>
      </c>
      <c r="D1634" s="2" t="s">
        <v>540</v>
      </c>
      <c r="E1634" s="2" t="s">
        <v>7620</v>
      </c>
      <c r="F1634" s="2" t="s">
        <v>7611</v>
      </c>
      <c r="G1634" s="2" t="s">
        <v>7625</v>
      </c>
    </row>
    <row r="1635" spans="1:7">
      <c r="A1635" s="3">
        <v>56</v>
      </c>
      <c r="B1635" s="3" t="s">
        <v>12</v>
      </c>
      <c r="C1635" s="3">
        <v>103</v>
      </c>
      <c r="D1635" s="3" t="s">
        <v>384</v>
      </c>
      <c r="E1635" s="3" t="s">
        <v>7694</v>
      </c>
      <c r="F1635" s="3" t="s">
        <v>7650</v>
      </c>
      <c r="G1635" s="3" t="s">
        <v>7617</v>
      </c>
    </row>
    <row r="1636" spans="1:7">
      <c r="A1636" s="2">
        <v>56</v>
      </c>
      <c r="B1636" s="2" t="s">
        <v>12</v>
      </c>
      <c r="C1636" s="2">
        <v>104</v>
      </c>
      <c r="D1636" s="2" t="s">
        <v>493</v>
      </c>
      <c r="E1636" s="2" t="s">
        <v>7620</v>
      </c>
      <c r="F1636" s="2" t="s">
        <v>7649</v>
      </c>
      <c r="G1636" s="2" t="s">
        <v>7609</v>
      </c>
    </row>
    <row r="1637" spans="1:7">
      <c r="A1637" s="3">
        <v>56</v>
      </c>
      <c r="B1637" s="3" t="s">
        <v>12</v>
      </c>
      <c r="C1637" s="3">
        <v>105</v>
      </c>
      <c r="D1637" s="3" t="s">
        <v>582</v>
      </c>
      <c r="E1637" s="3" t="s">
        <v>7620</v>
      </c>
      <c r="F1637" s="3" t="s">
        <v>7611</v>
      </c>
      <c r="G1637" s="3" t="s">
        <v>7621</v>
      </c>
    </row>
    <row r="1638" spans="1:7">
      <c r="A1638" s="2">
        <v>56</v>
      </c>
      <c r="B1638" s="2" t="s">
        <v>12</v>
      </c>
      <c r="C1638" s="2">
        <v>106</v>
      </c>
      <c r="D1638" s="2" t="s">
        <v>404</v>
      </c>
      <c r="E1638" s="2" t="s">
        <v>7620</v>
      </c>
      <c r="F1638" s="2" t="s">
        <v>7650</v>
      </c>
      <c r="G1638" s="2" t="s">
        <v>7621</v>
      </c>
    </row>
    <row r="1639" spans="1:7">
      <c r="A1639" s="3">
        <v>56</v>
      </c>
      <c r="B1639" s="3" t="s">
        <v>12</v>
      </c>
      <c r="C1639" s="3">
        <v>107</v>
      </c>
      <c r="D1639" s="3" t="s">
        <v>536</v>
      </c>
      <c r="E1639" s="3" t="s">
        <v>7620</v>
      </c>
      <c r="F1639" s="3" t="s">
        <v>7649</v>
      </c>
      <c r="G1639" s="3" t="s">
        <v>7633</v>
      </c>
    </row>
    <row r="1640" spans="1:7">
      <c r="A1640" s="2">
        <v>56</v>
      </c>
      <c r="B1640" s="2" t="s">
        <v>12</v>
      </c>
      <c r="C1640" s="2">
        <v>108</v>
      </c>
      <c r="D1640" s="2" t="s">
        <v>548</v>
      </c>
      <c r="E1640" s="2" t="s">
        <v>7620</v>
      </c>
      <c r="F1640" s="2" t="s">
        <v>7611</v>
      </c>
      <c r="G1640" s="2" t="s">
        <v>7621</v>
      </c>
    </row>
    <row r="1641" spans="1:7">
      <c r="A1641" s="3">
        <v>56</v>
      </c>
      <c r="B1641" s="3" t="s">
        <v>12</v>
      </c>
      <c r="C1641" s="3">
        <v>109</v>
      </c>
      <c r="D1641" s="3" t="s">
        <v>489</v>
      </c>
      <c r="E1641" s="3" t="s">
        <v>7620</v>
      </c>
      <c r="F1641" s="3" t="s">
        <v>7650</v>
      </c>
      <c r="G1641" s="3" t="s">
        <v>7622</v>
      </c>
    </row>
    <row r="1642" spans="1:7">
      <c r="A1642" s="2">
        <v>56</v>
      </c>
      <c r="B1642" s="2" t="s">
        <v>12</v>
      </c>
      <c r="C1642" s="2">
        <v>110</v>
      </c>
      <c r="D1642" s="2" t="s">
        <v>363</v>
      </c>
      <c r="E1642" s="2" t="s">
        <v>7620</v>
      </c>
      <c r="F1642" s="2" t="s">
        <v>7650</v>
      </c>
      <c r="G1642" s="2" t="s">
        <v>7621</v>
      </c>
    </row>
    <row r="1643" spans="1:7">
      <c r="A1643" s="3">
        <v>56</v>
      </c>
      <c r="B1643" s="3" t="s">
        <v>12</v>
      </c>
      <c r="C1643" s="3">
        <v>111</v>
      </c>
      <c r="D1643" s="3" t="s">
        <v>407</v>
      </c>
      <c r="E1643" s="3" t="s">
        <v>7620</v>
      </c>
      <c r="F1643" s="3" t="s">
        <v>7650</v>
      </c>
      <c r="G1643" s="3" t="s">
        <v>7622</v>
      </c>
    </row>
    <row r="1644" spans="1:7">
      <c r="A1644" s="2">
        <v>56</v>
      </c>
      <c r="B1644" s="2" t="s">
        <v>12</v>
      </c>
      <c r="C1644" s="2">
        <v>112</v>
      </c>
      <c r="D1644" s="2" t="s">
        <v>517</v>
      </c>
      <c r="E1644" s="2" t="s">
        <v>7620</v>
      </c>
      <c r="F1644" s="2" t="s">
        <v>7659</v>
      </c>
      <c r="G1644" s="2" t="s">
        <v>7617</v>
      </c>
    </row>
    <row r="1645" spans="1:7">
      <c r="A1645" s="3">
        <v>56</v>
      </c>
      <c r="B1645" s="3" t="s">
        <v>12</v>
      </c>
      <c r="C1645" s="3">
        <v>113</v>
      </c>
      <c r="D1645" s="3" t="s">
        <v>595</v>
      </c>
      <c r="E1645" s="3" t="s">
        <v>7620</v>
      </c>
      <c r="F1645" s="3" t="s">
        <v>7611</v>
      </c>
      <c r="G1645" s="3" t="s">
        <v>7621</v>
      </c>
    </row>
    <row r="1646" spans="1:7">
      <c r="A1646" s="2">
        <v>56</v>
      </c>
      <c r="B1646" s="2" t="s">
        <v>12</v>
      </c>
      <c r="C1646" s="2">
        <v>114</v>
      </c>
      <c r="D1646" s="2" t="s">
        <v>461</v>
      </c>
      <c r="E1646" s="2" t="s">
        <v>7620</v>
      </c>
      <c r="F1646" s="2" t="s">
        <v>7649</v>
      </c>
      <c r="G1646" s="2" t="s">
        <v>7609</v>
      </c>
    </row>
    <row r="1647" spans="1:7">
      <c r="A1647" s="3">
        <v>56</v>
      </c>
      <c r="B1647" s="3" t="s">
        <v>12</v>
      </c>
      <c r="C1647" s="3">
        <v>115</v>
      </c>
      <c r="D1647" s="3" t="s">
        <v>476</v>
      </c>
      <c r="E1647" s="3" t="s">
        <v>7620</v>
      </c>
      <c r="F1647" s="3" t="s">
        <v>7611</v>
      </c>
      <c r="G1647" s="3" t="s">
        <v>7625</v>
      </c>
    </row>
    <row r="1648" spans="1:7">
      <c r="A1648" s="2">
        <v>56</v>
      </c>
      <c r="B1648" s="2" t="s">
        <v>12</v>
      </c>
      <c r="C1648" s="2">
        <v>116</v>
      </c>
      <c r="D1648" s="2" t="s">
        <v>584</v>
      </c>
      <c r="E1648" s="2" t="s">
        <v>7620</v>
      </c>
      <c r="F1648" s="2" t="s">
        <v>7611</v>
      </c>
      <c r="G1648" s="2" t="s">
        <v>7621</v>
      </c>
    </row>
    <row r="1649" spans="1:7">
      <c r="A1649" s="3">
        <v>56</v>
      </c>
      <c r="B1649" s="3" t="s">
        <v>12</v>
      </c>
      <c r="C1649" s="3">
        <v>117</v>
      </c>
      <c r="D1649" s="3" t="s">
        <v>528</v>
      </c>
      <c r="E1649" s="3" t="s">
        <v>7620</v>
      </c>
      <c r="F1649" s="3" t="s">
        <v>7611</v>
      </c>
      <c r="G1649" s="3" t="s">
        <v>7622</v>
      </c>
    </row>
    <row r="1650" spans="1:7">
      <c r="A1650" s="2">
        <v>56</v>
      </c>
      <c r="B1650" s="2" t="s">
        <v>12</v>
      </c>
      <c r="C1650" s="2">
        <v>118</v>
      </c>
      <c r="D1650" s="2" t="s">
        <v>514</v>
      </c>
      <c r="E1650" s="2" t="s">
        <v>7620</v>
      </c>
      <c r="F1650" s="2" t="s">
        <v>7611</v>
      </c>
      <c r="G1650" s="2" t="s">
        <v>7621</v>
      </c>
    </row>
    <row r="1651" spans="1:7">
      <c r="A1651" s="3">
        <v>56</v>
      </c>
      <c r="B1651" s="3" t="s">
        <v>12</v>
      </c>
      <c r="C1651" s="3">
        <v>119</v>
      </c>
      <c r="D1651" s="3" t="s">
        <v>367</v>
      </c>
      <c r="E1651" s="3" t="s">
        <v>7620</v>
      </c>
      <c r="F1651" s="3" t="s">
        <v>7659</v>
      </c>
      <c r="G1651" s="3" t="s">
        <v>7636</v>
      </c>
    </row>
    <row r="1652" spans="1:7">
      <c r="A1652" s="2">
        <v>56</v>
      </c>
      <c r="B1652" s="2" t="s">
        <v>12</v>
      </c>
      <c r="C1652" s="2">
        <v>120</v>
      </c>
      <c r="D1652" s="2" t="s">
        <v>465</v>
      </c>
      <c r="E1652" s="2" t="s">
        <v>7620</v>
      </c>
      <c r="F1652" s="2" t="s">
        <v>7649</v>
      </c>
      <c r="G1652" s="2" t="s">
        <v>7633</v>
      </c>
    </row>
    <row r="1653" spans="1:7">
      <c r="A1653" s="3">
        <v>56</v>
      </c>
      <c r="B1653" s="3" t="s">
        <v>12</v>
      </c>
      <c r="C1653" s="3">
        <v>121</v>
      </c>
      <c r="D1653" s="3" t="s">
        <v>510</v>
      </c>
      <c r="E1653" s="3" t="s">
        <v>7620</v>
      </c>
      <c r="F1653" s="3" t="s">
        <v>7611</v>
      </c>
      <c r="G1653" s="3" t="s">
        <v>7622</v>
      </c>
    </row>
    <row r="1654" spans="1:7">
      <c r="A1654" s="2">
        <v>56</v>
      </c>
      <c r="B1654" s="2" t="s">
        <v>12</v>
      </c>
      <c r="C1654" s="2">
        <v>122</v>
      </c>
      <c r="D1654" s="2" t="s">
        <v>391</v>
      </c>
      <c r="E1654" s="2" t="s">
        <v>7620</v>
      </c>
      <c r="F1654" s="2" t="s">
        <v>7649</v>
      </c>
      <c r="G1654" s="2" t="s">
        <v>7633</v>
      </c>
    </row>
    <row r="1655" spans="1:7">
      <c r="A1655" s="3">
        <v>56</v>
      </c>
      <c r="B1655" s="3" t="s">
        <v>12</v>
      </c>
      <c r="C1655" s="3">
        <v>123</v>
      </c>
      <c r="D1655" s="3" t="s">
        <v>571</v>
      </c>
      <c r="E1655" s="3" t="s">
        <v>7620</v>
      </c>
      <c r="F1655" s="3" t="s">
        <v>7628</v>
      </c>
      <c r="G1655" s="3" t="s">
        <v>7622</v>
      </c>
    </row>
    <row r="1656" spans="1:7">
      <c r="A1656" s="2">
        <v>56</v>
      </c>
      <c r="B1656" s="2" t="s">
        <v>12</v>
      </c>
      <c r="C1656" s="2">
        <v>124</v>
      </c>
      <c r="D1656" s="2" t="s">
        <v>524</v>
      </c>
      <c r="E1656" s="2" t="s">
        <v>7620</v>
      </c>
      <c r="F1656" s="2" t="s">
        <v>7611</v>
      </c>
      <c r="G1656" s="2" t="s">
        <v>7621</v>
      </c>
    </row>
    <row r="1657" spans="1:7">
      <c r="A1657" s="3">
        <v>56</v>
      </c>
      <c r="B1657" s="3" t="s">
        <v>12</v>
      </c>
      <c r="C1657" s="3">
        <v>125</v>
      </c>
      <c r="D1657" s="3" t="s">
        <v>565</v>
      </c>
      <c r="E1657" s="3" t="s">
        <v>7620</v>
      </c>
      <c r="F1657" s="3" t="s">
        <v>7611</v>
      </c>
      <c r="G1657" s="3" t="s">
        <v>7621</v>
      </c>
    </row>
    <row r="1658" spans="1:7">
      <c r="A1658" s="2">
        <v>56</v>
      </c>
      <c r="B1658" s="2" t="s">
        <v>12</v>
      </c>
      <c r="C1658" s="2">
        <v>127</v>
      </c>
      <c r="D1658" s="2" t="s">
        <v>575</v>
      </c>
      <c r="E1658" s="2" t="s">
        <v>7620</v>
      </c>
      <c r="F1658" s="2" t="s">
        <v>7611</v>
      </c>
      <c r="G1658" s="2" t="s">
        <v>7621</v>
      </c>
    </row>
    <row r="1659" spans="1:7">
      <c r="A1659" s="3">
        <v>56</v>
      </c>
      <c r="B1659" s="3" t="s">
        <v>12</v>
      </c>
      <c r="C1659" s="3">
        <v>128</v>
      </c>
      <c r="D1659" s="3" t="s">
        <v>355</v>
      </c>
      <c r="E1659" s="3" t="s">
        <v>7620</v>
      </c>
      <c r="F1659" s="3" t="s">
        <v>7611</v>
      </c>
      <c r="G1659" s="3" t="s">
        <v>7621</v>
      </c>
    </row>
    <row r="1660" spans="1:7">
      <c r="A1660" s="2">
        <v>56</v>
      </c>
      <c r="B1660" s="2" t="s">
        <v>12</v>
      </c>
      <c r="C1660" s="2">
        <v>129</v>
      </c>
      <c r="D1660" s="2" t="s">
        <v>499</v>
      </c>
      <c r="E1660" s="2" t="s">
        <v>7620</v>
      </c>
      <c r="F1660" s="2" t="s">
        <v>7611</v>
      </c>
      <c r="G1660" s="2" t="s">
        <v>7625</v>
      </c>
    </row>
    <row r="1661" spans="1:7">
      <c r="A1661" s="3">
        <v>56</v>
      </c>
      <c r="B1661" s="3" t="s">
        <v>12</v>
      </c>
      <c r="C1661" s="3">
        <v>130</v>
      </c>
      <c r="D1661" s="3" t="s">
        <v>504</v>
      </c>
      <c r="E1661" s="3" t="s">
        <v>7620</v>
      </c>
      <c r="F1661" s="3" t="s">
        <v>7611</v>
      </c>
      <c r="G1661" s="3" t="s">
        <v>7621</v>
      </c>
    </row>
    <row r="1662" spans="1:7">
      <c r="A1662" s="2">
        <v>56</v>
      </c>
      <c r="B1662" s="2" t="s">
        <v>12</v>
      </c>
      <c r="C1662" s="2">
        <v>131</v>
      </c>
      <c r="D1662" s="2" t="s">
        <v>577</v>
      </c>
      <c r="E1662" s="2" t="s">
        <v>7620</v>
      </c>
      <c r="F1662" s="2" t="s">
        <v>7611</v>
      </c>
      <c r="G1662" s="2" t="s">
        <v>7621</v>
      </c>
    </row>
    <row r="1663" spans="1:7">
      <c r="A1663" s="3">
        <v>56</v>
      </c>
      <c r="B1663" s="3" t="s">
        <v>12</v>
      </c>
      <c r="C1663" s="3">
        <v>133</v>
      </c>
      <c r="D1663" s="3" t="s">
        <v>212</v>
      </c>
      <c r="E1663" s="3" t="s">
        <v>7620</v>
      </c>
      <c r="F1663" s="3" t="s">
        <v>7608</v>
      </c>
      <c r="G1663" s="3" t="s">
        <v>7625</v>
      </c>
    </row>
    <row r="1664" spans="1:7">
      <c r="A1664" s="2">
        <v>56</v>
      </c>
      <c r="B1664" s="2" t="s">
        <v>12</v>
      </c>
      <c r="C1664" s="2">
        <v>134</v>
      </c>
      <c r="D1664" s="2" t="s">
        <v>591</v>
      </c>
      <c r="E1664" s="2" t="s">
        <v>7620</v>
      </c>
      <c r="F1664" s="2" t="s">
        <v>7611</v>
      </c>
      <c r="G1664" s="2" t="s">
        <v>7622</v>
      </c>
    </row>
    <row r="1665" spans="1:7">
      <c r="A1665" s="3">
        <v>56</v>
      </c>
      <c r="B1665" s="3" t="s">
        <v>12</v>
      </c>
      <c r="C1665" s="3">
        <v>135</v>
      </c>
      <c r="D1665" s="3" t="s">
        <v>469</v>
      </c>
      <c r="E1665" s="3" t="s">
        <v>7620</v>
      </c>
      <c r="F1665" s="3" t="s">
        <v>7611</v>
      </c>
      <c r="G1665" s="3" t="s">
        <v>7625</v>
      </c>
    </row>
    <row r="1666" spans="1:7">
      <c r="A1666" s="2">
        <v>56</v>
      </c>
      <c r="B1666" s="2" t="s">
        <v>12</v>
      </c>
      <c r="C1666" s="2">
        <v>136</v>
      </c>
      <c r="D1666" s="2" t="s">
        <v>413</v>
      </c>
      <c r="E1666" s="2" t="s">
        <v>7620</v>
      </c>
      <c r="F1666" s="2" t="s">
        <v>7611</v>
      </c>
      <c r="G1666" s="2" t="s">
        <v>7621</v>
      </c>
    </row>
    <row r="1667" spans="1:7">
      <c r="A1667" s="3">
        <v>56</v>
      </c>
      <c r="B1667" s="3" t="s">
        <v>12</v>
      </c>
      <c r="C1667" s="3">
        <v>137</v>
      </c>
      <c r="D1667" s="3" t="s">
        <v>546</v>
      </c>
      <c r="E1667" s="3" t="s">
        <v>7620</v>
      </c>
      <c r="F1667" s="3" t="s">
        <v>7611</v>
      </c>
      <c r="G1667" s="3" t="s">
        <v>7625</v>
      </c>
    </row>
    <row r="1668" spans="1:7">
      <c r="A1668" s="2">
        <v>56</v>
      </c>
      <c r="B1668" s="2" t="s">
        <v>12</v>
      </c>
      <c r="C1668" s="2">
        <v>138</v>
      </c>
      <c r="D1668" s="2" t="s">
        <v>561</v>
      </c>
      <c r="E1668" s="2" t="s">
        <v>7620</v>
      </c>
      <c r="F1668" s="2" t="s">
        <v>7611</v>
      </c>
      <c r="G1668" s="2" t="s">
        <v>7621</v>
      </c>
    </row>
    <row r="1669" spans="1:7">
      <c r="A1669" s="3">
        <v>56</v>
      </c>
      <c r="B1669" s="3" t="s">
        <v>12</v>
      </c>
      <c r="C1669" s="3">
        <v>139</v>
      </c>
      <c r="D1669" s="3" t="s">
        <v>531</v>
      </c>
      <c r="E1669" s="3" t="s">
        <v>7620</v>
      </c>
      <c r="F1669" s="3" t="s">
        <v>7611</v>
      </c>
      <c r="G1669" s="3" t="s">
        <v>7621</v>
      </c>
    </row>
    <row r="1670" spans="1:7">
      <c r="A1670" s="2">
        <v>56</v>
      </c>
      <c r="B1670" s="2" t="s">
        <v>12</v>
      </c>
      <c r="C1670" s="2">
        <v>140</v>
      </c>
      <c r="D1670" s="2" t="s">
        <v>580</v>
      </c>
      <c r="E1670" s="2" t="s">
        <v>7620</v>
      </c>
      <c r="F1670" s="2" t="s">
        <v>7611</v>
      </c>
      <c r="G1670" s="2" t="s">
        <v>7625</v>
      </c>
    </row>
    <row r="1671" spans="1:7">
      <c r="A1671" s="3">
        <v>56</v>
      </c>
      <c r="B1671" s="3" t="s">
        <v>12</v>
      </c>
      <c r="C1671" s="3">
        <v>141</v>
      </c>
      <c r="D1671" s="3" t="s">
        <v>480</v>
      </c>
      <c r="E1671" s="3" t="s">
        <v>7616</v>
      </c>
      <c r="F1671" s="3" t="s">
        <v>7611</v>
      </c>
      <c r="G1671" s="3" t="s">
        <v>7617</v>
      </c>
    </row>
    <row r="1672" spans="1:7">
      <c r="A1672" s="2">
        <v>56</v>
      </c>
      <c r="B1672" s="2" t="s">
        <v>12</v>
      </c>
      <c r="C1672" s="2">
        <v>142</v>
      </c>
      <c r="D1672" s="2" t="s">
        <v>543</v>
      </c>
      <c r="E1672" s="2" t="s">
        <v>7620</v>
      </c>
      <c r="F1672" s="2" t="s">
        <v>7611</v>
      </c>
      <c r="G1672" s="2" t="s">
        <v>7625</v>
      </c>
    </row>
    <row r="1673" spans="1:7">
      <c r="A1673" s="3">
        <v>56</v>
      </c>
      <c r="B1673" s="3" t="s">
        <v>12</v>
      </c>
      <c r="C1673" s="3">
        <v>143</v>
      </c>
      <c r="D1673" s="3" t="s">
        <v>371</v>
      </c>
      <c r="E1673" s="3" t="s">
        <v>7620</v>
      </c>
      <c r="F1673" s="3" t="s">
        <v>7649</v>
      </c>
      <c r="G1673" s="3" t="s">
        <v>7636</v>
      </c>
    </row>
    <row r="1674" spans="1:7">
      <c r="A1674" s="2">
        <v>56</v>
      </c>
      <c r="B1674" s="2" t="s">
        <v>12</v>
      </c>
      <c r="C1674" s="2">
        <v>144</v>
      </c>
      <c r="D1674" s="2" t="s">
        <v>375</v>
      </c>
      <c r="E1674" s="2" t="s">
        <v>7620</v>
      </c>
      <c r="F1674" s="2" t="s">
        <v>7649</v>
      </c>
      <c r="G1674" s="2" t="s">
        <v>7633</v>
      </c>
    </row>
    <row r="1675" spans="1:7">
      <c r="A1675" s="3">
        <v>56</v>
      </c>
      <c r="B1675" s="3" t="s">
        <v>12</v>
      </c>
      <c r="C1675" s="3">
        <v>145</v>
      </c>
      <c r="D1675" s="3" t="s">
        <v>431</v>
      </c>
      <c r="E1675" s="3" t="s">
        <v>7620</v>
      </c>
      <c r="F1675" s="3" t="s">
        <v>7650</v>
      </c>
      <c r="G1675" s="3" t="s">
        <v>7609</v>
      </c>
    </row>
    <row r="1676" spans="1:7">
      <c r="A1676" s="2">
        <v>56</v>
      </c>
      <c r="B1676" s="2" t="s">
        <v>12</v>
      </c>
      <c r="C1676" s="2">
        <v>146</v>
      </c>
      <c r="D1676" s="2" t="s">
        <v>416</v>
      </c>
      <c r="E1676" s="2" t="s">
        <v>7620</v>
      </c>
      <c r="F1676" s="2" t="s">
        <v>7611</v>
      </c>
      <c r="G1676" s="2" t="s">
        <v>7621</v>
      </c>
    </row>
    <row r="1677" spans="1:7">
      <c r="A1677" s="3">
        <v>56</v>
      </c>
      <c r="B1677" s="3" t="s">
        <v>12</v>
      </c>
      <c r="C1677" s="3">
        <v>148</v>
      </c>
      <c r="D1677" s="3" t="s">
        <v>420</v>
      </c>
      <c r="E1677" s="3" t="s">
        <v>7620</v>
      </c>
      <c r="F1677" s="3" t="s">
        <v>7611</v>
      </c>
      <c r="G1677" s="3" t="s">
        <v>7621</v>
      </c>
    </row>
    <row r="1678" spans="1:7">
      <c r="A1678" s="2">
        <v>56</v>
      </c>
      <c r="B1678" s="2" t="s">
        <v>12</v>
      </c>
      <c r="C1678" s="2">
        <v>149</v>
      </c>
      <c r="D1678" s="2" t="s">
        <v>443</v>
      </c>
      <c r="E1678" s="2" t="s">
        <v>7620</v>
      </c>
      <c r="F1678" s="2" t="s">
        <v>7649</v>
      </c>
      <c r="G1678" s="2" t="s">
        <v>7609</v>
      </c>
    </row>
    <row r="1679" spans="1:7">
      <c r="A1679" s="3">
        <v>56</v>
      </c>
      <c r="B1679" s="3" t="s">
        <v>12</v>
      </c>
      <c r="C1679" s="3">
        <v>150</v>
      </c>
      <c r="D1679" s="3" t="s">
        <v>379</v>
      </c>
      <c r="E1679" s="3" t="s">
        <v>7620</v>
      </c>
      <c r="F1679" s="3" t="s">
        <v>7649</v>
      </c>
      <c r="G1679" s="3" t="s">
        <v>7633</v>
      </c>
    </row>
    <row r="1680" spans="1:7">
      <c r="A1680" s="2">
        <v>56</v>
      </c>
      <c r="B1680" s="2" t="s">
        <v>12</v>
      </c>
      <c r="C1680" s="2">
        <v>152</v>
      </c>
      <c r="D1680" s="2" t="s">
        <v>508</v>
      </c>
      <c r="E1680" s="2" t="s">
        <v>7620</v>
      </c>
      <c r="F1680" s="2" t="s">
        <v>7611</v>
      </c>
      <c r="G1680" s="2" t="s">
        <v>7621</v>
      </c>
    </row>
    <row r="1681" spans="1:7">
      <c r="A1681" s="3">
        <v>56</v>
      </c>
      <c r="B1681" s="3" t="s">
        <v>12</v>
      </c>
      <c r="C1681" s="3">
        <v>153</v>
      </c>
      <c r="D1681" s="3" t="s">
        <v>435</v>
      </c>
      <c r="E1681" s="3" t="s">
        <v>7620</v>
      </c>
      <c r="F1681" s="3" t="s">
        <v>7611</v>
      </c>
      <c r="G1681" s="3" t="s">
        <v>7633</v>
      </c>
    </row>
    <row r="1682" spans="1:7">
      <c r="A1682" s="2">
        <v>56</v>
      </c>
      <c r="B1682" s="2" t="s">
        <v>12</v>
      </c>
      <c r="C1682" s="2">
        <v>154</v>
      </c>
      <c r="D1682" s="2" t="s">
        <v>589</v>
      </c>
      <c r="E1682" s="2" t="s">
        <v>7620</v>
      </c>
      <c r="F1682" s="2" t="s">
        <v>7611</v>
      </c>
      <c r="G1682" s="2" t="s">
        <v>7621</v>
      </c>
    </row>
    <row r="1683" spans="1:7">
      <c r="A1683" s="3">
        <v>56</v>
      </c>
      <c r="B1683" s="3" t="s">
        <v>12</v>
      </c>
      <c r="C1683" s="3">
        <v>155</v>
      </c>
      <c r="D1683" s="3" t="s">
        <v>400</v>
      </c>
      <c r="E1683" s="3" t="s">
        <v>7620</v>
      </c>
      <c r="F1683" s="3" t="s">
        <v>7628</v>
      </c>
      <c r="G1683" s="3" t="s">
        <v>7633</v>
      </c>
    </row>
    <row r="1684" spans="1:7">
      <c r="A1684" s="2">
        <v>56</v>
      </c>
      <c r="B1684" s="2" t="s">
        <v>12</v>
      </c>
      <c r="C1684" s="2">
        <v>156</v>
      </c>
      <c r="D1684" s="2" t="s">
        <v>560</v>
      </c>
      <c r="E1684" s="2" t="s">
        <v>7620</v>
      </c>
      <c r="F1684" s="2" t="s">
        <v>7611</v>
      </c>
      <c r="G1684" s="2" t="s">
        <v>7621</v>
      </c>
    </row>
    <row r="1685" spans="1:7">
      <c r="A1685" s="3">
        <v>56</v>
      </c>
      <c r="B1685" s="3" t="s">
        <v>12</v>
      </c>
      <c r="C1685" s="3">
        <v>157</v>
      </c>
      <c r="D1685" s="3" t="s">
        <v>556</v>
      </c>
      <c r="E1685" s="3" t="s">
        <v>7620</v>
      </c>
      <c r="F1685" s="3" t="s">
        <v>7611</v>
      </c>
      <c r="G1685" s="3" t="s">
        <v>7621</v>
      </c>
    </row>
    <row r="1686" spans="1:7">
      <c r="A1686" s="2">
        <v>56</v>
      </c>
      <c r="B1686" s="2" t="s">
        <v>12</v>
      </c>
      <c r="C1686" s="2">
        <v>158</v>
      </c>
      <c r="D1686" s="2" t="s">
        <v>521</v>
      </c>
      <c r="E1686" s="2" t="s">
        <v>7620</v>
      </c>
      <c r="F1686" s="2" t="s">
        <v>7611</v>
      </c>
      <c r="G1686" s="2" t="s">
        <v>7621</v>
      </c>
    </row>
    <row r="1687" spans="1:7">
      <c r="A1687" s="3">
        <v>56</v>
      </c>
      <c r="B1687" s="3" t="s">
        <v>12</v>
      </c>
      <c r="C1687" s="3">
        <v>159</v>
      </c>
      <c r="D1687" s="3" t="s">
        <v>598</v>
      </c>
      <c r="E1687" s="3" t="s">
        <v>7620</v>
      </c>
      <c r="F1687" s="3" t="s">
        <v>7611</v>
      </c>
      <c r="G1687" s="3" t="s">
        <v>7622</v>
      </c>
    </row>
    <row r="1688" spans="1:7">
      <c r="A1688" s="2">
        <v>56</v>
      </c>
      <c r="B1688" s="2" t="s">
        <v>12</v>
      </c>
      <c r="C1688" s="2">
        <v>160</v>
      </c>
      <c r="D1688" s="2" t="s">
        <v>425</v>
      </c>
      <c r="E1688" s="2" t="s">
        <v>7620</v>
      </c>
      <c r="F1688" s="2" t="s">
        <v>7659</v>
      </c>
      <c r="G1688" s="2" t="s">
        <v>7636</v>
      </c>
    </row>
    <row r="1689" spans="1:7">
      <c r="A1689" s="3">
        <v>56</v>
      </c>
      <c r="B1689" s="3" t="s">
        <v>12</v>
      </c>
      <c r="C1689" s="3">
        <v>162</v>
      </c>
      <c r="D1689" s="3" t="s">
        <v>473</v>
      </c>
      <c r="E1689" s="3" t="s">
        <v>7620</v>
      </c>
      <c r="F1689" s="3" t="s">
        <v>7611</v>
      </c>
      <c r="G1689" s="3" t="s">
        <v>7625</v>
      </c>
    </row>
    <row r="1690" spans="1:7">
      <c r="A1690" s="2">
        <v>56</v>
      </c>
      <c r="B1690" s="2" t="s">
        <v>12</v>
      </c>
      <c r="C1690" s="2">
        <v>163</v>
      </c>
      <c r="D1690" s="2" t="s">
        <v>587</v>
      </c>
      <c r="E1690" s="2" t="s">
        <v>7620</v>
      </c>
      <c r="F1690" s="2" t="s">
        <v>7611</v>
      </c>
      <c r="G1690" s="2" t="s">
        <v>7625</v>
      </c>
    </row>
    <row r="1691" spans="1:7">
      <c r="A1691" s="3">
        <v>56</v>
      </c>
      <c r="B1691" s="3" t="s">
        <v>12</v>
      </c>
      <c r="C1691" s="3">
        <v>164</v>
      </c>
      <c r="D1691" s="3" t="s">
        <v>552</v>
      </c>
      <c r="E1691" s="3" t="s">
        <v>7620</v>
      </c>
      <c r="F1691" s="3" t="s">
        <v>7611</v>
      </c>
      <c r="G1691" s="3" t="s">
        <v>7621</v>
      </c>
    </row>
    <row r="1692" spans="1:7">
      <c r="A1692" s="2">
        <v>56</v>
      </c>
      <c r="B1692" s="2" t="s">
        <v>12</v>
      </c>
      <c r="C1692" s="2">
        <v>165</v>
      </c>
      <c r="D1692" s="2" t="s">
        <v>568</v>
      </c>
      <c r="E1692" s="2" t="s">
        <v>7620</v>
      </c>
      <c r="F1692" s="2" t="s">
        <v>7650</v>
      </c>
      <c r="G1692" s="2" t="s">
        <v>7621</v>
      </c>
    </row>
    <row r="1693" spans="1:7">
      <c r="A1693" s="3">
        <v>56</v>
      </c>
      <c r="B1693" s="3" t="s">
        <v>12</v>
      </c>
      <c r="C1693" s="3">
        <v>166</v>
      </c>
      <c r="D1693" s="3" t="s">
        <v>483</v>
      </c>
      <c r="E1693" s="3" t="s">
        <v>7620</v>
      </c>
      <c r="F1693" s="3" t="s">
        <v>7611</v>
      </c>
      <c r="G1693" s="3" t="s">
        <v>7621</v>
      </c>
    </row>
    <row r="1694" spans="1:7">
      <c r="A1694" s="2">
        <v>56</v>
      </c>
      <c r="B1694" s="2" t="s">
        <v>12</v>
      </c>
      <c r="C1694" s="2">
        <v>167</v>
      </c>
      <c r="D1694" s="2" t="s">
        <v>469</v>
      </c>
      <c r="E1694" s="2" t="s">
        <v>7620</v>
      </c>
      <c r="F1694" s="2" t="s">
        <v>7611</v>
      </c>
      <c r="G1694" s="2" t="s">
        <v>7621</v>
      </c>
    </row>
    <row r="1695" spans="1:7">
      <c r="A1695" s="3">
        <v>56</v>
      </c>
      <c r="B1695" s="3" t="s">
        <v>12</v>
      </c>
      <c r="C1695" s="3">
        <v>168</v>
      </c>
      <c r="D1695" s="3" t="s">
        <v>626</v>
      </c>
      <c r="E1695" s="3" t="s">
        <v>7620</v>
      </c>
      <c r="F1695" s="3" t="s">
        <v>7611</v>
      </c>
      <c r="G1695" s="3" t="s">
        <v>7621</v>
      </c>
    </row>
    <row r="1696" spans="1:7">
      <c r="A1696" s="2">
        <v>56</v>
      </c>
      <c r="B1696" s="2" t="s">
        <v>12</v>
      </c>
      <c r="C1696" s="2">
        <v>175</v>
      </c>
      <c r="D1696" s="2" t="s">
        <v>636</v>
      </c>
      <c r="E1696" s="2" t="s">
        <v>7608</v>
      </c>
      <c r="F1696" s="2" t="s">
        <v>7659</v>
      </c>
      <c r="G1696" s="2" t="s">
        <v>7625</v>
      </c>
    </row>
    <row r="1697" spans="1:7">
      <c r="A1697" s="3">
        <v>56</v>
      </c>
      <c r="B1697" s="3" t="s">
        <v>12</v>
      </c>
      <c r="C1697" s="3">
        <v>178</v>
      </c>
      <c r="D1697" s="3" t="s">
        <v>640</v>
      </c>
      <c r="E1697" s="3" t="s">
        <v>7616</v>
      </c>
      <c r="F1697" s="3" t="s">
        <v>7611</v>
      </c>
      <c r="G1697" s="3" t="s">
        <v>7617</v>
      </c>
    </row>
    <row r="1698" spans="1:7">
      <c r="A1698" s="2">
        <v>56</v>
      </c>
      <c r="B1698" s="2" t="s">
        <v>12</v>
      </c>
      <c r="C1698" s="2">
        <v>181</v>
      </c>
      <c r="D1698" s="2" t="s">
        <v>653</v>
      </c>
      <c r="E1698" s="2" t="s">
        <v>7724</v>
      </c>
      <c r="F1698" s="2" t="s">
        <v>7652</v>
      </c>
      <c r="G1698" s="2" t="s">
        <v>7634</v>
      </c>
    </row>
    <row r="1699" spans="1:7">
      <c r="A1699" s="3">
        <v>56</v>
      </c>
      <c r="B1699" s="3" t="s">
        <v>12</v>
      </c>
      <c r="C1699" s="3">
        <v>183</v>
      </c>
      <c r="D1699" s="3" t="s">
        <v>660</v>
      </c>
      <c r="E1699" s="3" t="s">
        <v>7620</v>
      </c>
      <c r="F1699" s="3" t="s">
        <v>7611</v>
      </c>
      <c r="G1699" s="3" t="s">
        <v>7621</v>
      </c>
    </row>
    <row r="1700" spans="1:7">
      <c r="A1700" s="2">
        <v>56</v>
      </c>
      <c r="B1700" s="2" t="s">
        <v>12</v>
      </c>
      <c r="C1700" s="2">
        <v>184</v>
      </c>
      <c r="D1700" s="2" t="s">
        <v>662</v>
      </c>
      <c r="E1700" s="2" t="s">
        <v>7620</v>
      </c>
      <c r="F1700" s="2" t="s">
        <v>7649</v>
      </c>
      <c r="G1700" s="2" t="s">
        <v>7609</v>
      </c>
    </row>
    <row r="1701" spans="1:7">
      <c r="A1701" s="3">
        <v>56</v>
      </c>
      <c r="B1701" s="3" t="s">
        <v>12</v>
      </c>
      <c r="C1701" s="3">
        <v>185</v>
      </c>
      <c r="D1701" s="3" t="s">
        <v>667</v>
      </c>
      <c r="E1701" s="3" t="s">
        <v>7620</v>
      </c>
      <c r="F1701" s="3" t="s">
        <v>7611</v>
      </c>
      <c r="G1701" s="3" t="s">
        <v>7621</v>
      </c>
    </row>
    <row r="1702" spans="1:7">
      <c r="A1702" s="2">
        <v>56</v>
      </c>
      <c r="B1702" s="2" t="s">
        <v>12</v>
      </c>
      <c r="C1702" s="2">
        <v>186</v>
      </c>
      <c r="D1702" s="2" t="s">
        <v>469</v>
      </c>
      <c r="E1702" s="2" t="s">
        <v>7620</v>
      </c>
      <c r="F1702" s="2" t="s">
        <v>7611</v>
      </c>
      <c r="G1702" s="2" t="s">
        <v>7625</v>
      </c>
    </row>
    <row r="1703" spans="1:7">
      <c r="A1703" s="3">
        <v>56</v>
      </c>
      <c r="B1703" s="3" t="s">
        <v>12</v>
      </c>
      <c r="C1703" s="3">
        <v>191</v>
      </c>
      <c r="D1703" s="3" t="s">
        <v>719</v>
      </c>
      <c r="E1703" s="3" t="s">
        <v>7694</v>
      </c>
      <c r="F1703" s="3" t="s">
        <v>7659</v>
      </c>
      <c r="G1703" s="3" t="s">
        <v>7624</v>
      </c>
    </row>
    <row r="1704" spans="1:7">
      <c r="A1704" s="2">
        <v>56</v>
      </c>
      <c r="B1704" s="2" t="s">
        <v>12</v>
      </c>
      <c r="C1704" s="2">
        <v>192</v>
      </c>
      <c r="D1704" s="2" t="s">
        <v>727</v>
      </c>
      <c r="E1704" s="2" t="s">
        <v>7724</v>
      </c>
      <c r="F1704" s="2" t="s">
        <v>7652</v>
      </c>
      <c r="G1704" s="2" t="s">
        <v>7619</v>
      </c>
    </row>
    <row r="1705" spans="1:7">
      <c r="A1705" s="3">
        <v>56</v>
      </c>
      <c r="B1705" s="3" t="s">
        <v>12</v>
      </c>
      <c r="C1705" s="3">
        <v>195</v>
      </c>
      <c r="D1705" s="3" t="s">
        <v>734</v>
      </c>
      <c r="E1705" s="3" t="s">
        <v>7694</v>
      </c>
      <c r="F1705" s="3" t="s">
        <v>7659</v>
      </c>
      <c r="G1705" s="3" t="s">
        <v>7624</v>
      </c>
    </row>
    <row r="1706" spans="1:7">
      <c r="A1706" s="2">
        <v>56</v>
      </c>
      <c r="B1706" s="2" t="s">
        <v>12</v>
      </c>
      <c r="C1706" s="2">
        <v>196</v>
      </c>
      <c r="D1706" s="2" t="s">
        <v>736</v>
      </c>
      <c r="E1706" s="2" t="s">
        <v>7635</v>
      </c>
      <c r="F1706" s="2" t="s">
        <v>7652</v>
      </c>
      <c r="G1706" s="2" t="s">
        <v>7609</v>
      </c>
    </row>
    <row r="1707" spans="1:7">
      <c r="A1707" s="3">
        <v>56</v>
      </c>
      <c r="B1707" s="3" t="s">
        <v>12</v>
      </c>
      <c r="C1707" s="3">
        <v>197</v>
      </c>
      <c r="D1707" s="3" t="s">
        <v>690</v>
      </c>
      <c r="E1707" s="3" t="s">
        <v>7724</v>
      </c>
      <c r="F1707" s="3" t="s">
        <v>7652</v>
      </c>
      <c r="G1707" s="3" t="s">
        <v>7619</v>
      </c>
    </row>
    <row r="1708" spans="1:7">
      <c r="A1708" s="2">
        <v>56</v>
      </c>
      <c r="B1708" s="2" t="s">
        <v>12</v>
      </c>
      <c r="C1708" s="2">
        <v>198</v>
      </c>
      <c r="D1708" s="2" t="s">
        <v>698</v>
      </c>
      <c r="E1708" s="2" t="s">
        <v>7723</v>
      </c>
      <c r="F1708" s="2" t="s">
        <v>7659</v>
      </c>
      <c r="G1708" s="2" t="s">
        <v>7637</v>
      </c>
    </row>
    <row r="1709" spans="1:7">
      <c r="A1709" s="3">
        <v>56</v>
      </c>
      <c r="B1709" s="3" t="s">
        <v>12</v>
      </c>
      <c r="C1709" s="3">
        <v>199</v>
      </c>
      <c r="D1709" s="3" t="s">
        <v>702</v>
      </c>
      <c r="E1709" s="3" t="s">
        <v>7694</v>
      </c>
      <c r="F1709" s="3" t="s">
        <v>7659</v>
      </c>
      <c r="G1709" s="3" t="s">
        <v>7624</v>
      </c>
    </row>
    <row r="1710" spans="1:7">
      <c r="A1710" s="2">
        <v>56</v>
      </c>
      <c r="B1710" s="2" t="s">
        <v>12</v>
      </c>
      <c r="C1710" s="2">
        <v>200</v>
      </c>
      <c r="D1710" s="2" t="s">
        <v>707</v>
      </c>
      <c r="E1710" s="2" t="s">
        <v>7723</v>
      </c>
      <c r="F1710" s="2" t="s">
        <v>7659</v>
      </c>
      <c r="G1710" s="2" t="s">
        <v>7612</v>
      </c>
    </row>
    <row r="1711" spans="1:7">
      <c r="A1711" s="3">
        <v>56</v>
      </c>
      <c r="B1711" s="3" t="s">
        <v>12</v>
      </c>
      <c r="C1711" s="3">
        <v>201</v>
      </c>
      <c r="D1711" s="3" t="s">
        <v>695</v>
      </c>
      <c r="E1711" s="3" t="s">
        <v>7724</v>
      </c>
      <c r="F1711" s="3" t="s">
        <v>7659</v>
      </c>
      <c r="G1711" s="3" t="s">
        <v>7639</v>
      </c>
    </row>
    <row r="1712" spans="1:7">
      <c r="A1712" s="2">
        <v>56</v>
      </c>
      <c r="B1712" s="2" t="s">
        <v>12</v>
      </c>
      <c r="C1712" s="2">
        <v>202</v>
      </c>
      <c r="D1712" s="2" t="s">
        <v>712</v>
      </c>
      <c r="E1712" s="2" t="s">
        <v>7724</v>
      </c>
      <c r="F1712" s="2" t="s">
        <v>7652</v>
      </c>
      <c r="G1712" s="2" t="s">
        <v>7636</v>
      </c>
    </row>
    <row r="1713" spans="1:7">
      <c r="A1713" s="3">
        <v>56</v>
      </c>
      <c r="B1713" s="3" t="s">
        <v>12</v>
      </c>
      <c r="C1713" s="3">
        <v>203</v>
      </c>
      <c r="D1713" s="3" t="s">
        <v>681</v>
      </c>
      <c r="E1713" s="3" t="s">
        <v>7635</v>
      </c>
      <c r="F1713" s="3" t="s">
        <v>7652</v>
      </c>
      <c r="G1713" s="3" t="s">
        <v>7609</v>
      </c>
    </row>
    <row r="1714" spans="1:7">
      <c r="A1714" s="2">
        <v>56</v>
      </c>
      <c r="B1714" s="2" t="s">
        <v>12</v>
      </c>
      <c r="C1714" s="2">
        <v>204</v>
      </c>
      <c r="D1714" s="2" t="s">
        <v>685</v>
      </c>
      <c r="E1714" s="2" t="s">
        <v>7724</v>
      </c>
      <c r="F1714" s="2" t="s">
        <v>7659</v>
      </c>
      <c r="G1714" s="2" t="s">
        <v>7639</v>
      </c>
    </row>
    <row r="1715" spans="1:7">
      <c r="A1715" s="3">
        <v>56</v>
      </c>
      <c r="B1715" s="3" t="s">
        <v>12</v>
      </c>
      <c r="C1715" s="3">
        <v>205</v>
      </c>
      <c r="D1715" s="3" t="s">
        <v>746</v>
      </c>
      <c r="E1715" s="3" t="s">
        <v>7694</v>
      </c>
      <c r="F1715" s="3" t="s">
        <v>7628</v>
      </c>
      <c r="G1715" s="3" t="s">
        <v>7634</v>
      </c>
    </row>
    <row r="1716" spans="1:7">
      <c r="A1716" s="2">
        <v>56</v>
      </c>
      <c r="B1716" s="2" t="s">
        <v>12</v>
      </c>
      <c r="C1716" s="2">
        <v>206</v>
      </c>
      <c r="D1716" s="2" t="s">
        <v>723</v>
      </c>
      <c r="E1716" s="2" t="s">
        <v>7635</v>
      </c>
      <c r="F1716" s="2" t="s">
        <v>7635</v>
      </c>
      <c r="G1716" s="2" t="s">
        <v>7625</v>
      </c>
    </row>
    <row r="1717" spans="1:7">
      <c r="A1717" s="3">
        <v>56</v>
      </c>
      <c r="B1717" s="3" t="s">
        <v>12</v>
      </c>
      <c r="C1717" s="3">
        <v>207</v>
      </c>
      <c r="D1717" s="3" t="s">
        <v>749</v>
      </c>
      <c r="E1717" s="3" t="s">
        <v>7694</v>
      </c>
      <c r="F1717" s="3" t="s">
        <v>7611</v>
      </c>
      <c r="G1717" s="3" t="s">
        <v>7617</v>
      </c>
    </row>
    <row r="1718" spans="1:7">
      <c r="A1718" s="2">
        <v>56</v>
      </c>
      <c r="B1718" s="2" t="s">
        <v>12</v>
      </c>
      <c r="C1718" s="2">
        <v>208</v>
      </c>
      <c r="D1718" s="2" t="s">
        <v>754</v>
      </c>
      <c r="E1718" s="2" t="s">
        <v>7694</v>
      </c>
      <c r="F1718" s="2" t="s">
        <v>7628</v>
      </c>
      <c r="G1718" s="2" t="s">
        <v>7619</v>
      </c>
    </row>
    <row r="1719" spans="1:7">
      <c r="A1719" s="3">
        <v>56</v>
      </c>
      <c r="B1719" s="3" t="s">
        <v>12</v>
      </c>
      <c r="C1719" s="3">
        <v>209</v>
      </c>
      <c r="D1719" s="3" t="s">
        <v>758</v>
      </c>
      <c r="E1719" s="3" t="s">
        <v>7620</v>
      </c>
      <c r="F1719" s="3" t="s">
        <v>7652</v>
      </c>
      <c r="G1719" s="3" t="s">
        <v>7633</v>
      </c>
    </row>
    <row r="1720" spans="1:7">
      <c r="A1720" s="2">
        <v>56</v>
      </c>
      <c r="B1720" s="2" t="s">
        <v>12</v>
      </c>
      <c r="C1720" s="2">
        <v>214</v>
      </c>
      <c r="D1720" s="2" t="s">
        <v>870</v>
      </c>
      <c r="E1720" s="2" t="s">
        <v>7620</v>
      </c>
      <c r="F1720" s="2" t="s">
        <v>7611</v>
      </c>
      <c r="G1720" s="2" t="s">
        <v>7621</v>
      </c>
    </row>
    <row r="1721" spans="1:7">
      <c r="A1721" s="3">
        <v>56</v>
      </c>
      <c r="B1721" s="3" t="s">
        <v>12</v>
      </c>
      <c r="C1721" s="3">
        <v>215</v>
      </c>
      <c r="D1721" s="3" t="s">
        <v>844</v>
      </c>
      <c r="E1721" s="3" t="s">
        <v>7616</v>
      </c>
      <c r="F1721" s="3" t="s">
        <v>7649</v>
      </c>
      <c r="G1721" s="3" t="s">
        <v>7639</v>
      </c>
    </row>
    <row r="1722" spans="1:7">
      <c r="A1722" s="2">
        <v>56</v>
      </c>
      <c r="B1722" s="2" t="s">
        <v>12</v>
      </c>
      <c r="C1722" s="2">
        <v>216</v>
      </c>
      <c r="D1722" s="2"/>
      <c r="E1722" s="2" t="s">
        <v>7616</v>
      </c>
      <c r="F1722" s="2" t="s">
        <v>7611</v>
      </c>
      <c r="G1722" s="2" t="s">
        <v>7617</v>
      </c>
    </row>
    <row r="1723" spans="1:7">
      <c r="A1723" s="3">
        <v>56</v>
      </c>
      <c r="B1723" s="3" t="s">
        <v>12</v>
      </c>
      <c r="C1723" s="3">
        <v>217</v>
      </c>
      <c r="D1723" s="3" t="s">
        <v>795</v>
      </c>
      <c r="E1723" s="3" t="s">
        <v>7616</v>
      </c>
      <c r="F1723" s="3" t="s">
        <v>7649</v>
      </c>
      <c r="G1723" s="3" t="s">
        <v>7619</v>
      </c>
    </row>
    <row r="1724" spans="1:7">
      <c r="A1724" s="2">
        <v>56</v>
      </c>
      <c r="B1724" s="2" t="s">
        <v>12</v>
      </c>
      <c r="C1724" s="2">
        <v>218</v>
      </c>
      <c r="D1724" s="2" t="s">
        <v>789</v>
      </c>
      <c r="E1724" s="2" t="s">
        <v>7616</v>
      </c>
      <c r="F1724" s="2" t="s">
        <v>7611</v>
      </c>
      <c r="G1724" s="2" t="s">
        <v>7617</v>
      </c>
    </row>
    <row r="1725" spans="1:7">
      <c r="A1725" s="3">
        <v>56</v>
      </c>
      <c r="B1725" s="3" t="s">
        <v>12</v>
      </c>
      <c r="C1725" s="3">
        <v>219</v>
      </c>
      <c r="D1725" s="3" t="s">
        <v>822</v>
      </c>
      <c r="E1725" s="3" t="s">
        <v>7616</v>
      </c>
      <c r="F1725" s="3" t="s">
        <v>7659</v>
      </c>
      <c r="G1725" s="3" t="s">
        <v>7624</v>
      </c>
    </row>
    <row r="1726" spans="1:7">
      <c r="A1726" s="2">
        <v>56</v>
      </c>
      <c r="B1726" s="2" t="s">
        <v>12</v>
      </c>
      <c r="C1726" s="2">
        <v>220</v>
      </c>
      <c r="D1726" s="2" t="s">
        <v>810</v>
      </c>
      <c r="E1726" s="2" t="s">
        <v>7616</v>
      </c>
      <c r="F1726" s="2" t="s">
        <v>7659</v>
      </c>
      <c r="G1726" s="2" t="s">
        <v>7639</v>
      </c>
    </row>
    <row r="1727" spans="1:7">
      <c r="A1727" s="3">
        <v>56</v>
      </c>
      <c r="B1727" s="3" t="s">
        <v>12</v>
      </c>
      <c r="C1727" s="3">
        <v>221</v>
      </c>
      <c r="D1727" s="3" t="s">
        <v>813</v>
      </c>
      <c r="E1727" s="3" t="s">
        <v>7616</v>
      </c>
      <c r="F1727" s="3" t="s">
        <v>7649</v>
      </c>
      <c r="G1727" s="3" t="s">
        <v>7634</v>
      </c>
    </row>
    <row r="1728" spans="1:7">
      <c r="A1728" s="2">
        <v>56</v>
      </c>
      <c r="B1728" s="2" t="s">
        <v>12</v>
      </c>
      <c r="C1728" s="2">
        <v>222</v>
      </c>
      <c r="D1728" s="2" t="s">
        <v>864</v>
      </c>
      <c r="E1728" s="2" t="s">
        <v>7616</v>
      </c>
      <c r="F1728" s="2" t="s">
        <v>7611</v>
      </c>
      <c r="G1728" s="2" t="s">
        <v>7617</v>
      </c>
    </row>
    <row r="1729" spans="1:7">
      <c r="A1729" s="3">
        <v>56</v>
      </c>
      <c r="B1729" s="3" t="s">
        <v>12</v>
      </c>
      <c r="C1729" s="3">
        <v>230</v>
      </c>
      <c r="D1729" s="3" t="s">
        <v>920</v>
      </c>
      <c r="E1729" s="3" t="s">
        <v>7620</v>
      </c>
      <c r="F1729" s="3" t="s">
        <v>7650</v>
      </c>
      <c r="G1729" s="3" t="s">
        <v>7622</v>
      </c>
    </row>
    <row r="1730" spans="1:7">
      <c r="A1730" s="2">
        <v>56</v>
      </c>
      <c r="B1730" s="2" t="s">
        <v>12</v>
      </c>
      <c r="C1730" s="2">
        <v>231</v>
      </c>
      <c r="D1730" s="2" t="s">
        <v>923</v>
      </c>
      <c r="E1730" s="2" t="s">
        <v>7620</v>
      </c>
      <c r="F1730" s="2" t="s">
        <v>7611</v>
      </c>
      <c r="G1730" s="2" t="s">
        <v>7622</v>
      </c>
    </row>
    <row r="1731" spans="1:7">
      <c r="A1731" s="3">
        <v>56</v>
      </c>
      <c r="B1731" s="3" t="s">
        <v>12</v>
      </c>
      <c r="C1731" s="3">
        <v>232</v>
      </c>
      <c r="D1731" s="3" t="s">
        <v>933</v>
      </c>
      <c r="E1731" s="3" t="s">
        <v>7620</v>
      </c>
      <c r="F1731" s="3" t="s">
        <v>7608</v>
      </c>
      <c r="G1731" s="3" t="s">
        <v>7625</v>
      </c>
    </row>
    <row r="1732" spans="1:7">
      <c r="A1732" s="2">
        <v>56</v>
      </c>
      <c r="B1732" s="2" t="s">
        <v>12</v>
      </c>
      <c r="C1732" s="2">
        <v>233</v>
      </c>
      <c r="D1732" s="2" t="s">
        <v>937</v>
      </c>
      <c r="E1732" s="2" t="s">
        <v>7620</v>
      </c>
      <c r="F1732" s="2" t="s">
        <v>7611</v>
      </c>
      <c r="G1732" s="2" t="s">
        <v>7621</v>
      </c>
    </row>
    <row r="1733" spans="1:7">
      <c r="A1733" s="3">
        <v>56</v>
      </c>
      <c r="B1733" s="3" t="s">
        <v>12</v>
      </c>
      <c r="C1733" s="3">
        <v>237</v>
      </c>
      <c r="D1733" s="3" t="s">
        <v>944</v>
      </c>
      <c r="E1733" s="3" t="s">
        <v>7620</v>
      </c>
      <c r="F1733" s="3" t="s">
        <v>7608</v>
      </c>
      <c r="G1733" s="3" t="s">
        <v>7625</v>
      </c>
    </row>
    <row r="1734" spans="1:7">
      <c r="A1734" s="2">
        <v>56</v>
      </c>
      <c r="B1734" s="2" t="s">
        <v>12</v>
      </c>
      <c r="C1734" s="2">
        <v>243</v>
      </c>
      <c r="D1734" s="2" t="s">
        <v>941</v>
      </c>
      <c r="E1734" s="2" t="s">
        <v>7620</v>
      </c>
      <c r="F1734" s="2" t="s">
        <v>7608</v>
      </c>
      <c r="G1734" s="2" t="s">
        <v>7625</v>
      </c>
    </row>
    <row r="1735" spans="1:7">
      <c r="A1735" s="3">
        <v>56</v>
      </c>
      <c r="B1735" s="3" t="s">
        <v>12</v>
      </c>
      <c r="C1735" s="3">
        <v>250</v>
      </c>
      <c r="D1735" s="3" t="s">
        <v>926</v>
      </c>
      <c r="E1735" s="3" t="s">
        <v>7620</v>
      </c>
      <c r="F1735" s="3" t="s">
        <v>7608</v>
      </c>
      <c r="G1735" s="3" t="s">
        <v>7625</v>
      </c>
    </row>
    <row r="1736" spans="1:7">
      <c r="A1736" s="2">
        <v>56</v>
      </c>
      <c r="B1736" s="2" t="s">
        <v>12</v>
      </c>
      <c r="C1736" s="2">
        <v>251</v>
      </c>
      <c r="D1736" s="2" t="s">
        <v>819</v>
      </c>
      <c r="E1736" s="2" t="s">
        <v>7620</v>
      </c>
      <c r="F1736" s="2" t="s">
        <v>7611</v>
      </c>
      <c r="G1736" s="2" t="s">
        <v>7625</v>
      </c>
    </row>
    <row r="1737" spans="1:7">
      <c r="A1737" s="3">
        <v>56</v>
      </c>
      <c r="B1737" s="3" t="s">
        <v>12</v>
      </c>
      <c r="C1737" s="3">
        <v>254</v>
      </c>
      <c r="D1737" s="3" t="s">
        <v>837</v>
      </c>
      <c r="E1737" s="3" t="s">
        <v>7616</v>
      </c>
      <c r="F1737" s="3" t="s">
        <v>7649</v>
      </c>
      <c r="G1737" s="3" t="s">
        <v>7619</v>
      </c>
    </row>
    <row r="1738" spans="1:7">
      <c r="A1738" s="2">
        <v>56</v>
      </c>
      <c r="B1738" s="2" t="s">
        <v>12</v>
      </c>
      <c r="C1738" s="2">
        <v>256</v>
      </c>
      <c r="D1738" s="2" t="s">
        <v>785</v>
      </c>
      <c r="E1738" s="2" t="s">
        <v>7620</v>
      </c>
      <c r="F1738" s="2" t="s">
        <v>7611</v>
      </c>
      <c r="G1738" s="2" t="s">
        <v>7621</v>
      </c>
    </row>
    <row r="1739" spans="1:7">
      <c r="A1739" s="3">
        <v>56</v>
      </c>
      <c r="B1739" s="3" t="s">
        <v>12</v>
      </c>
      <c r="C1739" s="3">
        <v>257</v>
      </c>
      <c r="D1739" s="3" t="s">
        <v>876</v>
      </c>
      <c r="E1739" s="3" t="s">
        <v>7620</v>
      </c>
      <c r="F1739" s="3" t="s">
        <v>7611</v>
      </c>
      <c r="G1739" s="3" t="s">
        <v>7621</v>
      </c>
    </row>
    <row r="1740" spans="1:7">
      <c r="A1740" s="2">
        <v>56</v>
      </c>
      <c r="B1740" s="2" t="s">
        <v>12</v>
      </c>
      <c r="C1740" s="2">
        <v>262</v>
      </c>
      <c r="D1740" s="2" t="s">
        <v>355</v>
      </c>
      <c r="E1740" s="2" t="s">
        <v>7616</v>
      </c>
      <c r="F1740" s="2" t="s">
        <v>7611</v>
      </c>
      <c r="G1740" s="2" t="s">
        <v>7617</v>
      </c>
    </row>
    <row r="1741" spans="1:7">
      <c r="A1741" s="3">
        <v>56</v>
      </c>
      <c r="B1741" s="3" t="s">
        <v>12</v>
      </c>
      <c r="C1741" s="3">
        <v>264</v>
      </c>
      <c r="D1741" s="3" t="s">
        <v>775</v>
      </c>
      <c r="E1741" s="3" t="s">
        <v>7694</v>
      </c>
      <c r="F1741" s="3" t="s">
        <v>7659</v>
      </c>
      <c r="G1741" s="3" t="s">
        <v>7632</v>
      </c>
    </row>
    <row r="1742" spans="1:7">
      <c r="A1742" s="2">
        <v>56</v>
      </c>
      <c r="B1742" s="2" t="s">
        <v>12</v>
      </c>
      <c r="C1742" s="2">
        <v>265</v>
      </c>
      <c r="D1742" s="2" t="s">
        <v>860</v>
      </c>
      <c r="E1742" s="2" t="s">
        <v>7620</v>
      </c>
      <c r="F1742" s="2" t="s">
        <v>7611</v>
      </c>
      <c r="G1742" s="2" t="s">
        <v>7621</v>
      </c>
    </row>
    <row r="1743" spans="1:7">
      <c r="A1743" s="3">
        <v>56</v>
      </c>
      <c r="B1743" s="3" t="s">
        <v>12</v>
      </c>
      <c r="C1743" s="3">
        <v>266</v>
      </c>
      <c r="D1743" s="3" t="s">
        <v>826</v>
      </c>
      <c r="E1743" s="3" t="s">
        <v>7616</v>
      </c>
      <c r="F1743" s="3" t="s">
        <v>7659</v>
      </c>
      <c r="G1743" s="3" t="s">
        <v>7632</v>
      </c>
    </row>
    <row r="1744" spans="1:7">
      <c r="A1744" s="2">
        <v>56</v>
      </c>
      <c r="B1744" s="2" t="s">
        <v>12</v>
      </c>
      <c r="C1744" s="2">
        <v>267</v>
      </c>
      <c r="D1744" s="2" t="s">
        <v>801</v>
      </c>
      <c r="E1744" s="2" t="s">
        <v>7620</v>
      </c>
      <c r="F1744" s="2" t="s">
        <v>7649</v>
      </c>
      <c r="G1744" s="2" t="s">
        <v>7617</v>
      </c>
    </row>
    <row r="1745" spans="1:7">
      <c r="A1745" s="3">
        <v>56</v>
      </c>
      <c r="B1745" s="3" t="s">
        <v>12</v>
      </c>
      <c r="C1745" s="3">
        <v>269</v>
      </c>
      <c r="D1745" s="3" t="s">
        <v>825</v>
      </c>
      <c r="E1745" s="3" t="s">
        <v>7620</v>
      </c>
      <c r="F1745" s="3" t="s">
        <v>7649</v>
      </c>
      <c r="G1745" s="3" t="s">
        <v>7633</v>
      </c>
    </row>
    <row r="1746" spans="1:7">
      <c r="A1746" s="2">
        <v>56</v>
      </c>
      <c r="B1746" s="2" t="s">
        <v>12</v>
      </c>
      <c r="C1746" s="2">
        <v>270</v>
      </c>
      <c r="D1746" s="2" t="s">
        <v>769</v>
      </c>
      <c r="E1746" s="2" t="s">
        <v>7620</v>
      </c>
      <c r="F1746" s="2" t="s">
        <v>7611</v>
      </c>
      <c r="G1746" s="2" t="s">
        <v>7622</v>
      </c>
    </row>
    <row r="1747" spans="1:7">
      <c r="A1747" s="3">
        <v>56</v>
      </c>
      <c r="B1747" s="3" t="s">
        <v>12</v>
      </c>
      <c r="C1747" s="3">
        <v>272</v>
      </c>
      <c r="D1747" s="3" t="s">
        <v>873</v>
      </c>
      <c r="E1747" s="3" t="s">
        <v>7620</v>
      </c>
      <c r="F1747" s="3" t="s">
        <v>7628</v>
      </c>
      <c r="G1747" s="3" t="s">
        <v>7609</v>
      </c>
    </row>
    <row r="1748" spans="1:7">
      <c r="A1748" s="2">
        <v>56</v>
      </c>
      <c r="B1748" s="2" t="s">
        <v>12</v>
      </c>
      <c r="C1748" s="2">
        <v>273</v>
      </c>
      <c r="D1748" s="2" t="s">
        <v>816</v>
      </c>
      <c r="E1748" s="2" t="s">
        <v>7620</v>
      </c>
      <c r="F1748" s="2" t="s">
        <v>7650</v>
      </c>
      <c r="G1748" s="2" t="s">
        <v>7621</v>
      </c>
    </row>
    <row r="1749" spans="1:7">
      <c r="A1749" s="3">
        <v>56</v>
      </c>
      <c r="B1749" s="3" t="s">
        <v>12</v>
      </c>
      <c r="C1749" s="3">
        <v>275</v>
      </c>
      <c r="D1749" s="3" t="s">
        <v>781</v>
      </c>
      <c r="E1749" s="3" t="s">
        <v>7616</v>
      </c>
      <c r="F1749" s="3" t="s">
        <v>7649</v>
      </c>
      <c r="G1749" s="3" t="s">
        <v>7634</v>
      </c>
    </row>
    <row r="1750" spans="1:7">
      <c r="A1750" s="2">
        <v>56</v>
      </c>
      <c r="B1750" s="2" t="s">
        <v>12</v>
      </c>
      <c r="C1750" s="2">
        <v>276</v>
      </c>
      <c r="D1750" s="2" t="s">
        <v>842</v>
      </c>
      <c r="E1750" s="2" t="s">
        <v>7620</v>
      </c>
      <c r="F1750" s="2" t="s">
        <v>7611</v>
      </c>
      <c r="G1750" s="2" t="s">
        <v>7621</v>
      </c>
    </row>
    <row r="1751" spans="1:7">
      <c r="A1751" s="3">
        <v>56</v>
      </c>
      <c r="B1751" s="3" t="s">
        <v>12</v>
      </c>
      <c r="C1751" s="3">
        <v>277</v>
      </c>
      <c r="D1751" s="3" t="s">
        <v>796</v>
      </c>
      <c r="E1751" s="3" t="s">
        <v>7620</v>
      </c>
      <c r="F1751" s="3" t="s">
        <v>7650</v>
      </c>
      <c r="G1751" s="3" t="s">
        <v>7621</v>
      </c>
    </row>
    <row r="1752" spans="1:7">
      <c r="A1752" s="2">
        <v>56</v>
      </c>
      <c r="B1752" s="2" t="s">
        <v>12</v>
      </c>
      <c r="C1752" s="2">
        <v>281</v>
      </c>
      <c r="D1752" s="2" t="s">
        <v>856</v>
      </c>
      <c r="E1752" s="2" t="s">
        <v>7620</v>
      </c>
      <c r="F1752" s="2" t="s">
        <v>7659</v>
      </c>
      <c r="G1752" s="2" t="s">
        <v>7617</v>
      </c>
    </row>
    <row r="1753" spans="1:7">
      <c r="A1753" s="3">
        <v>56</v>
      </c>
      <c r="B1753" s="3" t="s">
        <v>12</v>
      </c>
      <c r="C1753" s="3">
        <v>282</v>
      </c>
      <c r="D1753" s="3" t="s">
        <v>885</v>
      </c>
      <c r="E1753" s="3" t="s">
        <v>7616</v>
      </c>
      <c r="F1753" s="3" t="s">
        <v>7649</v>
      </c>
      <c r="G1753" s="3" t="s">
        <v>7619</v>
      </c>
    </row>
    <row r="1754" spans="1:7">
      <c r="A1754" s="2">
        <v>56</v>
      </c>
      <c r="B1754" s="2" t="s">
        <v>12</v>
      </c>
      <c r="C1754" s="2">
        <v>284</v>
      </c>
      <c r="D1754" s="2" t="s">
        <v>854</v>
      </c>
      <c r="E1754" s="2" t="s">
        <v>7620</v>
      </c>
      <c r="F1754" s="2" t="s">
        <v>7628</v>
      </c>
      <c r="G1754" s="2" t="s">
        <v>7609</v>
      </c>
    </row>
    <row r="1755" spans="1:7">
      <c r="A1755" s="3">
        <v>56</v>
      </c>
      <c r="B1755" s="3" t="s">
        <v>12</v>
      </c>
      <c r="C1755" s="3">
        <v>285</v>
      </c>
      <c r="D1755" s="3" t="s">
        <v>854</v>
      </c>
      <c r="E1755" s="3" t="s">
        <v>7620</v>
      </c>
      <c r="F1755" s="3" t="s">
        <v>7611</v>
      </c>
      <c r="G1755" s="3" t="s">
        <v>7621</v>
      </c>
    </row>
    <row r="1756" spans="1:7">
      <c r="A1756" s="2">
        <v>56</v>
      </c>
      <c r="B1756" s="2" t="s">
        <v>12</v>
      </c>
      <c r="C1756" s="2">
        <v>286</v>
      </c>
      <c r="D1756" s="2" t="s">
        <v>807</v>
      </c>
      <c r="E1756" s="2" t="s">
        <v>7620</v>
      </c>
      <c r="F1756" s="2" t="s">
        <v>7649</v>
      </c>
      <c r="G1756" s="2" t="s">
        <v>7633</v>
      </c>
    </row>
    <row r="1757" spans="1:7">
      <c r="A1757" s="3">
        <v>56</v>
      </c>
      <c r="B1757" s="3" t="s">
        <v>12</v>
      </c>
      <c r="C1757" s="3">
        <v>287</v>
      </c>
      <c r="D1757" s="3" t="s">
        <v>929</v>
      </c>
      <c r="E1757" s="3" t="s">
        <v>7616</v>
      </c>
      <c r="F1757" s="3" t="s">
        <v>7611</v>
      </c>
      <c r="G1757" s="3" t="s">
        <v>7617</v>
      </c>
    </row>
    <row r="1758" spans="1:7">
      <c r="A1758" s="2">
        <v>56</v>
      </c>
      <c r="B1758" s="2" t="s">
        <v>12</v>
      </c>
      <c r="C1758" s="2">
        <v>288</v>
      </c>
      <c r="D1758" s="2" t="s">
        <v>805</v>
      </c>
      <c r="E1758" s="2" t="s">
        <v>7620</v>
      </c>
      <c r="F1758" s="2" t="s">
        <v>7611</v>
      </c>
      <c r="G1758" s="2" t="s">
        <v>7621</v>
      </c>
    </row>
    <row r="1759" spans="1:7">
      <c r="A1759" s="3">
        <v>56</v>
      </c>
      <c r="B1759" s="3" t="s">
        <v>12</v>
      </c>
      <c r="C1759" s="3">
        <v>289</v>
      </c>
      <c r="D1759" s="3" t="s">
        <v>854</v>
      </c>
      <c r="E1759" s="3" t="s">
        <v>7620</v>
      </c>
      <c r="F1759" s="3" t="s">
        <v>7608</v>
      </c>
      <c r="G1759" s="3" t="s">
        <v>7625</v>
      </c>
    </row>
    <row r="1760" spans="1:7">
      <c r="A1760" s="2">
        <v>56</v>
      </c>
      <c r="B1760" s="2" t="s">
        <v>12</v>
      </c>
      <c r="C1760" s="2">
        <v>290</v>
      </c>
      <c r="D1760" s="2" t="s">
        <v>854</v>
      </c>
      <c r="E1760" s="2" t="s">
        <v>7620</v>
      </c>
      <c r="F1760" s="2" t="s">
        <v>7611</v>
      </c>
      <c r="G1760" s="2" t="s">
        <v>7625</v>
      </c>
    </row>
    <row r="1761" spans="1:7">
      <c r="A1761" s="3">
        <v>56</v>
      </c>
      <c r="B1761" s="3" t="s">
        <v>12</v>
      </c>
      <c r="C1761" s="3">
        <v>293</v>
      </c>
      <c r="D1761" s="3" t="s">
        <v>854</v>
      </c>
      <c r="E1761" s="3" t="s">
        <v>7620</v>
      </c>
      <c r="F1761" s="3" t="s">
        <v>7611</v>
      </c>
      <c r="G1761" s="3" t="s">
        <v>7621</v>
      </c>
    </row>
    <row r="1762" spans="1:7">
      <c r="A1762" s="2">
        <v>56</v>
      </c>
      <c r="B1762" s="2" t="s">
        <v>12</v>
      </c>
      <c r="C1762" s="2">
        <v>294</v>
      </c>
      <c r="D1762" s="2" t="s">
        <v>854</v>
      </c>
      <c r="E1762" s="2" t="s">
        <v>7620</v>
      </c>
      <c r="F1762" s="2" t="s">
        <v>7608</v>
      </c>
      <c r="G1762" s="2" t="s">
        <v>7625</v>
      </c>
    </row>
    <row r="1763" spans="1:7">
      <c r="A1763" s="3">
        <v>56</v>
      </c>
      <c r="B1763" s="3" t="s">
        <v>12</v>
      </c>
      <c r="C1763" s="3">
        <v>295</v>
      </c>
      <c r="D1763" s="3" t="s">
        <v>854</v>
      </c>
      <c r="E1763" s="3" t="s">
        <v>7620</v>
      </c>
      <c r="F1763" s="3" t="s">
        <v>7635</v>
      </c>
      <c r="G1763" s="3" t="s">
        <v>7621</v>
      </c>
    </row>
    <row r="1764" spans="1:7">
      <c r="A1764" s="2">
        <v>56</v>
      </c>
      <c r="B1764" s="2" t="s">
        <v>12</v>
      </c>
      <c r="C1764" s="2">
        <v>300</v>
      </c>
      <c r="D1764" s="2" t="s">
        <v>854</v>
      </c>
      <c r="E1764" s="2" t="s">
        <v>7620</v>
      </c>
      <c r="F1764" s="2" t="s">
        <v>7608</v>
      </c>
      <c r="G1764" s="2" t="s">
        <v>7625</v>
      </c>
    </row>
    <row r="1765" spans="1:7">
      <c r="A1765" s="3">
        <v>56</v>
      </c>
      <c r="B1765" s="3" t="s">
        <v>12</v>
      </c>
      <c r="C1765" s="3">
        <v>301</v>
      </c>
      <c r="D1765" s="3" t="s">
        <v>850</v>
      </c>
      <c r="E1765" s="3" t="s">
        <v>7620</v>
      </c>
      <c r="F1765" s="3" t="s">
        <v>7650</v>
      </c>
      <c r="G1765" s="3" t="s">
        <v>7622</v>
      </c>
    </row>
    <row r="1766" spans="1:7">
      <c r="A1766" s="2">
        <v>56</v>
      </c>
      <c r="B1766" s="2" t="s">
        <v>12</v>
      </c>
      <c r="C1766" s="2">
        <v>302</v>
      </c>
      <c r="D1766" s="2" t="s">
        <v>916</v>
      </c>
      <c r="E1766" s="2" t="s">
        <v>7620</v>
      </c>
      <c r="F1766" s="2" t="s">
        <v>7628</v>
      </c>
      <c r="G1766" s="2" t="s">
        <v>7633</v>
      </c>
    </row>
    <row r="1767" spans="1:7">
      <c r="A1767" s="3">
        <v>56</v>
      </c>
      <c r="B1767" s="3" t="s">
        <v>12</v>
      </c>
      <c r="C1767" s="3">
        <v>303</v>
      </c>
      <c r="D1767" s="3" t="s">
        <v>854</v>
      </c>
      <c r="E1767" s="3" t="s">
        <v>7620</v>
      </c>
      <c r="F1767" s="3" t="s">
        <v>7611</v>
      </c>
      <c r="G1767" s="3" t="s">
        <v>7621</v>
      </c>
    </row>
    <row r="1768" spans="1:7">
      <c r="A1768" s="2">
        <v>56</v>
      </c>
      <c r="B1768" s="2" t="s">
        <v>12</v>
      </c>
      <c r="C1768" s="2">
        <v>307</v>
      </c>
      <c r="D1768" s="2" t="s">
        <v>854</v>
      </c>
      <c r="E1768" s="2" t="s">
        <v>7620</v>
      </c>
      <c r="F1768" s="2" t="s">
        <v>7611</v>
      </c>
      <c r="G1768" s="2" t="s">
        <v>7625</v>
      </c>
    </row>
    <row r="1769" spans="1:7">
      <c r="A1769" s="3">
        <v>56</v>
      </c>
      <c r="B1769" s="3" t="s">
        <v>12</v>
      </c>
      <c r="C1769" s="3">
        <v>308</v>
      </c>
      <c r="D1769" s="3" t="s">
        <v>854</v>
      </c>
      <c r="E1769" s="3" t="s">
        <v>7620</v>
      </c>
      <c r="F1769" s="3" t="s">
        <v>7608</v>
      </c>
      <c r="G1769" s="3" t="s">
        <v>7625</v>
      </c>
    </row>
    <row r="1770" spans="1:7">
      <c r="A1770" s="2">
        <v>56</v>
      </c>
      <c r="B1770" s="2" t="s">
        <v>12</v>
      </c>
      <c r="C1770" s="2">
        <v>311</v>
      </c>
      <c r="D1770" s="2" t="s">
        <v>954</v>
      </c>
      <c r="E1770" s="2" t="s">
        <v>7635</v>
      </c>
      <c r="F1770" s="2" t="s">
        <v>7635</v>
      </c>
      <c r="G1770" s="2" t="s">
        <v>7622</v>
      </c>
    </row>
    <row r="1771" spans="1:7">
      <c r="A1771" s="3">
        <v>56</v>
      </c>
      <c r="B1771" s="3" t="s">
        <v>12</v>
      </c>
      <c r="C1771" s="3">
        <v>312</v>
      </c>
      <c r="D1771" s="3" t="s">
        <v>949</v>
      </c>
      <c r="E1771" s="3" t="s">
        <v>7635</v>
      </c>
      <c r="F1771" s="3" t="s">
        <v>7659</v>
      </c>
      <c r="G1771" s="3" t="s">
        <v>7636</v>
      </c>
    </row>
    <row r="1772" spans="1:7">
      <c r="A1772" s="2">
        <v>56</v>
      </c>
      <c r="B1772" s="2" t="s">
        <v>12</v>
      </c>
      <c r="C1772" s="2">
        <v>314</v>
      </c>
      <c r="D1772" s="2" t="s">
        <v>1050</v>
      </c>
      <c r="E1772" s="2" t="s">
        <v>7635</v>
      </c>
      <c r="F1772" s="2" t="s">
        <v>7652</v>
      </c>
      <c r="G1772" s="2" t="s">
        <v>7633</v>
      </c>
    </row>
    <row r="1773" spans="1:7">
      <c r="A1773" s="3">
        <v>56</v>
      </c>
      <c r="B1773" s="3" t="s">
        <v>12</v>
      </c>
      <c r="C1773" s="3">
        <v>316</v>
      </c>
      <c r="D1773" s="3" t="s">
        <v>1028</v>
      </c>
      <c r="E1773" s="3" t="s">
        <v>7620</v>
      </c>
      <c r="F1773" s="3" t="s">
        <v>7650</v>
      </c>
      <c r="G1773" s="3" t="s">
        <v>7625</v>
      </c>
    </row>
    <row r="1774" spans="1:7">
      <c r="A1774" s="2">
        <v>56</v>
      </c>
      <c r="B1774" s="2" t="s">
        <v>12</v>
      </c>
      <c r="C1774" s="2">
        <v>317</v>
      </c>
      <c r="D1774" s="2" t="s">
        <v>1030</v>
      </c>
      <c r="E1774" s="2" t="s">
        <v>7620</v>
      </c>
      <c r="F1774" s="2" t="s">
        <v>7611</v>
      </c>
      <c r="G1774" s="2" t="s">
        <v>7621</v>
      </c>
    </row>
    <row r="1775" spans="1:7">
      <c r="A1775" s="3">
        <v>56</v>
      </c>
      <c r="B1775" s="3" t="s">
        <v>12</v>
      </c>
      <c r="C1775" s="3">
        <v>318</v>
      </c>
      <c r="D1775" s="3" t="s">
        <v>1032</v>
      </c>
      <c r="E1775" s="3" t="s">
        <v>7620</v>
      </c>
      <c r="F1775" s="3" t="s">
        <v>7611</v>
      </c>
      <c r="G1775" s="3" t="s">
        <v>7622</v>
      </c>
    </row>
    <row r="1776" spans="1:7">
      <c r="A1776" s="2">
        <v>56</v>
      </c>
      <c r="B1776" s="2" t="s">
        <v>12</v>
      </c>
      <c r="C1776" s="2">
        <v>319</v>
      </c>
      <c r="D1776" s="2" t="s">
        <v>1035</v>
      </c>
      <c r="E1776" s="2" t="s">
        <v>7635</v>
      </c>
      <c r="F1776" s="2" t="s">
        <v>7628</v>
      </c>
      <c r="G1776" s="2" t="s">
        <v>7633</v>
      </c>
    </row>
    <row r="1777" spans="1:7">
      <c r="A1777" s="3">
        <v>56</v>
      </c>
      <c r="B1777" s="3" t="s">
        <v>12</v>
      </c>
      <c r="C1777" s="3">
        <v>320</v>
      </c>
      <c r="D1777" s="3" t="s">
        <v>1039</v>
      </c>
      <c r="E1777" s="3" t="s">
        <v>7724</v>
      </c>
      <c r="F1777" s="3" t="s">
        <v>7652</v>
      </c>
      <c r="G1777" s="3" t="s">
        <v>7634</v>
      </c>
    </row>
    <row r="1778" spans="1:7">
      <c r="A1778" s="2">
        <v>56</v>
      </c>
      <c r="B1778" s="2" t="s">
        <v>12</v>
      </c>
      <c r="C1778" s="2">
        <v>321</v>
      </c>
      <c r="D1778" s="2" t="s">
        <v>1048</v>
      </c>
      <c r="E1778" s="2" t="s">
        <v>7620</v>
      </c>
      <c r="F1778" s="2" t="s">
        <v>7649</v>
      </c>
      <c r="G1778" s="2" t="s">
        <v>7609</v>
      </c>
    </row>
    <row r="1779" spans="1:7">
      <c r="A1779" s="3">
        <v>56</v>
      </c>
      <c r="B1779" s="3" t="s">
        <v>12</v>
      </c>
      <c r="C1779" s="3">
        <v>322</v>
      </c>
      <c r="D1779" s="3" t="s">
        <v>1012</v>
      </c>
      <c r="E1779" s="3" t="s">
        <v>7724</v>
      </c>
      <c r="F1779" s="3" t="s">
        <v>7652</v>
      </c>
      <c r="G1779" s="3" t="s">
        <v>7619</v>
      </c>
    </row>
    <row r="1780" spans="1:7">
      <c r="A1780" s="2">
        <v>56</v>
      </c>
      <c r="B1780" s="2" t="s">
        <v>12</v>
      </c>
      <c r="C1780" s="2">
        <v>323</v>
      </c>
      <c r="D1780" s="2" t="s">
        <v>1016</v>
      </c>
      <c r="E1780" s="2" t="s">
        <v>7620</v>
      </c>
      <c r="F1780" s="2" t="s">
        <v>7649</v>
      </c>
      <c r="G1780" s="2" t="s">
        <v>7609</v>
      </c>
    </row>
    <row r="1781" spans="1:7">
      <c r="A1781" s="3">
        <v>56</v>
      </c>
      <c r="B1781" s="3" t="s">
        <v>12</v>
      </c>
      <c r="C1781" s="3">
        <v>325</v>
      </c>
      <c r="D1781" s="3" t="s">
        <v>1020</v>
      </c>
      <c r="E1781" s="3" t="s">
        <v>7620</v>
      </c>
      <c r="F1781" s="3" t="s">
        <v>7611</v>
      </c>
      <c r="G1781" s="3" t="s">
        <v>7622</v>
      </c>
    </row>
    <row r="1782" spans="1:7">
      <c r="A1782" s="2">
        <v>56</v>
      </c>
      <c r="B1782" s="2" t="s">
        <v>12</v>
      </c>
      <c r="C1782" s="2">
        <v>326</v>
      </c>
      <c r="D1782" s="2" t="s">
        <v>1022</v>
      </c>
      <c r="E1782" s="2" t="s">
        <v>7620</v>
      </c>
      <c r="F1782" s="2" t="s">
        <v>7628</v>
      </c>
      <c r="G1782" s="2" t="s">
        <v>7633</v>
      </c>
    </row>
    <row r="1783" spans="1:7">
      <c r="A1783" s="3">
        <v>56</v>
      </c>
      <c r="B1783" s="3" t="s">
        <v>12</v>
      </c>
      <c r="C1783" s="3">
        <v>327</v>
      </c>
      <c r="D1783" s="3" t="s">
        <v>1025</v>
      </c>
      <c r="E1783" s="3" t="s">
        <v>7620</v>
      </c>
      <c r="F1783" s="3" t="s">
        <v>7628</v>
      </c>
      <c r="G1783" s="3" t="s">
        <v>7633</v>
      </c>
    </row>
    <row r="1784" spans="1:7">
      <c r="A1784" s="2">
        <v>56</v>
      </c>
      <c r="B1784" s="2" t="s">
        <v>12</v>
      </c>
      <c r="C1784" s="2">
        <v>328</v>
      </c>
      <c r="D1784" s="2" t="s">
        <v>1026</v>
      </c>
      <c r="E1784" s="2" t="s">
        <v>7620</v>
      </c>
      <c r="F1784" s="2" t="s">
        <v>7649</v>
      </c>
      <c r="G1784" s="2" t="s">
        <v>7633</v>
      </c>
    </row>
    <row r="1785" spans="1:7">
      <c r="A1785" s="3">
        <v>56</v>
      </c>
      <c r="B1785" s="3" t="s">
        <v>12</v>
      </c>
      <c r="C1785" s="3">
        <v>329</v>
      </c>
      <c r="D1785" s="3" t="s">
        <v>965</v>
      </c>
      <c r="E1785" s="3" t="s">
        <v>7620</v>
      </c>
      <c r="F1785" s="3" t="s">
        <v>7649</v>
      </c>
      <c r="G1785" s="3" t="s">
        <v>7609</v>
      </c>
    </row>
    <row r="1786" spans="1:7">
      <c r="A1786" s="2">
        <v>56</v>
      </c>
      <c r="B1786" s="2" t="s">
        <v>12</v>
      </c>
      <c r="C1786" s="2">
        <v>330</v>
      </c>
      <c r="D1786" s="2" t="s">
        <v>974</v>
      </c>
      <c r="E1786" s="2" t="s">
        <v>7620</v>
      </c>
      <c r="F1786" s="2" t="s">
        <v>7652</v>
      </c>
      <c r="G1786" s="2" t="s">
        <v>7633</v>
      </c>
    </row>
    <row r="1787" spans="1:7">
      <c r="A1787" s="3">
        <v>56</v>
      </c>
      <c r="B1787" s="3" t="s">
        <v>12</v>
      </c>
      <c r="C1787" s="3">
        <v>333</v>
      </c>
      <c r="D1787" s="3" t="s">
        <v>989</v>
      </c>
      <c r="E1787" s="3" t="s">
        <v>7620</v>
      </c>
      <c r="F1787" s="3" t="s">
        <v>7649</v>
      </c>
      <c r="G1787" s="3" t="s">
        <v>7609</v>
      </c>
    </row>
    <row r="1788" spans="1:7">
      <c r="A1788" s="2">
        <v>56</v>
      </c>
      <c r="B1788" s="2" t="s">
        <v>12</v>
      </c>
      <c r="C1788" s="2">
        <v>334</v>
      </c>
      <c r="D1788" s="2" t="s">
        <v>970</v>
      </c>
      <c r="E1788" s="2" t="s">
        <v>7620</v>
      </c>
      <c r="F1788" s="2" t="s">
        <v>7659</v>
      </c>
      <c r="G1788" s="2" t="s">
        <v>7617</v>
      </c>
    </row>
    <row r="1789" spans="1:7">
      <c r="A1789" s="3">
        <v>56</v>
      </c>
      <c r="B1789" s="3" t="s">
        <v>12</v>
      </c>
      <c r="C1789" s="3">
        <v>335</v>
      </c>
      <c r="D1789" s="3" t="s">
        <v>1057</v>
      </c>
      <c r="E1789" s="3" t="s">
        <v>7620</v>
      </c>
      <c r="F1789" s="3" t="s">
        <v>7611</v>
      </c>
      <c r="G1789" s="3" t="s">
        <v>7625</v>
      </c>
    </row>
    <row r="1790" spans="1:7">
      <c r="A1790" s="2">
        <v>56</v>
      </c>
      <c r="B1790" s="2" t="s">
        <v>12</v>
      </c>
      <c r="C1790" s="2">
        <v>336</v>
      </c>
      <c r="D1790" s="2" t="s">
        <v>992</v>
      </c>
      <c r="E1790" s="2" t="s">
        <v>7620</v>
      </c>
      <c r="F1790" s="2" t="s">
        <v>7611</v>
      </c>
      <c r="G1790" s="2" t="s">
        <v>7621</v>
      </c>
    </row>
    <row r="1791" spans="1:7">
      <c r="A1791" s="3">
        <v>56</v>
      </c>
      <c r="B1791" s="3" t="s">
        <v>12</v>
      </c>
      <c r="C1791" s="3">
        <v>337</v>
      </c>
      <c r="D1791" s="3" t="s">
        <v>1042</v>
      </c>
      <c r="E1791" s="3" t="s">
        <v>7620</v>
      </c>
      <c r="F1791" s="3" t="s">
        <v>7649</v>
      </c>
      <c r="G1791" s="3" t="s">
        <v>7633</v>
      </c>
    </row>
    <row r="1792" spans="1:7">
      <c r="A1792" s="2">
        <v>56</v>
      </c>
      <c r="B1792" s="2" t="s">
        <v>12</v>
      </c>
      <c r="C1792" s="2">
        <v>338</v>
      </c>
      <c r="D1792" s="2" t="s">
        <v>996</v>
      </c>
      <c r="E1792" s="2" t="s">
        <v>7620</v>
      </c>
      <c r="F1792" s="2" t="s">
        <v>7649</v>
      </c>
      <c r="G1792" s="2" t="s">
        <v>7622</v>
      </c>
    </row>
    <row r="1793" spans="1:7">
      <c r="A1793" s="3">
        <v>56</v>
      </c>
      <c r="B1793" s="3" t="s">
        <v>12</v>
      </c>
      <c r="C1793" s="3">
        <v>339</v>
      </c>
      <c r="D1793" s="3" t="s">
        <v>1058</v>
      </c>
      <c r="E1793" s="3" t="s">
        <v>7620</v>
      </c>
      <c r="F1793" s="3" t="s">
        <v>7611</v>
      </c>
      <c r="G1793" s="3" t="s">
        <v>7621</v>
      </c>
    </row>
    <row r="1794" spans="1:7">
      <c r="A1794" s="2">
        <v>56</v>
      </c>
      <c r="B1794" s="2" t="s">
        <v>12</v>
      </c>
      <c r="C1794" s="2">
        <v>340</v>
      </c>
      <c r="D1794" s="2" t="s">
        <v>1000</v>
      </c>
      <c r="E1794" s="2" t="s">
        <v>7620</v>
      </c>
      <c r="F1794" s="2" t="s">
        <v>7650</v>
      </c>
      <c r="G1794" s="2" t="s">
        <v>7622</v>
      </c>
    </row>
    <row r="1795" spans="1:7">
      <c r="A1795" s="3">
        <v>56</v>
      </c>
      <c r="B1795" s="3" t="s">
        <v>12</v>
      </c>
      <c r="C1795" s="3">
        <v>341</v>
      </c>
      <c r="D1795" s="3" t="s">
        <v>1052</v>
      </c>
      <c r="E1795" s="3" t="s">
        <v>7620</v>
      </c>
      <c r="F1795" s="3" t="s">
        <v>7649</v>
      </c>
      <c r="G1795" s="3" t="s">
        <v>7617</v>
      </c>
    </row>
    <row r="1796" spans="1:7">
      <c r="A1796" s="2">
        <v>56</v>
      </c>
      <c r="B1796" s="2" t="s">
        <v>12</v>
      </c>
      <c r="C1796" s="2">
        <v>343</v>
      </c>
      <c r="D1796" s="2" t="s">
        <v>977</v>
      </c>
      <c r="E1796" s="2" t="s">
        <v>7723</v>
      </c>
      <c r="F1796" s="2" t="s">
        <v>7659</v>
      </c>
      <c r="G1796" s="2" t="s">
        <v>7641</v>
      </c>
    </row>
    <row r="1797" spans="1:7">
      <c r="A1797" s="3">
        <v>56</v>
      </c>
      <c r="B1797" s="3" t="s">
        <v>12</v>
      </c>
      <c r="C1797" s="3">
        <v>405</v>
      </c>
      <c r="D1797" s="3" t="s">
        <v>1110</v>
      </c>
      <c r="E1797" s="3" t="s">
        <v>7616</v>
      </c>
      <c r="F1797" s="3" t="s">
        <v>7611</v>
      </c>
      <c r="G1797" s="3" t="s">
        <v>7636</v>
      </c>
    </row>
    <row r="1798" spans="1:7">
      <c r="A1798" s="2">
        <v>56</v>
      </c>
      <c r="B1798" s="2" t="s">
        <v>12</v>
      </c>
      <c r="C1798" s="2">
        <v>406</v>
      </c>
      <c r="D1798" s="2" t="s">
        <v>1114</v>
      </c>
      <c r="E1798" s="2" t="s">
        <v>7616</v>
      </c>
      <c r="F1798" s="2" t="s">
        <v>7628</v>
      </c>
      <c r="G1798" s="2" t="s">
        <v>7619</v>
      </c>
    </row>
    <row r="1799" spans="1:7">
      <c r="A1799" s="3">
        <v>56</v>
      </c>
      <c r="B1799" s="3" t="s">
        <v>12</v>
      </c>
      <c r="C1799" s="3">
        <v>409</v>
      </c>
      <c r="D1799" s="3" t="s">
        <v>1126</v>
      </c>
      <c r="E1799" s="3" t="s">
        <v>7620</v>
      </c>
      <c r="F1799" s="3" t="s">
        <v>7611</v>
      </c>
      <c r="G1799" s="3" t="s">
        <v>7621</v>
      </c>
    </row>
    <row r="1800" spans="1:7">
      <c r="A1800" s="2">
        <v>56</v>
      </c>
      <c r="B1800" s="2" t="s">
        <v>12</v>
      </c>
      <c r="C1800" s="2">
        <v>410</v>
      </c>
      <c r="D1800" s="2" t="s">
        <v>1123</v>
      </c>
      <c r="E1800" s="2" t="s">
        <v>7620</v>
      </c>
      <c r="F1800" s="2" t="s">
        <v>7611</v>
      </c>
      <c r="G1800" s="2" t="s">
        <v>7625</v>
      </c>
    </row>
    <row r="1801" spans="1:7">
      <c r="A1801" s="3">
        <v>57</v>
      </c>
      <c r="B1801" s="3" t="s">
        <v>39</v>
      </c>
      <c r="C1801" s="3">
        <v>97</v>
      </c>
      <c r="D1801" s="3" t="s">
        <v>457</v>
      </c>
      <c r="E1801" s="3" t="s">
        <v>7618</v>
      </c>
      <c r="F1801" s="3" t="s">
        <v>7611</v>
      </c>
      <c r="G1801" s="3" t="s">
        <v>7636</v>
      </c>
    </row>
    <row r="1802" spans="1:7">
      <c r="A1802" s="2">
        <v>57</v>
      </c>
      <c r="B1802" s="2" t="s">
        <v>39</v>
      </c>
      <c r="C1802" s="2">
        <v>101</v>
      </c>
      <c r="D1802" s="2" t="s">
        <v>395</v>
      </c>
      <c r="E1802" s="2" t="s">
        <v>7620</v>
      </c>
      <c r="F1802" s="2" t="s">
        <v>7611</v>
      </c>
      <c r="G1802" s="2" t="s">
        <v>7621</v>
      </c>
    </row>
    <row r="1803" spans="1:7">
      <c r="A1803" s="3">
        <v>57</v>
      </c>
      <c r="B1803" s="3" t="s">
        <v>39</v>
      </c>
      <c r="C1803" s="3">
        <v>191</v>
      </c>
      <c r="D1803" s="3" t="s">
        <v>719</v>
      </c>
      <c r="E1803" s="3" t="s">
        <v>7618</v>
      </c>
      <c r="F1803" s="3" t="s">
        <v>7611</v>
      </c>
      <c r="G1803" s="3" t="s">
        <v>7617</v>
      </c>
    </row>
    <row r="1804" spans="1:7">
      <c r="A1804" s="2">
        <v>57</v>
      </c>
      <c r="B1804" s="2" t="s">
        <v>39</v>
      </c>
      <c r="C1804" s="2">
        <v>195</v>
      </c>
      <c r="D1804" s="2" t="s">
        <v>734</v>
      </c>
      <c r="E1804" s="2" t="s">
        <v>7618</v>
      </c>
      <c r="F1804" s="2" t="s">
        <v>7611</v>
      </c>
      <c r="G1804" s="2" t="s">
        <v>7617</v>
      </c>
    </row>
    <row r="1805" spans="1:7">
      <c r="A1805" s="3">
        <v>57</v>
      </c>
      <c r="B1805" s="3" t="s">
        <v>39</v>
      </c>
      <c r="C1805" s="3">
        <v>198</v>
      </c>
      <c r="D1805" s="3" t="s">
        <v>698</v>
      </c>
      <c r="E1805" s="3" t="s">
        <v>7620</v>
      </c>
      <c r="F1805" s="3" t="s">
        <v>7611</v>
      </c>
      <c r="G1805" s="3" t="s">
        <v>7621</v>
      </c>
    </row>
    <row r="1806" spans="1:7">
      <c r="A1806" s="2">
        <v>57</v>
      </c>
      <c r="B1806" s="2" t="s">
        <v>39</v>
      </c>
      <c r="C1806" s="2">
        <v>199</v>
      </c>
      <c r="D1806" s="2" t="s">
        <v>702</v>
      </c>
      <c r="E1806" s="2" t="s">
        <v>7618</v>
      </c>
      <c r="F1806" s="2" t="s">
        <v>7611</v>
      </c>
      <c r="G1806" s="2" t="s">
        <v>7617</v>
      </c>
    </row>
    <row r="1807" spans="1:7">
      <c r="A1807" s="3">
        <v>57</v>
      </c>
      <c r="B1807" s="3" t="s">
        <v>39</v>
      </c>
      <c r="C1807" s="3">
        <v>200</v>
      </c>
      <c r="D1807" s="3" t="s">
        <v>707</v>
      </c>
      <c r="E1807" s="3" t="s">
        <v>7620</v>
      </c>
      <c r="F1807" s="3" t="s">
        <v>7611</v>
      </c>
      <c r="G1807" s="3" t="s">
        <v>7625</v>
      </c>
    </row>
    <row r="1808" spans="1:7">
      <c r="A1808" s="2">
        <v>57</v>
      </c>
      <c r="B1808" s="2" t="s">
        <v>39</v>
      </c>
      <c r="C1808" s="2">
        <v>205</v>
      </c>
      <c r="D1808" s="2" t="s">
        <v>746</v>
      </c>
      <c r="E1808" s="2" t="s">
        <v>7620</v>
      </c>
      <c r="F1808" s="2" t="s">
        <v>7611</v>
      </c>
      <c r="G1808" s="2" t="s">
        <v>7621</v>
      </c>
    </row>
    <row r="1809" spans="1:7">
      <c r="A1809" s="3">
        <v>57</v>
      </c>
      <c r="B1809" s="3" t="s">
        <v>39</v>
      </c>
      <c r="C1809" s="3">
        <v>207</v>
      </c>
      <c r="D1809" s="3" t="s">
        <v>749</v>
      </c>
      <c r="E1809" s="3" t="s">
        <v>7623</v>
      </c>
      <c r="F1809" s="3" t="s">
        <v>7611</v>
      </c>
      <c r="G1809" s="3" t="s">
        <v>7639</v>
      </c>
    </row>
    <row r="1810" spans="1:7">
      <c r="A1810" s="2">
        <v>57</v>
      </c>
      <c r="B1810" s="2" t="s">
        <v>39</v>
      </c>
      <c r="C1810" s="2">
        <v>208</v>
      </c>
      <c r="D1810" s="2" t="s">
        <v>754</v>
      </c>
      <c r="E1810" s="2" t="s">
        <v>7620</v>
      </c>
      <c r="F1810" s="2" t="s">
        <v>7611</v>
      </c>
      <c r="G1810" s="2" t="s">
        <v>7621</v>
      </c>
    </row>
    <row r="1811" spans="1:7">
      <c r="A1811" s="3">
        <v>57</v>
      </c>
      <c r="B1811" s="3" t="s">
        <v>39</v>
      </c>
      <c r="C1811" s="3">
        <v>209</v>
      </c>
      <c r="D1811" s="3" t="s">
        <v>758</v>
      </c>
      <c r="E1811" s="3" t="s">
        <v>7618</v>
      </c>
      <c r="F1811" s="3" t="s">
        <v>7608</v>
      </c>
      <c r="G1811" s="3" t="s">
        <v>7633</v>
      </c>
    </row>
    <row r="1812" spans="1:7">
      <c r="A1812" s="2">
        <v>57</v>
      </c>
      <c r="B1812" s="2" t="s">
        <v>39</v>
      </c>
      <c r="C1812" s="2">
        <v>221</v>
      </c>
      <c r="D1812" s="2" t="s">
        <v>813</v>
      </c>
      <c r="E1812" s="2" t="s">
        <v>7613</v>
      </c>
      <c r="F1812" s="2" t="s">
        <v>7611</v>
      </c>
      <c r="G1812" s="2" t="s">
        <v>7629</v>
      </c>
    </row>
    <row r="1813" spans="1:7">
      <c r="A1813" s="3">
        <v>57</v>
      </c>
      <c r="B1813" s="3" t="s">
        <v>39</v>
      </c>
      <c r="C1813" s="3">
        <v>264</v>
      </c>
      <c r="D1813" s="3" t="s">
        <v>775</v>
      </c>
      <c r="E1813" s="3" t="s">
        <v>7618</v>
      </c>
      <c r="F1813" s="3" t="s">
        <v>7611</v>
      </c>
      <c r="G1813" s="3" t="s">
        <v>7617</v>
      </c>
    </row>
    <row r="1814" spans="1:7">
      <c r="A1814" s="2">
        <v>57</v>
      </c>
      <c r="B1814" s="2" t="s">
        <v>39</v>
      </c>
      <c r="C1814" s="2">
        <v>341</v>
      </c>
      <c r="D1814" s="2" t="s">
        <v>1052</v>
      </c>
      <c r="E1814" s="2" t="s">
        <v>7620</v>
      </c>
      <c r="F1814" s="2" t="s">
        <v>7611</v>
      </c>
      <c r="G1814" s="2" t="s">
        <v>7621</v>
      </c>
    </row>
    <row r="1815" spans="1:7">
      <c r="A1815" s="3">
        <v>57</v>
      </c>
      <c r="B1815" s="3" t="s">
        <v>39</v>
      </c>
      <c r="C1815" s="3">
        <v>343</v>
      </c>
      <c r="D1815" s="3" t="s">
        <v>977</v>
      </c>
      <c r="E1815" s="3" t="s">
        <v>7620</v>
      </c>
      <c r="F1815" s="3" t="s">
        <v>7611</v>
      </c>
      <c r="G1815" s="3" t="s">
        <v>7625</v>
      </c>
    </row>
    <row r="1816" spans="1:7">
      <c r="A1816" s="2">
        <v>58</v>
      </c>
      <c r="B1816" s="2" t="s">
        <v>152</v>
      </c>
      <c r="C1816" s="2">
        <v>97</v>
      </c>
      <c r="D1816" s="2" t="s">
        <v>457</v>
      </c>
      <c r="E1816" s="2" t="s">
        <v>7618</v>
      </c>
      <c r="F1816" s="2" t="s">
        <v>7659</v>
      </c>
      <c r="G1816" s="2" t="s">
        <v>7632</v>
      </c>
    </row>
    <row r="1817" spans="1:7">
      <c r="A1817" s="3">
        <v>58</v>
      </c>
      <c r="B1817" s="3" t="s">
        <v>152</v>
      </c>
      <c r="C1817" s="3">
        <v>101</v>
      </c>
      <c r="D1817" s="3" t="s">
        <v>395</v>
      </c>
      <c r="E1817" s="3" t="s">
        <v>7620</v>
      </c>
      <c r="F1817" s="3" t="s">
        <v>7659</v>
      </c>
      <c r="G1817" s="3" t="s">
        <v>7617</v>
      </c>
    </row>
    <row r="1818" spans="1:7">
      <c r="A1818" s="2">
        <v>58</v>
      </c>
      <c r="B1818" s="2" t="s">
        <v>152</v>
      </c>
      <c r="C1818" s="2">
        <v>103</v>
      </c>
      <c r="D1818" s="2" t="s">
        <v>384</v>
      </c>
      <c r="E1818" s="2" t="s">
        <v>7620</v>
      </c>
      <c r="F1818" s="2" t="s">
        <v>7650</v>
      </c>
      <c r="G1818" s="2" t="s">
        <v>7622</v>
      </c>
    </row>
    <row r="1819" spans="1:7">
      <c r="A1819" s="3">
        <v>58</v>
      </c>
      <c r="B1819" s="3" t="s">
        <v>152</v>
      </c>
      <c r="C1819" s="3">
        <v>181</v>
      </c>
      <c r="D1819" s="3" t="s">
        <v>653</v>
      </c>
      <c r="E1819" s="3" t="s">
        <v>7715</v>
      </c>
      <c r="F1819" s="3" t="s">
        <v>7652</v>
      </c>
      <c r="G1819" s="3" t="s">
        <v>7633</v>
      </c>
    </row>
    <row r="1820" spans="1:7">
      <c r="A1820" s="2">
        <v>58</v>
      </c>
      <c r="B1820" s="2" t="s">
        <v>152</v>
      </c>
      <c r="C1820" s="2">
        <v>191</v>
      </c>
      <c r="D1820" s="2" t="s">
        <v>719</v>
      </c>
      <c r="E1820" s="2" t="s">
        <v>7618</v>
      </c>
      <c r="F1820" s="2" t="s">
        <v>7659</v>
      </c>
      <c r="G1820" s="2" t="s">
        <v>7639</v>
      </c>
    </row>
    <row r="1821" spans="1:7">
      <c r="A1821" s="3">
        <v>58</v>
      </c>
      <c r="B1821" s="3" t="s">
        <v>152</v>
      </c>
      <c r="C1821" s="3">
        <v>195</v>
      </c>
      <c r="D1821" s="3" t="s">
        <v>734</v>
      </c>
      <c r="E1821" s="3" t="s">
        <v>7618</v>
      </c>
      <c r="F1821" s="3" t="s">
        <v>7659</v>
      </c>
      <c r="G1821" s="3" t="s">
        <v>7624</v>
      </c>
    </row>
    <row r="1822" spans="1:7">
      <c r="A1822" s="2">
        <v>58</v>
      </c>
      <c r="B1822" s="2" t="s">
        <v>152</v>
      </c>
      <c r="C1822" s="2">
        <v>198</v>
      </c>
      <c r="D1822" s="2" t="s">
        <v>698</v>
      </c>
      <c r="E1822" s="2" t="s">
        <v>7620</v>
      </c>
      <c r="F1822" s="2" t="s">
        <v>7659</v>
      </c>
      <c r="G1822" s="2" t="s">
        <v>7619</v>
      </c>
    </row>
    <row r="1823" spans="1:7">
      <c r="A1823" s="3">
        <v>58</v>
      </c>
      <c r="B1823" s="3" t="s">
        <v>152</v>
      </c>
      <c r="C1823" s="3">
        <v>199</v>
      </c>
      <c r="D1823" s="3" t="s">
        <v>702</v>
      </c>
      <c r="E1823" s="3" t="s">
        <v>7618</v>
      </c>
      <c r="F1823" s="3" t="s">
        <v>7659</v>
      </c>
      <c r="G1823" s="3" t="s">
        <v>7624</v>
      </c>
    </row>
    <row r="1824" spans="1:7">
      <c r="A1824" s="2">
        <v>58</v>
      </c>
      <c r="B1824" s="2" t="s">
        <v>152</v>
      </c>
      <c r="C1824" s="2">
        <v>200</v>
      </c>
      <c r="D1824" s="2" t="s">
        <v>707</v>
      </c>
      <c r="E1824" s="2" t="s">
        <v>7620</v>
      </c>
      <c r="F1824" s="2" t="s">
        <v>7659</v>
      </c>
      <c r="G1824" s="2" t="s">
        <v>7636</v>
      </c>
    </row>
    <row r="1825" spans="1:7">
      <c r="A1825" s="3">
        <v>58</v>
      </c>
      <c r="B1825" s="3" t="s">
        <v>152</v>
      </c>
      <c r="C1825" s="3">
        <v>201</v>
      </c>
      <c r="D1825" s="3" t="s">
        <v>695</v>
      </c>
      <c r="E1825" s="3" t="s">
        <v>7608</v>
      </c>
      <c r="F1825" s="3" t="s">
        <v>7659</v>
      </c>
      <c r="G1825" s="3" t="s">
        <v>7625</v>
      </c>
    </row>
    <row r="1826" spans="1:7">
      <c r="A1826" s="2">
        <v>58</v>
      </c>
      <c r="B1826" s="2" t="s">
        <v>152</v>
      </c>
      <c r="C1826" s="2">
        <v>204</v>
      </c>
      <c r="D1826" s="2" t="s">
        <v>685</v>
      </c>
      <c r="E1826" s="2" t="s">
        <v>7608</v>
      </c>
      <c r="F1826" s="2" t="s">
        <v>7659</v>
      </c>
      <c r="G1826" s="2" t="s">
        <v>7625</v>
      </c>
    </row>
    <row r="1827" spans="1:7">
      <c r="A1827" s="3">
        <v>58</v>
      </c>
      <c r="B1827" s="3" t="s">
        <v>152</v>
      </c>
      <c r="C1827" s="3">
        <v>205</v>
      </c>
      <c r="D1827" s="3" t="s">
        <v>746</v>
      </c>
      <c r="E1827" s="3" t="s">
        <v>7620</v>
      </c>
      <c r="F1827" s="3" t="s">
        <v>7628</v>
      </c>
      <c r="G1827" s="3" t="s">
        <v>7609</v>
      </c>
    </row>
    <row r="1828" spans="1:7">
      <c r="A1828" s="2">
        <v>58</v>
      </c>
      <c r="B1828" s="2" t="s">
        <v>152</v>
      </c>
      <c r="C1828" s="2">
        <v>207</v>
      </c>
      <c r="D1828" s="2" t="s">
        <v>749</v>
      </c>
      <c r="E1828" s="2" t="s">
        <v>7623</v>
      </c>
      <c r="F1828" s="2" t="s">
        <v>7611</v>
      </c>
      <c r="G1828" s="2" t="s">
        <v>7624</v>
      </c>
    </row>
    <row r="1829" spans="1:7">
      <c r="A1829" s="3">
        <v>58</v>
      </c>
      <c r="B1829" s="3" t="s">
        <v>152</v>
      </c>
      <c r="C1829" s="3">
        <v>208</v>
      </c>
      <c r="D1829" s="3" t="s">
        <v>754</v>
      </c>
      <c r="E1829" s="3" t="s">
        <v>7620</v>
      </c>
      <c r="F1829" s="3" t="s">
        <v>7628</v>
      </c>
      <c r="G1829" s="3" t="s">
        <v>7633</v>
      </c>
    </row>
    <row r="1830" spans="1:7">
      <c r="A1830" s="2">
        <v>58</v>
      </c>
      <c r="B1830" s="2" t="s">
        <v>152</v>
      </c>
      <c r="C1830" s="2">
        <v>209</v>
      </c>
      <c r="D1830" s="2" t="s">
        <v>758</v>
      </c>
      <c r="E1830" s="2" t="s">
        <v>7618</v>
      </c>
      <c r="F1830" s="2" t="s">
        <v>7652</v>
      </c>
      <c r="G1830" s="2" t="s">
        <v>7634</v>
      </c>
    </row>
    <row r="1831" spans="1:7">
      <c r="A1831" s="3">
        <v>58</v>
      </c>
      <c r="B1831" s="3" t="s">
        <v>152</v>
      </c>
      <c r="C1831" s="3">
        <v>221</v>
      </c>
      <c r="D1831" s="3" t="s">
        <v>813</v>
      </c>
      <c r="E1831" s="3" t="s">
        <v>7658</v>
      </c>
      <c r="F1831" s="3" t="s">
        <v>7649</v>
      </c>
      <c r="G1831" s="3" t="s">
        <v>7629</v>
      </c>
    </row>
    <row r="1832" spans="1:7">
      <c r="A1832" s="2">
        <v>58</v>
      </c>
      <c r="B1832" s="2" t="s">
        <v>152</v>
      </c>
      <c r="C1832" s="2">
        <v>264</v>
      </c>
      <c r="D1832" s="2" t="s">
        <v>775</v>
      </c>
      <c r="E1832" s="2" t="s">
        <v>7618</v>
      </c>
      <c r="F1832" s="2" t="s">
        <v>7659</v>
      </c>
      <c r="G1832" s="2" t="s">
        <v>7639</v>
      </c>
    </row>
    <row r="1833" spans="1:7">
      <c r="A1833" s="3">
        <v>58</v>
      </c>
      <c r="B1833" s="3" t="s">
        <v>152</v>
      </c>
      <c r="C1833" s="3">
        <v>312</v>
      </c>
      <c r="D1833" s="3" t="s">
        <v>949</v>
      </c>
      <c r="E1833" s="3" t="s">
        <v>7608</v>
      </c>
      <c r="F1833" s="3" t="s">
        <v>7659</v>
      </c>
      <c r="G1833" s="3" t="s">
        <v>7625</v>
      </c>
    </row>
    <row r="1834" spans="1:7">
      <c r="A1834" s="2">
        <v>58</v>
      </c>
      <c r="B1834" s="2" t="s">
        <v>152</v>
      </c>
      <c r="C1834" s="2">
        <v>341</v>
      </c>
      <c r="D1834" s="2" t="s">
        <v>1052</v>
      </c>
      <c r="E1834" s="2" t="s">
        <v>7620</v>
      </c>
      <c r="F1834" s="2" t="s">
        <v>7649</v>
      </c>
      <c r="G1834" s="2" t="s">
        <v>7633</v>
      </c>
    </row>
    <row r="1835" spans="1:7">
      <c r="A1835" s="3">
        <v>58</v>
      </c>
      <c r="B1835" s="3" t="s">
        <v>152</v>
      </c>
      <c r="C1835" s="3">
        <v>343</v>
      </c>
      <c r="D1835" s="3" t="s">
        <v>977</v>
      </c>
      <c r="E1835" s="3" t="s">
        <v>7620</v>
      </c>
      <c r="F1835" s="3" t="s">
        <v>7659</v>
      </c>
      <c r="G1835" s="3" t="s">
        <v>7609</v>
      </c>
    </row>
    <row r="1836" spans="1:7">
      <c r="A1836" s="2">
        <v>59</v>
      </c>
      <c r="B1836" s="2" t="s">
        <v>28</v>
      </c>
      <c r="C1836" s="2">
        <v>97</v>
      </c>
      <c r="D1836" s="2" t="s">
        <v>457</v>
      </c>
      <c r="E1836" s="2" t="s">
        <v>7620</v>
      </c>
      <c r="F1836" s="2" t="s">
        <v>7611</v>
      </c>
      <c r="G1836" s="2" t="s">
        <v>7625</v>
      </c>
    </row>
    <row r="1837" spans="1:7">
      <c r="A1837" s="3">
        <v>59</v>
      </c>
      <c r="B1837" s="3" t="s">
        <v>28</v>
      </c>
      <c r="C1837" s="3">
        <v>101</v>
      </c>
      <c r="D1837" s="3" t="s">
        <v>395</v>
      </c>
      <c r="E1837" s="3" t="s">
        <v>7620</v>
      </c>
      <c r="F1837" s="3" t="s">
        <v>7611</v>
      </c>
      <c r="G1837" s="3" t="s">
        <v>7625</v>
      </c>
    </row>
    <row r="1838" spans="1:7">
      <c r="A1838" s="2">
        <v>59</v>
      </c>
      <c r="B1838" s="2" t="s">
        <v>28</v>
      </c>
      <c r="C1838" s="2">
        <v>191</v>
      </c>
      <c r="D1838" s="2" t="s">
        <v>719</v>
      </c>
      <c r="E1838" s="2" t="s">
        <v>7620</v>
      </c>
      <c r="F1838" s="2" t="s">
        <v>7611</v>
      </c>
      <c r="G1838" s="2" t="s">
        <v>7625</v>
      </c>
    </row>
    <row r="1839" spans="1:7">
      <c r="A1839" s="3">
        <v>59</v>
      </c>
      <c r="B1839" s="3" t="s">
        <v>28</v>
      </c>
      <c r="C1839" s="3">
        <v>195</v>
      </c>
      <c r="D1839" s="3" t="s">
        <v>734</v>
      </c>
      <c r="E1839" s="3" t="s">
        <v>7620</v>
      </c>
      <c r="F1839" s="3" t="s">
        <v>7611</v>
      </c>
      <c r="G1839" s="3" t="s">
        <v>7621</v>
      </c>
    </row>
    <row r="1840" spans="1:7">
      <c r="A1840" s="2">
        <v>59</v>
      </c>
      <c r="B1840" s="2" t="s">
        <v>28</v>
      </c>
      <c r="C1840" s="2">
        <v>198</v>
      </c>
      <c r="D1840" s="2" t="s">
        <v>698</v>
      </c>
      <c r="E1840" s="2" t="s">
        <v>7620</v>
      </c>
      <c r="F1840" s="2" t="s">
        <v>7611</v>
      </c>
      <c r="G1840" s="2" t="s">
        <v>7621</v>
      </c>
    </row>
    <row r="1841" spans="1:7">
      <c r="A1841" s="3">
        <v>59</v>
      </c>
      <c r="B1841" s="3" t="s">
        <v>28</v>
      </c>
      <c r="C1841" s="3">
        <v>199</v>
      </c>
      <c r="D1841" s="3" t="s">
        <v>702</v>
      </c>
      <c r="E1841" s="3" t="s">
        <v>7620</v>
      </c>
      <c r="F1841" s="3" t="s">
        <v>7611</v>
      </c>
      <c r="G1841" s="3" t="s">
        <v>7625</v>
      </c>
    </row>
    <row r="1842" spans="1:7">
      <c r="A1842" s="2">
        <v>59</v>
      </c>
      <c r="B1842" s="2" t="s">
        <v>28</v>
      </c>
      <c r="C1842" s="2">
        <v>200</v>
      </c>
      <c r="D1842" s="2" t="s">
        <v>707</v>
      </c>
      <c r="E1842" s="2" t="s">
        <v>7620</v>
      </c>
      <c r="F1842" s="2" t="s">
        <v>7611</v>
      </c>
      <c r="G1842" s="2" t="s">
        <v>7621</v>
      </c>
    </row>
    <row r="1843" spans="1:7">
      <c r="A1843" s="3">
        <v>59</v>
      </c>
      <c r="B1843" s="3" t="s">
        <v>28</v>
      </c>
      <c r="C1843" s="3">
        <v>205</v>
      </c>
      <c r="D1843" s="3" t="s">
        <v>746</v>
      </c>
      <c r="E1843" s="3" t="s">
        <v>7620</v>
      </c>
      <c r="F1843" s="3" t="s">
        <v>7611</v>
      </c>
      <c r="G1843" s="3" t="s">
        <v>7621</v>
      </c>
    </row>
    <row r="1844" spans="1:7">
      <c r="A1844" s="2">
        <v>59</v>
      </c>
      <c r="B1844" s="2" t="s">
        <v>28</v>
      </c>
      <c r="C1844" s="2">
        <v>207</v>
      </c>
      <c r="D1844" s="2" t="s">
        <v>749</v>
      </c>
      <c r="E1844" s="2" t="s">
        <v>7620</v>
      </c>
      <c r="F1844" s="2" t="s">
        <v>7611</v>
      </c>
      <c r="G1844" s="2" t="s">
        <v>7621</v>
      </c>
    </row>
    <row r="1845" spans="1:7">
      <c r="A1845" s="3">
        <v>59</v>
      </c>
      <c r="B1845" s="3" t="s">
        <v>28</v>
      </c>
      <c r="C1845" s="3">
        <v>208</v>
      </c>
      <c r="D1845" s="3" t="s">
        <v>754</v>
      </c>
      <c r="E1845" s="3" t="s">
        <v>7620</v>
      </c>
      <c r="F1845" s="3" t="s">
        <v>7611</v>
      </c>
      <c r="G1845" s="3" t="s">
        <v>7625</v>
      </c>
    </row>
    <row r="1846" spans="1:7">
      <c r="A1846" s="2">
        <v>59</v>
      </c>
      <c r="B1846" s="2" t="s">
        <v>28</v>
      </c>
      <c r="C1846" s="2">
        <v>221</v>
      </c>
      <c r="D1846" s="2" t="s">
        <v>813</v>
      </c>
      <c r="E1846" s="2" t="s">
        <v>7616</v>
      </c>
      <c r="F1846" s="2" t="s">
        <v>7611</v>
      </c>
      <c r="G1846" s="2" t="s">
        <v>7609</v>
      </c>
    </row>
    <row r="1847" spans="1:7">
      <c r="A1847" s="3">
        <v>59</v>
      </c>
      <c r="B1847" s="3" t="s">
        <v>28</v>
      </c>
      <c r="C1847" s="3">
        <v>264</v>
      </c>
      <c r="D1847" s="3" t="s">
        <v>775</v>
      </c>
      <c r="E1847" s="3" t="s">
        <v>7620</v>
      </c>
      <c r="F1847" s="3" t="s">
        <v>7611</v>
      </c>
      <c r="G1847" s="3" t="s">
        <v>7625</v>
      </c>
    </row>
    <row r="1848" spans="1:7">
      <c r="A1848" s="2">
        <v>59</v>
      </c>
      <c r="B1848" s="2" t="s">
        <v>28</v>
      </c>
      <c r="C1848" s="2">
        <v>341</v>
      </c>
      <c r="D1848" s="2" t="s">
        <v>1052</v>
      </c>
      <c r="E1848" s="2" t="s">
        <v>7620</v>
      </c>
      <c r="F1848" s="2" t="s">
        <v>7611</v>
      </c>
      <c r="G1848" s="2" t="s">
        <v>7625</v>
      </c>
    </row>
    <row r="1849" spans="1:7">
      <c r="A1849" s="3">
        <v>59</v>
      </c>
      <c r="B1849" s="3" t="s">
        <v>28</v>
      </c>
      <c r="C1849" s="3">
        <v>343</v>
      </c>
      <c r="D1849" s="3" t="s">
        <v>977</v>
      </c>
      <c r="E1849" s="3" t="s">
        <v>7620</v>
      </c>
      <c r="F1849" s="3" t="s">
        <v>7611</v>
      </c>
      <c r="G1849" s="3" t="s">
        <v>7625</v>
      </c>
    </row>
    <row r="1850" spans="1:7">
      <c r="A1850" s="2">
        <v>60</v>
      </c>
      <c r="B1850" s="2" t="s">
        <v>285</v>
      </c>
      <c r="C1850" s="2">
        <v>97</v>
      </c>
      <c r="D1850" s="2" t="s">
        <v>457</v>
      </c>
      <c r="E1850" s="2" t="s">
        <v>7620</v>
      </c>
      <c r="F1850" s="2" t="s">
        <v>7611</v>
      </c>
      <c r="G1850" s="2" t="s">
        <v>7633</v>
      </c>
    </row>
    <row r="1851" spans="1:7">
      <c r="A1851" s="3">
        <v>60</v>
      </c>
      <c r="B1851" s="3" t="s">
        <v>285</v>
      </c>
      <c r="C1851" s="3">
        <v>101</v>
      </c>
      <c r="D1851" s="3" t="s">
        <v>395</v>
      </c>
      <c r="E1851" s="3" t="s">
        <v>7620</v>
      </c>
      <c r="F1851" s="3" t="s">
        <v>7611</v>
      </c>
      <c r="G1851" s="3" t="s">
        <v>7621</v>
      </c>
    </row>
    <row r="1852" spans="1:7">
      <c r="A1852" s="2">
        <v>60</v>
      </c>
      <c r="B1852" s="2" t="s">
        <v>285</v>
      </c>
      <c r="C1852" s="2">
        <v>191</v>
      </c>
      <c r="D1852" s="2" t="s">
        <v>719</v>
      </c>
      <c r="E1852" s="2" t="s">
        <v>7620</v>
      </c>
      <c r="F1852" s="2" t="s">
        <v>7611</v>
      </c>
      <c r="G1852" s="2" t="s">
        <v>7609</v>
      </c>
    </row>
    <row r="1853" spans="1:7">
      <c r="A1853" s="3">
        <v>60</v>
      </c>
      <c r="B1853" s="3" t="s">
        <v>285</v>
      </c>
      <c r="C1853" s="3">
        <v>195</v>
      </c>
      <c r="D1853" s="3" t="s">
        <v>734</v>
      </c>
      <c r="E1853" s="3" t="s">
        <v>7620</v>
      </c>
      <c r="F1853" s="3" t="s">
        <v>7611</v>
      </c>
      <c r="G1853" s="3" t="s">
        <v>7633</v>
      </c>
    </row>
    <row r="1854" spans="1:7">
      <c r="A1854" s="2">
        <v>60</v>
      </c>
      <c r="B1854" s="2" t="s">
        <v>285</v>
      </c>
      <c r="C1854" s="2">
        <v>198</v>
      </c>
      <c r="D1854" s="2" t="s">
        <v>698</v>
      </c>
      <c r="E1854" s="2" t="s">
        <v>7620</v>
      </c>
      <c r="F1854" s="2" t="s">
        <v>7611</v>
      </c>
      <c r="G1854" s="2" t="s">
        <v>7633</v>
      </c>
    </row>
    <row r="1855" spans="1:7">
      <c r="A1855" s="3">
        <v>60</v>
      </c>
      <c r="B1855" s="3" t="s">
        <v>285</v>
      </c>
      <c r="C1855" s="3">
        <v>199</v>
      </c>
      <c r="D1855" s="3" t="s">
        <v>702</v>
      </c>
      <c r="E1855" s="3" t="s">
        <v>7620</v>
      </c>
      <c r="F1855" s="3" t="s">
        <v>7611</v>
      </c>
      <c r="G1855" s="3" t="s">
        <v>7633</v>
      </c>
    </row>
    <row r="1856" spans="1:7">
      <c r="A1856" s="2">
        <v>60</v>
      </c>
      <c r="B1856" s="2" t="s">
        <v>285</v>
      </c>
      <c r="C1856" s="2">
        <v>200</v>
      </c>
      <c r="D1856" s="2" t="s">
        <v>707</v>
      </c>
      <c r="E1856" s="2" t="s">
        <v>7620</v>
      </c>
      <c r="F1856" s="2" t="s">
        <v>7611</v>
      </c>
      <c r="G1856" s="2" t="s">
        <v>7633</v>
      </c>
    </row>
    <row r="1857" spans="1:7">
      <c r="A1857" s="3">
        <v>60</v>
      </c>
      <c r="B1857" s="3" t="s">
        <v>285</v>
      </c>
      <c r="C1857" s="3">
        <v>205</v>
      </c>
      <c r="D1857" s="3" t="s">
        <v>746</v>
      </c>
      <c r="E1857" s="3" t="s">
        <v>7620</v>
      </c>
      <c r="F1857" s="3" t="s">
        <v>7611</v>
      </c>
      <c r="G1857" s="3" t="s">
        <v>7622</v>
      </c>
    </row>
    <row r="1858" spans="1:7">
      <c r="A1858" s="2">
        <v>60</v>
      </c>
      <c r="B1858" s="2" t="s">
        <v>285</v>
      </c>
      <c r="C1858" s="2">
        <v>207</v>
      </c>
      <c r="D1858" s="2" t="s">
        <v>749</v>
      </c>
      <c r="E1858" s="2" t="s">
        <v>7620</v>
      </c>
      <c r="F1858" s="2" t="s">
        <v>7611</v>
      </c>
      <c r="G1858" s="2" t="s">
        <v>7633</v>
      </c>
    </row>
    <row r="1859" spans="1:7">
      <c r="A1859" s="3">
        <v>60</v>
      </c>
      <c r="B1859" s="3" t="s">
        <v>285</v>
      </c>
      <c r="C1859" s="3">
        <v>208</v>
      </c>
      <c r="D1859" s="3" t="s">
        <v>754</v>
      </c>
      <c r="E1859" s="3" t="s">
        <v>7620</v>
      </c>
      <c r="F1859" s="3" t="s">
        <v>7611</v>
      </c>
      <c r="G1859" s="3" t="s">
        <v>7622</v>
      </c>
    </row>
    <row r="1860" spans="1:7">
      <c r="A1860" s="2">
        <v>60</v>
      </c>
      <c r="B1860" s="2" t="s">
        <v>285</v>
      </c>
      <c r="C1860" s="2">
        <v>209</v>
      </c>
      <c r="D1860" s="2" t="s">
        <v>758</v>
      </c>
      <c r="E1860" s="2" t="s">
        <v>7620</v>
      </c>
      <c r="F1860" s="2" t="s">
        <v>7608</v>
      </c>
      <c r="G1860" s="2" t="s">
        <v>7621</v>
      </c>
    </row>
    <row r="1861" spans="1:7">
      <c r="A1861" s="3">
        <v>60</v>
      </c>
      <c r="B1861" s="3" t="s">
        <v>285</v>
      </c>
      <c r="C1861" s="3">
        <v>221</v>
      </c>
      <c r="D1861" s="3" t="s">
        <v>813</v>
      </c>
      <c r="E1861" s="3" t="s">
        <v>7620</v>
      </c>
      <c r="F1861" s="3" t="s">
        <v>7611</v>
      </c>
      <c r="G1861" s="3" t="s">
        <v>7621</v>
      </c>
    </row>
    <row r="1862" spans="1:7">
      <c r="A1862" s="2">
        <v>60</v>
      </c>
      <c r="B1862" s="2" t="s">
        <v>285</v>
      </c>
      <c r="C1862" s="2">
        <v>264</v>
      </c>
      <c r="D1862" s="2" t="s">
        <v>775</v>
      </c>
      <c r="E1862" s="2" t="s">
        <v>7620</v>
      </c>
      <c r="F1862" s="2" t="s">
        <v>7611</v>
      </c>
      <c r="G1862" s="2" t="s">
        <v>7621</v>
      </c>
    </row>
    <row r="1863" spans="1:7">
      <c r="A1863" s="3">
        <v>60</v>
      </c>
      <c r="B1863" s="3" t="s">
        <v>285</v>
      </c>
      <c r="C1863" s="3">
        <v>341</v>
      </c>
      <c r="D1863" s="3" t="s">
        <v>1052</v>
      </c>
      <c r="E1863" s="3" t="s">
        <v>7620</v>
      </c>
      <c r="F1863" s="3" t="s">
        <v>7611</v>
      </c>
      <c r="G1863" s="3" t="s">
        <v>7633</v>
      </c>
    </row>
    <row r="1864" spans="1:7">
      <c r="A1864" s="2">
        <v>60</v>
      </c>
      <c r="B1864" s="2" t="s">
        <v>285</v>
      </c>
      <c r="C1864" s="2">
        <v>343</v>
      </c>
      <c r="D1864" s="2" t="s">
        <v>977</v>
      </c>
      <c r="E1864" s="2" t="s">
        <v>7620</v>
      </c>
      <c r="F1864" s="2" t="s">
        <v>7611</v>
      </c>
      <c r="G1864" s="2" t="s">
        <v>7625</v>
      </c>
    </row>
    <row r="1865" spans="1:7">
      <c r="A1865" s="3">
        <v>61</v>
      </c>
      <c r="B1865" s="3" t="s">
        <v>273</v>
      </c>
      <c r="C1865" s="3">
        <v>97</v>
      </c>
      <c r="D1865" s="3" t="s">
        <v>457</v>
      </c>
      <c r="E1865" s="3" t="s">
        <v>7620</v>
      </c>
      <c r="F1865" s="3" t="s">
        <v>7717</v>
      </c>
      <c r="G1865" s="3" t="s">
        <v>7634</v>
      </c>
    </row>
    <row r="1866" spans="1:7">
      <c r="A1866" s="2">
        <v>61</v>
      </c>
      <c r="B1866" s="2" t="s">
        <v>273</v>
      </c>
      <c r="C1866" s="2">
        <v>101</v>
      </c>
      <c r="D1866" s="2" t="s">
        <v>395</v>
      </c>
      <c r="E1866" s="2" t="s">
        <v>7620</v>
      </c>
      <c r="F1866" s="2" t="s">
        <v>7649</v>
      </c>
      <c r="G1866" s="2" t="s">
        <v>7622</v>
      </c>
    </row>
    <row r="1867" spans="1:7">
      <c r="A1867" s="3">
        <v>61</v>
      </c>
      <c r="B1867" s="3" t="s">
        <v>273</v>
      </c>
      <c r="C1867" s="3">
        <v>103</v>
      </c>
      <c r="D1867" s="3" t="s">
        <v>384</v>
      </c>
      <c r="E1867" s="3" t="s">
        <v>7620</v>
      </c>
      <c r="F1867" s="3" t="s">
        <v>7650</v>
      </c>
      <c r="G1867" s="3" t="s">
        <v>7625</v>
      </c>
    </row>
    <row r="1868" spans="1:7">
      <c r="A1868" s="2">
        <v>61</v>
      </c>
      <c r="B1868" s="2" t="s">
        <v>273</v>
      </c>
      <c r="C1868" s="2">
        <v>189</v>
      </c>
      <c r="D1868" s="2" t="s">
        <v>742</v>
      </c>
      <c r="E1868" s="2" t="s">
        <v>7653</v>
      </c>
      <c r="F1868" s="2" t="s">
        <v>7608</v>
      </c>
      <c r="G1868" s="2" t="s">
        <v>7625</v>
      </c>
    </row>
    <row r="1869" spans="1:7">
      <c r="A1869" s="3">
        <v>61</v>
      </c>
      <c r="B1869" s="3" t="s">
        <v>273</v>
      </c>
      <c r="C1869" s="3">
        <v>191</v>
      </c>
      <c r="D1869" s="3" t="s">
        <v>719</v>
      </c>
      <c r="E1869" s="3" t="s">
        <v>7620</v>
      </c>
      <c r="F1869" s="3" t="s">
        <v>7649</v>
      </c>
      <c r="G1869" s="3" t="s">
        <v>7617</v>
      </c>
    </row>
    <row r="1870" spans="1:7">
      <c r="A1870" s="2">
        <v>61</v>
      </c>
      <c r="B1870" s="2" t="s">
        <v>273</v>
      </c>
      <c r="C1870" s="2">
        <v>195</v>
      </c>
      <c r="D1870" s="2" t="s">
        <v>734</v>
      </c>
      <c r="E1870" s="2" t="s">
        <v>7620</v>
      </c>
      <c r="F1870" s="2" t="s">
        <v>7649</v>
      </c>
      <c r="G1870" s="2" t="s">
        <v>7617</v>
      </c>
    </row>
    <row r="1871" spans="1:7">
      <c r="A1871" s="3">
        <v>61</v>
      </c>
      <c r="B1871" s="3" t="s">
        <v>273</v>
      </c>
      <c r="C1871" s="3">
        <v>198</v>
      </c>
      <c r="D1871" s="3" t="s">
        <v>698</v>
      </c>
      <c r="E1871" s="3" t="s">
        <v>7620</v>
      </c>
      <c r="F1871" s="3" t="s">
        <v>7649</v>
      </c>
      <c r="G1871" s="3" t="s">
        <v>7633</v>
      </c>
    </row>
    <row r="1872" spans="1:7">
      <c r="A1872" s="2">
        <v>61</v>
      </c>
      <c r="B1872" s="2" t="s">
        <v>273</v>
      </c>
      <c r="C1872" s="2">
        <v>199</v>
      </c>
      <c r="D1872" s="2" t="s">
        <v>702</v>
      </c>
      <c r="E1872" s="2" t="s">
        <v>7654</v>
      </c>
      <c r="F1872" s="2" t="s">
        <v>7649</v>
      </c>
      <c r="G1872" s="2" t="s">
        <v>7634</v>
      </c>
    </row>
    <row r="1873" spans="1:7">
      <c r="A1873" s="3">
        <v>61</v>
      </c>
      <c r="B1873" s="3" t="s">
        <v>273</v>
      </c>
      <c r="C1873" s="3">
        <v>200</v>
      </c>
      <c r="D1873" s="3" t="s">
        <v>707</v>
      </c>
      <c r="E1873" s="3" t="s">
        <v>7654</v>
      </c>
      <c r="F1873" s="3" t="s">
        <v>7649</v>
      </c>
      <c r="G1873" s="3" t="s">
        <v>7634</v>
      </c>
    </row>
    <row r="1874" spans="1:7">
      <c r="A1874" s="2">
        <v>61</v>
      </c>
      <c r="B1874" s="2" t="s">
        <v>273</v>
      </c>
      <c r="C1874" s="2">
        <v>205</v>
      </c>
      <c r="D1874" s="2" t="s">
        <v>746</v>
      </c>
      <c r="E1874" s="2" t="s">
        <v>7620</v>
      </c>
      <c r="F1874" s="2" t="s">
        <v>7611</v>
      </c>
      <c r="G1874" s="2" t="s">
        <v>7625</v>
      </c>
    </row>
    <row r="1875" spans="1:7">
      <c r="A1875" s="3">
        <v>61</v>
      </c>
      <c r="B1875" s="3" t="s">
        <v>273</v>
      </c>
      <c r="C1875" s="3">
        <v>207</v>
      </c>
      <c r="D1875" s="3" t="s">
        <v>749</v>
      </c>
      <c r="E1875" s="3" t="s">
        <v>7620</v>
      </c>
      <c r="F1875" s="3" t="s">
        <v>7611</v>
      </c>
      <c r="G1875" s="3" t="s">
        <v>7625</v>
      </c>
    </row>
    <row r="1876" spans="1:7">
      <c r="A1876" s="2">
        <v>61</v>
      </c>
      <c r="B1876" s="2" t="s">
        <v>273</v>
      </c>
      <c r="C1876" s="2">
        <v>208</v>
      </c>
      <c r="D1876" s="2" t="s">
        <v>754</v>
      </c>
      <c r="E1876" s="2" t="s">
        <v>7620</v>
      </c>
      <c r="F1876" s="2" t="s">
        <v>7611</v>
      </c>
      <c r="G1876" s="2" t="s">
        <v>7621</v>
      </c>
    </row>
    <row r="1877" spans="1:7">
      <c r="A1877" s="3">
        <v>61</v>
      </c>
      <c r="B1877" s="3" t="s">
        <v>273</v>
      </c>
      <c r="C1877" s="3">
        <v>209</v>
      </c>
      <c r="D1877" s="3" t="s">
        <v>758</v>
      </c>
      <c r="E1877" s="3" t="s">
        <v>7620</v>
      </c>
      <c r="F1877" s="3" t="s">
        <v>7650</v>
      </c>
      <c r="G1877" s="3" t="s">
        <v>7622</v>
      </c>
    </row>
    <row r="1878" spans="1:7">
      <c r="A1878" s="2">
        <v>61</v>
      </c>
      <c r="B1878" s="2" t="s">
        <v>273</v>
      </c>
      <c r="C1878" s="2">
        <v>221</v>
      </c>
      <c r="D1878" s="2" t="s">
        <v>813</v>
      </c>
      <c r="E1878" s="2" t="s">
        <v>7620</v>
      </c>
      <c r="F1878" s="2" t="s">
        <v>7649</v>
      </c>
      <c r="G1878" s="2" t="s">
        <v>7622</v>
      </c>
    </row>
    <row r="1879" spans="1:7">
      <c r="A1879" s="3">
        <v>61</v>
      </c>
      <c r="B1879" s="3" t="s">
        <v>273</v>
      </c>
      <c r="C1879" s="3">
        <v>264</v>
      </c>
      <c r="D1879" s="3" t="s">
        <v>775</v>
      </c>
      <c r="E1879" s="3" t="s">
        <v>7620</v>
      </c>
      <c r="F1879" s="3" t="s">
        <v>7649</v>
      </c>
      <c r="G1879" s="3" t="s">
        <v>7622</v>
      </c>
    </row>
    <row r="1880" spans="1:7">
      <c r="A1880" s="2">
        <v>61</v>
      </c>
      <c r="B1880" s="2" t="s">
        <v>273</v>
      </c>
      <c r="C1880" s="2">
        <v>312</v>
      </c>
      <c r="D1880" s="2" t="s">
        <v>949</v>
      </c>
      <c r="E1880" s="2" t="s">
        <v>7608</v>
      </c>
      <c r="F1880" s="2" t="s">
        <v>7717</v>
      </c>
      <c r="G1880" s="2" t="s">
        <v>7625</v>
      </c>
    </row>
    <row r="1881" spans="1:7">
      <c r="A1881" s="3">
        <v>61</v>
      </c>
      <c r="B1881" s="3" t="s">
        <v>273</v>
      </c>
      <c r="C1881" s="3">
        <v>341</v>
      </c>
      <c r="D1881" s="3" t="s">
        <v>1052</v>
      </c>
      <c r="E1881" s="3" t="s">
        <v>7620</v>
      </c>
      <c r="F1881" s="3" t="s">
        <v>7649</v>
      </c>
      <c r="G1881" s="3" t="s">
        <v>7633</v>
      </c>
    </row>
    <row r="1882" spans="1:7">
      <c r="A1882" s="2">
        <v>61</v>
      </c>
      <c r="B1882" s="2" t="s">
        <v>273</v>
      </c>
      <c r="C1882" s="2">
        <v>343</v>
      </c>
      <c r="D1882" s="2" t="s">
        <v>977</v>
      </c>
      <c r="E1882" s="2" t="s">
        <v>7620</v>
      </c>
      <c r="F1882" s="2" t="s">
        <v>7649</v>
      </c>
      <c r="G1882" s="2" t="s">
        <v>7622</v>
      </c>
    </row>
    <row r="1883" spans="1:7">
      <c r="A1883" s="3">
        <v>62</v>
      </c>
      <c r="B1883" s="3" t="s">
        <v>280</v>
      </c>
      <c r="C1883" s="3">
        <v>97</v>
      </c>
      <c r="D1883" s="3" t="s">
        <v>457</v>
      </c>
      <c r="E1883" s="3" t="s">
        <v>7618</v>
      </c>
      <c r="F1883" s="3" t="s">
        <v>7649</v>
      </c>
      <c r="G1883" s="3" t="s">
        <v>7644</v>
      </c>
    </row>
    <row r="1884" spans="1:7">
      <c r="A1884" s="2">
        <v>62</v>
      </c>
      <c r="B1884" s="2" t="s">
        <v>280</v>
      </c>
      <c r="C1884" s="2">
        <v>101</v>
      </c>
      <c r="D1884" s="2" t="s">
        <v>395</v>
      </c>
      <c r="E1884" s="2" t="s">
        <v>7620</v>
      </c>
      <c r="F1884" s="2" t="s">
        <v>7649</v>
      </c>
      <c r="G1884" s="2" t="s">
        <v>7633</v>
      </c>
    </row>
    <row r="1885" spans="1:7">
      <c r="A1885" s="3">
        <v>62</v>
      </c>
      <c r="B1885" s="3" t="s">
        <v>280</v>
      </c>
      <c r="C1885" s="3">
        <v>103</v>
      </c>
      <c r="D1885" s="3" t="s">
        <v>384</v>
      </c>
      <c r="E1885" s="3" t="s">
        <v>7620</v>
      </c>
      <c r="F1885" s="3" t="s">
        <v>7650</v>
      </c>
      <c r="G1885" s="3" t="s">
        <v>7622</v>
      </c>
    </row>
    <row r="1886" spans="1:7">
      <c r="A1886" s="2">
        <v>62</v>
      </c>
      <c r="B1886" s="2" t="s">
        <v>280</v>
      </c>
      <c r="C1886" s="2">
        <v>191</v>
      </c>
      <c r="D1886" s="2" t="s">
        <v>719</v>
      </c>
      <c r="E1886" s="2" t="s">
        <v>7618</v>
      </c>
      <c r="F1886" s="2" t="s">
        <v>7649</v>
      </c>
      <c r="G1886" s="2" t="s">
        <v>7639</v>
      </c>
    </row>
    <row r="1887" spans="1:7">
      <c r="A1887" s="3">
        <v>62</v>
      </c>
      <c r="B1887" s="3" t="s">
        <v>280</v>
      </c>
      <c r="C1887" s="3">
        <v>195</v>
      </c>
      <c r="D1887" s="3" t="s">
        <v>734</v>
      </c>
      <c r="E1887" s="3" t="s">
        <v>7618</v>
      </c>
      <c r="F1887" s="3" t="s">
        <v>7649</v>
      </c>
      <c r="G1887" s="3" t="s">
        <v>7639</v>
      </c>
    </row>
    <row r="1888" spans="1:7">
      <c r="A1888" s="2">
        <v>62</v>
      </c>
      <c r="B1888" s="2" t="s">
        <v>280</v>
      </c>
      <c r="C1888" s="2">
        <v>198</v>
      </c>
      <c r="D1888" s="2" t="s">
        <v>698</v>
      </c>
      <c r="E1888" s="2" t="s">
        <v>7620</v>
      </c>
      <c r="F1888" s="2" t="s">
        <v>7649</v>
      </c>
      <c r="G1888" s="2" t="s">
        <v>7619</v>
      </c>
    </row>
    <row r="1889" spans="1:7">
      <c r="A1889" s="3">
        <v>62</v>
      </c>
      <c r="B1889" s="3" t="s">
        <v>280</v>
      </c>
      <c r="C1889" s="3">
        <v>199</v>
      </c>
      <c r="D1889" s="3" t="s">
        <v>702</v>
      </c>
      <c r="E1889" s="3" t="s">
        <v>7618</v>
      </c>
      <c r="F1889" s="3" t="s">
        <v>7649</v>
      </c>
      <c r="G1889" s="3" t="s">
        <v>7634</v>
      </c>
    </row>
    <row r="1890" spans="1:7">
      <c r="A1890" s="2">
        <v>62</v>
      </c>
      <c r="B1890" s="2" t="s">
        <v>280</v>
      </c>
      <c r="C1890" s="2">
        <v>200</v>
      </c>
      <c r="D1890" s="2" t="s">
        <v>707</v>
      </c>
      <c r="E1890" s="2" t="s">
        <v>7620</v>
      </c>
      <c r="F1890" s="2" t="s">
        <v>7649</v>
      </c>
      <c r="G1890" s="2" t="s">
        <v>7636</v>
      </c>
    </row>
    <row r="1891" spans="1:7">
      <c r="A1891" s="3">
        <v>62</v>
      </c>
      <c r="B1891" s="3" t="s">
        <v>280</v>
      </c>
      <c r="C1891" s="3">
        <v>205</v>
      </c>
      <c r="D1891" s="3" t="s">
        <v>746</v>
      </c>
      <c r="E1891" s="3" t="s">
        <v>7620</v>
      </c>
      <c r="F1891" s="3" t="s">
        <v>7611</v>
      </c>
      <c r="G1891" s="3" t="s">
        <v>7622</v>
      </c>
    </row>
    <row r="1892" spans="1:7">
      <c r="A1892" s="2">
        <v>62</v>
      </c>
      <c r="B1892" s="2" t="s">
        <v>280</v>
      </c>
      <c r="C1892" s="2">
        <v>207</v>
      </c>
      <c r="D1892" s="2" t="s">
        <v>749</v>
      </c>
      <c r="E1892" s="2" t="s">
        <v>7618</v>
      </c>
      <c r="F1892" s="2" t="s">
        <v>7611</v>
      </c>
      <c r="G1892" s="2" t="s">
        <v>7636</v>
      </c>
    </row>
    <row r="1893" spans="1:7">
      <c r="A1893" s="3">
        <v>62</v>
      </c>
      <c r="B1893" s="3" t="s">
        <v>280</v>
      </c>
      <c r="C1893" s="3">
        <v>208</v>
      </c>
      <c r="D1893" s="3" t="s">
        <v>754</v>
      </c>
      <c r="E1893" s="3" t="s">
        <v>7620</v>
      </c>
      <c r="F1893" s="3" t="s">
        <v>7611</v>
      </c>
      <c r="G1893" s="3" t="s">
        <v>7622</v>
      </c>
    </row>
    <row r="1894" spans="1:7">
      <c r="A1894" s="2">
        <v>62</v>
      </c>
      <c r="B1894" s="2" t="s">
        <v>280</v>
      </c>
      <c r="C1894" s="2">
        <v>209</v>
      </c>
      <c r="D1894" s="2" t="s">
        <v>758</v>
      </c>
      <c r="E1894" s="2" t="s">
        <v>7618</v>
      </c>
      <c r="F1894" s="2" t="s">
        <v>7650</v>
      </c>
      <c r="G1894" s="2" t="s">
        <v>7619</v>
      </c>
    </row>
    <row r="1895" spans="1:7">
      <c r="A1895" s="3">
        <v>62</v>
      </c>
      <c r="B1895" s="3" t="s">
        <v>280</v>
      </c>
      <c r="C1895" s="3">
        <v>221</v>
      </c>
      <c r="D1895" s="3" t="s">
        <v>813</v>
      </c>
      <c r="E1895" s="3" t="s">
        <v>7618</v>
      </c>
      <c r="F1895" s="3" t="s">
        <v>7649</v>
      </c>
      <c r="G1895" s="3" t="s">
        <v>7624</v>
      </c>
    </row>
    <row r="1896" spans="1:7">
      <c r="A1896" s="2">
        <v>62</v>
      </c>
      <c r="B1896" s="2" t="s">
        <v>280</v>
      </c>
      <c r="C1896" s="2">
        <v>264</v>
      </c>
      <c r="D1896" s="2" t="s">
        <v>775</v>
      </c>
      <c r="E1896" s="2" t="s">
        <v>7618</v>
      </c>
      <c r="F1896" s="2" t="s">
        <v>7649</v>
      </c>
      <c r="G1896" s="2" t="s">
        <v>7619</v>
      </c>
    </row>
    <row r="1897" spans="1:7">
      <c r="A1897" s="3">
        <v>62</v>
      </c>
      <c r="B1897" s="3" t="s">
        <v>280</v>
      </c>
      <c r="C1897" s="3">
        <v>341</v>
      </c>
      <c r="D1897" s="3" t="s">
        <v>1052</v>
      </c>
      <c r="E1897" s="3" t="s">
        <v>7620</v>
      </c>
      <c r="F1897" s="3" t="s">
        <v>7649</v>
      </c>
      <c r="G1897" s="3" t="s">
        <v>7617</v>
      </c>
    </row>
    <row r="1898" spans="1:7">
      <c r="A1898" s="2">
        <v>62</v>
      </c>
      <c r="B1898" s="2" t="s">
        <v>280</v>
      </c>
      <c r="C1898" s="2">
        <v>343</v>
      </c>
      <c r="D1898" s="2" t="s">
        <v>977</v>
      </c>
      <c r="E1898" s="2" t="s">
        <v>7620</v>
      </c>
      <c r="F1898" s="2" t="s">
        <v>7649</v>
      </c>
      <c r="G1898" s="2" t="s">
        <v>7622</v>
      </c>
    </row>
    <row r="1899" spans="1:7">
      <c r="A1899" s="3">
        <v>63</v>
      </c>
      <c r="B1899" s="3" t="s">
        <v>265</v>
      </c>
      <c r="C1899" s="3">
        <v>97</v>
      </c>
      <c r="D1899" s="3" t="s">
        <v>457</v>
      </c>
      <c r="E1899" s="3" t="s">
        <v>7618</v>
      </c>
      <c r="F1899" s="3" t="s">
        <v>7659</v>
      </c>
      <c r="G1899" s="3" t="s">
        <v>7644</v>
      </c>
    </row>
    <row r="1900" spans="1:7">
      <c r="A1900" s="2">
        <v>63</v>
      </c>
      <c r="B1900" s="2" t="s">
        <v>265</v>
      </c>
      <c r="C1900" s="2">
        <v>101</v>
      </c>
      <c r="D1900" s="2" t="s">
        <v>395</v>
      </c>
      <c r="E1900" s="2" t="s">
        <v>7620</v>
      </c>
      <c r="F1900" s="2" t="s">
        <v>7659</v>
      </c>
      <c r="G1900" s="2" t="s">
        <v>7617</v>
      </c>
    </row>
    <row r="1901" spans="1:7">
      <c r="A1901" s="3">
        <v>63</v>
      </c>
      <c r="B1901" s="3" t="s">
        <v>265</v>
      </c>
      <c r="C1901" s="3">
        <v>103</v>
      </c>
      <c r="D1901" s="3" t="s">
        <v>384</v>
      </c>
      <c r="E1901" s="3" t="s">
        <v>7725</v>
      </c>
      <c r="F1901" s="3" t="s">
        <v>7650</v>
      </c>
      <c r="G1901" s="3" t="s">
        <v>7617</v>
      </c>
    </row>
    <row r="1902" spans="1:7">
      <c r="A1902" s="2">
        <v>63</v>
      </c>
      <c r="B1902" s="2" t="s">
        <v>265</v>
      </c>
      <c r="C1902" s="2">
        <v>181</v>
      </c>
      <c r="D1902" s="2" t="s">
        <v>653</v>
      </c>
      <c r="E1902" s="2" t="s">
        <v>7608</v>
      </c>
      <c r="F1902" s="2" t="s">
        <v>7652</v>
      </c>
      <c r="G1902" s="2" t="s">
        <v>7625</v>
      </c>
    </row>
    <row r="1903" spans="1:7">
      <c r="A1903" s="3">
        <v>63</v>
      </c>
      <c r="B1903" s="3" t="s">
        <v>265</v>
      </c>
      <c r="C1903" s="3">
        <v>189</v>
      </c>
      <c r="D1903" s="3" t="s">
        <v>742</v>
      </c>
      <c r="E1903" s="3" t="s">
        <v>7653</v>
      </c>
      <c r="F1903" s="3" t="s">
        <v>7608</v>
      </c>
      <c r="G1903" s="3" t="s">
        <v>7622</v>
      </c>
    </row>
    <row r="1904" spans="1:7">
      <c r="A1904" s="2">
        <v>63</v>
      </c>
      <c r="B1904" s="2" t="s">
        <v>265</v>
      </c>
      <c r="C1904" s="2">
        <v>191</v>
      </c>
      <c r="D1904" s="2" t="s">
        <v>719</v>
      </c>
      <c r="E1904" s="2" t="s">
        <v>7618</v>
      </c>
      <c r="F1904" s="2" t="s">
        <v>7659</v>
      </c>
      <c r="G1904" s="2" t="s">
        <v>7624</v>
      </c>
    </row>
    <row r="1905" spans="1:7">
      <c r="A1905" s="3">
        <v>63</v>
      </c>
      <c r="B1905" s="3" t="s">
        <v>265</v>
      </c>
      <c r="C1905" s="3">
        <v>192</v>
      </c>
      <c r="D1905" s="3" t="s">
        <v>727</v>
      </c>
      <c r="E1905" s="3" t="s">
        <v>7726</v>
      </c>
      <c r="F1905" s="3" t="s">
        <v>7652</v>
      </c>
      <c r="G1905" s="3" t="s">
        <v>7633</v>
      </c>
    </row>
    <row r="1906" spans="1:7">
      <c r="A1906" s="2">
        <v>63</v>
      </c>
      <c r="B1906" s="2" t="s">
        <v>265</v>
      </c>
      <c r="C1906" s="2">
        <v>195</v>
      </c>
      <c r="D1906" s="2" t="s">
        <v>734</v>
      </c>
      <c r="E1906" s="2" t="s">
        <v>7618</v>
      </c>
      <c r="F1906" s="2" t="s">
        <v>7659</v>
      </c>
      <c r="G1906" s="2" t="s">
        <v>7624</v>
      </c>
    </row>
    <row r="1907" spans="1:7">
      <c r="A1907" s="3">
        <v>63</v>
      </c>
      <c r="B1907" s="3" t="s">
        <v>265</v>
      </c>
      <c r="C1907" s="3">
        <v>196</v>
      </c>
      <c r="D1907" s="3" t="s">
        <v>736</v>
      </c>
      <c r="E1907" s="3" t="s">
        <v>7608</v>
      </c>
      <c r="F1907" s="3" t="s">
        <v>7652</v>
      </c>
      <c r="G1907" s="3" t="s">
        <v>7625</v>
      </c>
    </row>
    <row r="1908" spans="1:7">
      <c r="A1908" s="2">
        <v>63</v>
      </c>
      <c r="B1908" s="2" t="s">
        <v>265</v>
      </c>
      <c r="C1908" s="2">
        <v>198</v>
      </c>
      <c r="D1908" s="2" t="s">
        <v>698</v>
      </c>
      <c r="E1908" s="2" t="s">
        <v>7620</v>
      </c>
      <c r="F1908" s="2" t="s">
        <v>7659</v>
      </c>
      <c r="G1908" s="2" t="s">
        <v>7634</v>
      </c>
    </row>
    <row r="1909" spans="1:7">
      <c r="A1909" s="3">
        <v>63</v>
      </c>
      <c r="B1909" s="3" t="s">
        <v>265</v>
      </c>
      <c r="C1909" s="3">
        <v>199</v>
      </c>
      <c r="D1909" s="3" t="s">
        <v>702</v>
      </c>
      <c r="E1909" s="3" t="s">
        <v>7660</v>
      </c>
      <c r="F1909" s="3" t="s">
        <v>7659</v>
      </c>
      <c r="G1909" s="3" t="s">
        <v>7612</v>
      </c>
    </row>
    <row r="1910" spans="1:7">
      <c r="A1910" s="2">
        <v>63</v>
      </c>
      <c r="B1910" s="2" t="s">
        <v>265</v>
      </c>
      <c r="C1910" s="2">
        <v>200</v>
      </c>
      <c r="D1910" s="2" t="s">
        <v>707</v>
      </c>
      <c r="E1910" s="2" t="s">
        <v>7654</v>
      </c>
      <c r="F1910" s="2" t="s">
        <v>7659</v>
      </c>
      <c r="G1910" s="2" t="s">
        <v>7632</v>
      </c>
    </row>
    <row r="1911" spans="1:7">
      <c r="A1911" s="3">
        <v>63</v>
      </c>
      <c r="B1911" s="3" t="s">
        <v>265</v>
      </c>
      <c r="C1911" s="3">
        <v>201</v>
      </c>
      <c r="D1911" s="3" t="s">
        <v>695</v>
      </c>
      <c r="E1911" s="3" t="s">
        <v>7608</v>
      </c>
      <c r="F1911" s="3" t="s">
        <v>7659</v>
      </c>
      <c r="G1911" s="3" t="s">
        <v>7625</v>
      </c>
    </row>
    <row r="1912" spans="1:7">
      <c r="A1912" s="2">
        <v>63</v>
      </c>
      <c r="B1912" s="2" t="s">
        <v>265</v>
      </c>
      <c r="C1912" s="2">
        <v>203</v>
      </c>
      <c r="D1912" s="2" t="s">
        <v>681</v>
      </c>
      <c r="E1912" s="2" t="s">
        <v>7608</v>
      </c>
      <c r="F1912" s="2" t="s">
        <v>7652</v>
      </c>
      <c r="G1912" s="2" t="s">
        <v>7625</v>
      </c>
    </row>
    <row r="1913" spans="1:7">
      <c r="A1913" s="3">
        <v>63</v>
      </c>
      <c r="B1913" s="3" t="s">
        <v>265</v>
      </c>
      <c r="C1913" s="3">
        <v>204</v>
      </c>
      <c r="D1913" s="3" t="s">
        <v>685</v>
      </c>
      <c r="E1913" s="3" t="s">
        <v>7608</v>
      </c>
      <c r="F1913" s="3" t="s">
        <v>7659</v>
      </c>
      <c r="G1913" s="3" t="s">
        <v>7625</v>
      </c>
    </row>
    <row r="1914" spans="1:7">
      <c r="A1914" s="2">
        <v>63</v>
      </c>
      <c r="B1914" s="2" t="s">
        <v>265</v>
      </c>
      <c r="C1914" s="2">
        <v>205</v>
      </c>
      <c r="D1914" s="2" t="s">
        <v>746</v>
      </c>
      <c r="E1914" s="2" t="s">
        <v>7620</v>
      </c>
      <c r="F1914" s="2" t="s">
        <v>7628</v>
      </c>
      <c r="G1914" s="2" t="s">
        <v>7609</v>
      </c>
    </row>
    <row r="1915" spans="1:7">
      <c r="A1915" s="3">
        <v>63</v>
      </c>
      <c r="B1915" s="3" t="s">
        <v>265</v>
      </c>
      <c r="C1915" s="3">
        <v>207</v>
      </c>
      <c r="D1915" s="3" t="s">
        <v>749</v>
      </c>
      <c r="E1915" s="3" t="s">
        <v>7623</v>
      </c>
      <c r="F1915" s="3" t="s">
        <v>7611</v>
      </c>
      <c r="G1915" s="3" t="s">
        <v>7624</v>
      </c>
    </row>
    <row r="1916" spans="1:7">
      <c r="A1916" s="2">
        <v>63</v>
      </c>
      <c r="B1916" s="2" t="s">
        <v>265</v>
      </c>
      <c r="C1916" s="2">
        <v>208</v>
      </c>
      <c r="D1916" s="2" t="s">
        <v>754</v>
      </c>
      <c r="E1916" s="2" t="s">
        <v>7620</v>
      </c>
      <c r="F1916" s="2" t="s">
        <v>7628</v>
      </c>
      <c r="G1916" s="2" t="s">
        <v>7633</v>
      </c>
    </row>
    <row r="1917" spans="1:7">
      <c r="A1917" s="3">
        <v>63</v>
      </c>
      <c r="B1917" s="3" t="s">
        <v>265</v>
      </c>
      <c r="C1917" s="3">
        <v>209</v>
      </c>
      <c r="D1917" s="3" t="s">
        <v>758</v>
      </c>
      <c r="E1917" s="3" t="s">
        <v>7618</v>
      </c>
      <c r="F1917" s="3" t="s">
        <v>7652</v>
      </c>
      <c r="G1917" s="3" t="s">
        <v>7634</v>
      </c>
    </row>
    <row r="1918" spans="1:7">
      <c r="A1918" s="2">
        <v>63</v>
      </c>
      <c r="B1918" s="2" t="s">
        <v>265</v>
      </c>
      <c r="C1918" s="2">
        <v>221</v>
      </c>
      <c r="D1918" s="2" t="s">
        <v>813</v>
      </c>
      <c r="E1918" s="2" t="s">
        <v>7623</v>
      </c>
      <c r="F1918" s="2" t="s">
        <v>7649</v>
      </c>
      <c r="G1918" s="2" t="s">
        <v>7641</v>
      </c>
    </row>
    <row r="1919" spans="1:7">
      <c r="A1919" s="3">
        <v>63</v>
      </c>
      <c r="B1919" s="3" t="s">
        <v>265</v>
      </c>
      <c r="C1919" s="3">
        <v>264</v>
      </c>
      <c r="D1919" s="3" t="s">
        <v>775</v>
      </c>
      <c r="E1919" s="3" t="s">
        <v>7618</v>
      </c>
      <c r="F1919" s="3" t="s">
        <v>7659</v>
      </c>
      <c r="G1919" s="3" t="s">
        <v>7639</v>
      </c>
    </row>
    <row r="1920" spans="1:7">
      <c r="A1920" s="2">
        <v>63</v>
      </c>
      <c r="B1920" s="2" t="s">
        <v>265</v>
      </c>
      <c r="C1920" s="2">
        <v>312</v>
      </c>
      <c r="D1920" s="2" t="s">
        <v>949</v>
      </c>
      <c r="E1920" s="2" t="s">
        <v>7608</v>
      </c>
      <c r="F1920" s="2" t="s">
        <v>7659</v>
      </c>
      <c r="G1920" s="2" t="s">
        <v>7625</v>
      </c>
    </row>
    <row r="1921" spans="1:7">
      <c r="A1921" s="3">
        <v>63</v>
      </c>
      <c r="B1921" s="3" t="s">
        <v>265</v>
      </c>
      <c r="C1921" s="3">
        <v>341</v>
      </c>
      <c r="D1921" s="3" t="s">
        <v>1052</v>
      </c>
      <c r="E1921" s="3" t="s">
        <v>7620</v>
      </c>
      <c r="F1921" s="3" t="s">
        <v>7649</v>
      </c>
      <c r="G1921" s="3" t="s">
        <v>7633</v>
      </c>
    </row>
    <row r="1922" spans="1:7">
      <c r="A1922" s="2">
        <v>63</v>
      </c>
      <c r="B1922" s="2" t="s">
        <v>265</v>
      </c>
      <c r="C1922" s="2">
        <v>343</v>
      </c>
      <c r="D1922" s="2" t="s">
        <v>977</v>
      </c>
      <c r="E1922" s="2" t="s">
        <v>7620</v>
      </c>
      <c r="F1922" s="2" t="s">
        <v>7659</v>
      </c>
      <c r="G1922" s="2" t="s">
        <v>7609</v>
      </c>
    </row>
    <row r="1923" spans="1:7">
      <c r="A1923" s="3">
        <v>64</v>
      </c>
      <c r="B1923" s="3" t="s">
        <v>283</v>
      </c>
      <c r="C1923" s="3">
        <v>97</v>
      </c>
      <c r="D1923" s="3" t="s">
        <v>457</v>
      </c>
      <c r="E1923" s="3" t="s">
        <v>7618</v>
      </c>
      <c r="F1923" s="3" t="s">
        <v>7611</v>
      </c>
      <c r="G1923" s="3" t="s">
        <v>7639</v>
      </c>
    </row>
    <row r="1924" spans="1:7">
      <c r="A1924" s="2">
        <v>64</v>
      </c>
      <c r="B1924" s="2" t="s">
        <v>283</v>
      </c>
      <c r="C1924" s="2">
        <v>101</v>
      </c>
      <c r="D1924" s="2" t="s">
        <v>395</v>
      </c>
      <c r="E1924" s="2" t="s">
        <v>7620</v>
      </c>
      <c r="F1924" s="2" t="s">
        <v>7611</v>
      </c>
      <c r="G1924" s="2" t="s">
        <v>7621</v>
      </c>
    </row>
    <row r="1925" spans="1:7">
      <c r="A1925" s="3">
        <v>64</v>
      </c>
      <c r="B1925" s="3" t="s">
        <v>283</v>
      </c>
      <c r="C1925" s="3">
        <v>189</v>
      </c>
      <c r="D1925" s="3" t="s">
        <v>742</v>
      </c>
      <c r="E1925" s="3" t="s">
        <v>7653</v>
      </c>
      <c r="F1925" s="3" t="s">
        <v>7608</v>
      </c>
      <c r="G1925" s="3" t="s">
        <v>7621</v>
      </c>
    </row>
    <row r="1926" spans="1:7">
      <c r="A1926" s="2">
        <v>64</v>
      </c>
      <c r="B1926" s="2" t="s">
        <v>283</v>
      </c>
      <c r="C1926" s="2">
        <v>191</v>
      </c>
      <c r="D1926" s="2" t="s">
        <v>719</v>
      </c>
      <c r="E1926" s="2" t="s">
        <v>7618</v>
      </c>
      <c r="F1926" s="2" t="s">
        <v>7611</v>
      </c>
      <c r="G1926" s="2" t="s">
        <v>7639</v>
      </c>
    </row>
    <row r="1927" spans="1:7">
      <c r="A1927" s="3">
        <v>64</v>
      </c>
      <c r="B1927" s="3" t="s">
        <v>283</v>
      </c>
      <c r="C1927" s="3">
        <v>195</v>
      </c>
      <c r="D1927" s="3" t="s">
        <v>734</v>
      </c>
      <c r="E1927" s="3" t="s">
        <v>7618</v>
      </c>
      <c r="F1927" s="3" t="s">
        <v>7611</v>
      </c>
      <c r="G1927" s="3" t="s">
        <v>7619</v>
      </c>
    </row>
    <row r="1928" spans="1:7">
      <c r="A1928" s="2">
        <v>64</v>
      </c>
      <c r="B1928" s="2" t="s">
        <v>283</v>
      </c>
      <c r="C1928" s="2">
        <v>198</v>
      </c>
      <c r="D1928" s="2" t="s">
        <v>698</v>
      </c>
      <c r="E1928" s="2" t="s">
        <v>7620</v>
      </c>
      <c r="F1928" s="2" t="s">
        <v>7611</v>
      </c>
      <c r="G1928" s="2" t="s">
        <v>7609</v>
      </c>
    </row>
    <row r="1929" spans="1:7">
      <c r="A1929" s="3">
        <v>64</v>
      </c>
      <c r="B1929" s="3" t="s">
        <v>283</v>
      </c>
      <c r="C1929" s="3">
        <v>199</v>
      </c>
      <c r="D1929" s="3" t="s">
        <v>702</v>
      </c>
      <c r="E1929" s="3" t="s">
        <v>7660</v>
      </c>
      <c r="F1929" s="3" t="s">
        <v>7611</v>
      </c>
      <c r="G1929" s="3" t="s">
        <v>7632</v>
      </c>
    </row>
    <row r="1930" spans="1:7">
      <c r="A1930" s="2">
        <v>64</v>
      </c>
      <c r="B1930" s="2" t="s">
        <v>283</v>
      </c>
      <c r="C1930" s="2">
        <v>200</v>
      </c>
      <c r="D1930" s="2" t="s">
        <v>707</v>
      </c>
      <c r="E1930" s="2" t="s">
        <v>7654</v>
      </c>
      <c r="F1930" s="2" t="s">
        <v>7611</v>
      </c>
      <c r="G1930" s="2" t="s">
        <v>7634</v>
      </c>
    </row>
    <row r="1931" spans="1:7">
      <c r="A1931" s="3">
        <v>64</v>
      </c>
      <c r="B1931" s="3" t="s">
        <v>283</v>
      </c>
      <c r="C1931" s="3">
        <v>205</v>
      </c>
      <c r="D1931" s="3" t="s">
        <v>746</v>
      </c>
      <c r="E1931" s="3" t="s">
        <v>7620</v>
      </c>
      <c r="F1931" s="3" t="s">
        <v>7611</v>
      </c>
      <c r="G1931" s="3" t="s">
        <v>7633</v>
      </c>
    </row>
    <row r="1932" spans="1:7">
      <c r="A1932" s="2">
        <v>64</v>
      </c>
      <c r="B1932" s="2" t="s">
        <v>283</v>
      </c>
      <c r="C1932" s="2">
        <v>207</v>
      </c>
      <c r="D1932" s="2" t="s">
        <v>749</v>
      </c>
      <c r="E1932" s="2" t="s">
        <v>7618</v>
      </c>
      <c r="F1932" s="2" t="s">
        <v>7611</v>
      </c>
      <c r="G1932" s="2" t="s">
        <v>7636</v>
      </c>
    </row>
    <row r="1933" spans="1:7">
      <c r="A1933" s="3">
        <v>64</v>
      </c>
      <c r="B1933" s="3" t="s">
        <v>283</v>
      </c>
      <c r="C1933" s="3">
        <v>208</v>
      </c>
      <c r="D1933" s="3" t="s">
        <v>754</v>
      </c>
      <c r="E1933" s="3" t="s">
        <v>7620</v>
      </c>
      <c r="F1933" s="3" t="s">
        <v>7611</v>
      </c>
      <c r="G1933" s="3" t="s">
        <v>7633</v>
      </c>
    </row>
    <row r="1934" spans="1:7">
      <c r="A1934" s="2">
        <v>64</v>
      </c>
      <c r="B1934" s="2" t="s">
        <v>283</v>
      </c>
      <c r="C1934" s="2">
        <v>209</v>
      </c>
      <c r="D1934" s="2" t="s">
        <v>758</v>
      </c>
      <c r="E1934" s="2" t="s">
        <v>7618</v>
      </c>
      <c r="F1934" s="2" t="s">
        <v>7608</v>
      </c>
      <c r="G1934" s="2" t="s">
        <v>7617</v>
      </c>
    </row>
    <row r="1935" spans="1:7">
      <c r="A1935" s="3">
        <v>64</v>
      </c>
      <c r="B1935" s="3" t="s">
        <v>283</v>
      </c>
      <c r="C1935" s="3">
        <v>221</v>
      </c>
      <c r="D1935" s="3" t="s">
        <v>813</v>
      </c>
      <c r="E1935" s="3" t="s">
        <v>7618</v>
      </c>
      <c r="F1935" s="3" t="s">
        <v>7611</v>
      </c>
      <c r="G1935" s="3" t="s">
        <v>7636</v>
      </c>
    </row>
    <row r="1936" spans="1:7">
      <c r="A1936" s="2">
        <v>64</v>
      </c>
      <c r="B1936" s="2" t="s">
        <v>283</v>
      </c>
      <c r="C1936" s="2">
        <v>264</v>
      </c>
      <c r="D1936" s="2" t="s">
        <v>775</v>
      </c>
      <c r="E1936" s="2" t="s">
        <v>7618</v>
      </c>
      <c r="F1936" s="2" t="s">
        <v>7611</v>
      </c>
      <c r="G1936" s="2" t="s">
        <v>7617</v>
      </c>
    </row>
    <row r="1937" spans="1:7">
      <c r="A1937" s="3">
        <v>64</v>
      </c>
      <c r="B1937" s="3" t="s">
        <v>283</v>
      </c>
      <c r="C1937" s="3">
        <v>341</v>
      </c>
      <c r="D1937" s="3" t="s">
        <v>1052</v>
      </c>
      <c r="E1937" s="3" t="s">
        <v>7620</v>
      </c>
      <c r="F1937" s="3" t="s">
        <v>7611</v>
      </c>
      <c r="G1937" s="3" t="s">
        <v>7622</v>
      </c>
    </row>
    <row r="1938" spans="1:7">
      <c r="A1938" s="2">
        <v>64</v>
      </c>
      <c r="B1938" s="2" t="s">
        <v>283</v>
      </c>
      <c r="C1938" s="2">
        <v>343</v>
      </c>
      <c r="D1938" s="2" t="s">
        <v>977</v>
      </c>
      <c r="E1938" s="2" t="s">
        <v>7620</v>
      </c>
      <c r="F1938" s="2" t="s">
        <v>7611</v>
      </c>
      <c r="G1938" s="2" t="s">
        <v>7622</v>
      </c>
    </row>
    <row r="1939" spans="1:7">
      <c r="A1939" s="3">
        <v>65</v>
      </c>
      <c r="B1939" s="3" t="s">
        <v>243</v>
      </c>
      <c r="C1939" s="3">
        <v>97</v>
      </c>
      <c r="D1939" s="3" t="s">
        <v>457</v>
      </c>
      <c r="E1939" s="3" t="s">
        <v>7620</v>
      </c>
      <c r="F1939" s="3" t="s">
        <v>7659</v>
      </c>
      <c r="G1939" s="3" t="s">
        <v>7634</v>
      </c>
    </row>
    <row r="1940" spans="1:7">
      <c r="A1940" s="2">
        <v>65</v>
      </c>
      <c r="B1940" s="2" t="s">
        <v>243</v>
      </c>
      <c r="C1940" s="2">
        <v>101</v>
      </c>
      <c r="D1940" s="2" t="s">
        <v>395</v>
      </c>
      <c r="E1940" s="2" t="s">
        <v>7620</v>
      </c>
      <c r="F1940" s="2" t="s">
        <v>7659</v>
      </c>
      <c r="G1940" s="2" t="s">
        <v>7617</v>
      </c>
    </row>
    <row r="1941" spans="1:7">
      <c r="A1941" s="3">
        <v>65</v>
      </c>
      <c r="B1941" s="3" t="s">
        <v>243</v>
      </c>
      <c r="C1941" s="3">
        <v>103</v>
      </c>
      <c r="D1941" s="3" t="s">
        <v>384</v>
      </c>
      <c r="E1941" s="3" t="s">
        <v>7620</v>
      </c>
      <c r="F1941" s="3" t="s">
        <v>7650</v>
      </c>
      <c r="G1941" s="3" t="s">
        <v>7621</v>
      </c>
    </row>
    <row r="1942" spans="1:7">
      <c r="A1942" s="2">
        <v>65</v>
      </c>
      <c r="B1942" s="2" t="s">
        <v>243</v>
      </c>
      <c r="C1942" s="2">
        <v>189</v>
      </c>
      <c r="D1942" s="2" t="s">
        <v>742</v>
      </c>
      <c r="E1942" s="2" t="s">
        <v>7653</v>
      </c>
      <c r="F1942" s="2" t="s">
        <v>7608</v>
      </c>
      <c r="G1942" s="2" t="s">
        <v>7625</v>
      </c>
    </row>
    <row r="1943" spans="1:7">
      <c r="A1943" s="3">
        <v>65</v>
      </c>
      <c r="B1943" s="3" t="s">
        <v>243</v>
      </c>
      <c r="C1943" s="3">
        <v>191</v>
      </c>
      <c r="D1943" s="3" t="s">
        <v>719</v>
      </c>
      <c r="E1943" s="3" t="s">
        <v>7620</v>
      </c>
      <c r="F1943" s="3" t="s">
        <v>7659</v>
      </c>
      <c r="G1943" s="3" t="s">
        <v>7636</v>
      </c>
    </row>
    <row r="1944" spans="1:7">
      <c r="A1944" s="2">
        <v>65</v>
      </c>
      <c r="B1944" s="2" t="s">
        <v>243</v>
      </c>
      <c r="C1944" s="2">
        <v>195</v>
      </c>
      <c r="D1944" s="2" t="s">
        <v>734</v>
      </c>
      <c r="E1944" s="2" t="s">
        <v>7620</v>
      </c>
      <c r="F1944" s="2" t="s">
        <v>7659</v>
      </c>
      <c r="G1944" s="2" t="s">
        <v>7619</v>
      </c>
    </row>
    <row r="1945" spans="1:7">
      <c r="A1945" s="3">
        <v>65</v>
      </c>
      <c r="B1945" s="3" t="s">
        <v>243</v>
      </c>
      <c r="C1945" s="3">
        <v>198</v>
      </c>
      <c r="D1945" s="3" t="s">
        <v>698</v>
      </c>
      <c r="E1945" s="3" t="s">
        <v>7620</v>
      </c>
      <c r="F1945" s="3" t="s">
        <v>7659</v>
      </c>
      <c r="G1945" s="3" t="s">
        <v>7636</v>
      </c>
    </row>
    <row r="1946" spans="1:7">
      <c r="A1946" s="2">
        <v>65</v>
      </c>
      <c r="B1946" s="2" t="s">
        <v>243</v>
      </c>
      <c r="C1946" s="2">
        <v>199</v>
      </c>
      <c r="D1946" s="2" t="s">
        <v>702</v>
      </c>
      <c r="E1946" s="2" t="s">
        <v>7654</v>
      </c>
      <c r="F1946" s="2" t="s">
        <v>7659</v>
      </c>
      <c r="G1946" s="2" t="s">
        <v>7624</v>
      </c>
    </row>
    <row r="1947" spans="1:7">
      <c r="A1947" s="3">
        <v>65</v>
      </c>
      <c r="B1947" s="3" t="s">
        <v>243</v>
      </c>
      <c r="C1947" s="3">
        <v>200</v>
      </c>
      <c r="D1947" s="3" t="s">
        <v>707</v>
      </c>
      <c r="E1947" s="3" t="s">
        <v>7654</v>
      </c>
      <c r="F1947" s="3" t="s">
        <v>7659</v>
      </c>
      <c r="G1947" s="3" t="s">
        <v>7624</v>
      </c>
    </row>
    <row r="1948" spans="1:7">
      <c r="A1948" s="2">
        <v>65</v>
      </c>
      <c r="B1948" s="2" t="s">
        <v>243</v>
      </c>
      <c r="C1948" s="2">
        <v>201</v>
      </c>
      <c r="D1948" s="2" t="s">
        <v>695</v>
      </c>
      <c r="E1948" s="2" t="s">
        <v>7608</v>
      </c>
      <c r="F1948" s="2" t="s">
        <v>7659</v>
      </c>
      <c r="G1948" s="2" t="s">
        <v>7625</v>
      </c>
    </row>
    <row r="1949" spans="1:7">
      <c r="A1949" s="3">
        <v>65</v>
      </c>
      <c r="B1949" s="3" t="s">
        <v>243</v>
      </c>
      <c r="C1949" s="3">
        <v>202</v>
      </c>
      <c r="D1949" s="3" t="s">
        <v>712</v>
      </c>
      <c r="E1949" s="3" t="s">
        <v>7608</v>
      </c>
      <c r="F1949" s="3" t="s">
        <v>7661</v>
      </c>
      <c r="G1949" s="3" t="s">
        <v>7625</v>
      </c>
    </row>
    <row r="1950" spans="1:7">
      <c r="A1950" s="2">
        <v>65</v>
      </c>
      <c r="B1950" s="2" t="s">
        <v>243</v>
      </c>
      <c r="C1950" s="2">
        <v>204</v>
      </c>
      <c r="D1950" s="2" t="s">
        <v>685</v>
      </c>
      <c r="E1950" s="2" t="s">
        <v>7608</v>
      </c>
      <c r="F1950" s="2" t="s">
        <v>7659</v>
      </c>
      <c r="G1950" s="2" t="s">
        <v>7625</v>
      </c>
    </row>
    <row r="1951" spans="1:7">
      <c r="A1951" s="3">
        <v>65</v>
      </c>
      <c r="B1951" s="3" t="s">
        <v>243</v>
      </c>
      <c r="C1951" s="3">
        <v>205</v>
      </c>
      <c r="D1951" s="3" t="s">
        <v>746</v>
      </c>
      <c r="E1951" s="3" t="s">
        <v>7620</v>
      </c>
      <c r="F1951" s="3" t="s">
        <v>7628</v>
      </c>
      <c r="G1951" s="3" t="s">
        <v>7617</v>
      </c>
    </row>
    <row r="1952" spans="1:7">
      <c r="A1952" s="2">
        <v>65</v>
      </c>
      <c r="B1952" s="2" t="s">
        <v>243</v>
      </c>
      <c r="C1952" s="2">
        <v>207</v>
      </c>
      <c r="D1952" s="2" t="s">
        <v>749</v>
      </c>
      <c r="E1952" s="2" t="s">
        <v>7620</v>
      </c>
      <c r="F1952" s="2" t="s">
        <v>7611</v>
      </c>
      <c r="G1952" s="2" t="s">
        <v>7622</v>
      </c>
    </row>
    <row r="1953" spans="1:7">
      <c r="A1953" s="3">
        <v>65</v>
      </c>
      <c r="B1953" s="3" t="s">
        <v>243</v>
      </c>
      <c r="C1953" s="3">
        <v>208</v>
      </c>
      <c r="D1953" s="3" t="s">
        <v>754</v>
      </c>
      <c r="E1953" s="3" t="s">
        <v>7620</v>
      </c>
      <c r="F1953" s="3" t="s">
        <v>7628</v>
      </c>
      <c r="G1953" s="3" t="s">
        <v>7633</v>
      </c>
    </row>
    <row r="1954" spans="1:7">
      <c r="A1954" s="2">
        <v>65</v>
      </c>
      <c r="B1954" s="2" t="s">
        <v>243</v>
      </c>
      <c r="C1954" s="2">
        <v>209</v>
      </c>
      <c r="D1954" s="2" t="s">
        <v>758</v>
      </c>
      <c r="E1954" s="2" t="s">
        <v>7620</v>
      </c>
      <c r="F1954" s="2" t="s">
        <v>7652</v>
      </c>
      <c r="G1954" s="2" t="s">
        <v>7617</v>
      </c>
    </row>
    <row r="1955" spans="1:7">
      <c r="A1955" s="3">
        <v>65</v>
      </c>
      <c r="B1955" s="3" t="s">
        <v>243</v>
      </c>
      <c r="C1955" s="3">
        <v>221</v>
      </c>
      <c r="D1955" s="3" t="s">
        <v>813</v>
      </c>
      <c r="E1955" s="3" t="s">
        <v>7620</v>
      </c>
      <c r="F1955" s="3" t="s">
        <v>7649</v>
      </c>
      <c r="G1955" s="3" t="s">
        <v>7609</v>
      </c>
    </row>
    <row r="1956" spans="1:7">
      <c r="A1956" s="2">
        <v>65</v>
      </c>
      <c r="B1956" s="2" t="s">
        <v>243</v>
      </c>
      <c r="C1956" s="2">
        <v>264</v>
      </c>
      <c r="D1956" s="2" t="s">
        <v>775</v>
      </c>
      <c r="E1956" s="2" t="s">
        <v>7620</v>
      </c>
      <c r="F1956" s="2" t="s">
        <v>7659</v>
      </c>
      <c r="G1956" s="2" t="s">
        <v>7617</v>
      </c>
    </row>
    <row r="1957" spans="1:7">
      <c r="A1957" s="3">
        <v>65</v>
      </c>
      <c r="B1957" s="3" t="s">
        <v>243</v>
      </c>
      <c r="C1957" s="3">
        <v>312</v>
      </c>
      <c r="D1957" s="3" t="s">
        <v>949</v>
      </c>
      <c r="E1957" s="3" t="s">
        <v>7608</v>
      </c>
      <c r="F1957" s="3" t="s">
        <v>7659</v>
      </c>
      <c r="G1957" s="3" t="s">
        <v>7625</v>
      </c>
    </row>
    <row r="1958" spans="1:7">
      <c r="A1958" s="2">
        <v>65</v>
      </c>
      <c r="B1958" s="2" t="s">
        <v>243</v>
      </c>
      <c r="C1958" s="2">
        <v>341</v>
      </c>
      <c r="D1958" s="2" t="s">
        <v>1052</v>
      </c>
      <c r="E1958" s="2" t="s">
        <v>7620</v>
      </c>
      <c r="F1958" s="2" t="s">
        <v>7649</v>
      </c>
      <c r="G1958" s="2" t="s">
        <v>7633</v>
      </c>
    </row>
    <row r="1959" spans="1:7">
      <c r="A1959" s="3">
        <v>65</v>
      </c>
      <c r="B1959" s="3" t="s">
        <v>243</v>
      </c>
      <c r="C1959" s="3">
        <v>343</v>
      </c>
      <c r="D1959" s="3" t="s">
        <v>977</v>
      </c>
      <c r="E1959" s="3" t="s">
        <v>7620</v>
      </c>
      <c r="F1959" s="3" t="s">
        <v>7662</v>
      </c>
      <c r="G1959" s="3" t="s">
        <v>7619</v>
      </c>
    </row>
    <row r="1960" spans="1:7">
      <c r="A1960" s="2">
        <v>66</v>
      </c>
      <c r="B1960" s="2" t="s">
        <v>249</v>
      </c>
      <c r="C1960" s="2">
        <v>97</v>
      </c>
      <c r="D1960" s="2" t="s">
        <v>457</v>
      </c>
      <c r="E1960" s="2" t="s">
        <v>7618</v>
      </c>
      <c r="F1960" s="2" t="s">
        <v>7611</v>
      </c>
      <c r="G1960" s="2" t="s">
        <v>7617</v>
      </c>
    </row>
    <row r="1961" spans="1:7">
      <c r="A1961" s="3">
        <v>66</v>
      </c>
      <c r="B1961" s="3" t="s">
        <v>249</v>
      </c>
      <c r="C1961" s="3">
        <v>101</v>
      </c>
      <c r="D1961" s="3" t="s">
        <v>395</v>
      </c>
      <c r="E1961" s="3" t="s">
        <v>7620</v>
      </c>
      <c r="F1961" s="3" t="s">
        <v>7611</v>
      </c>
      <c r="G1961" s="3" t="s">
        <v>7621</v>
      </c>
    </row>
    <row r="1962" spans="1:7">
      <c r="A1962" s="2">
        <v>66</v>
      </c>
      <c r="B1962" s="2" t="s">
        <v>249</v>
      </c>
      <c r="C1962" s="2">
        <v>191</v>
      </c>
      <c r="D1962" s="2" t="s">
        <v>719</v>
      </c>
      <c r="E1962" s="2" t="s">
        <v>7618</v>
      </c>
      <c r="F1962" s="2" t="s">
        <v>7611</v>
      </c>
      <c r="G1962" s="2" t="s">
        <v>7636</v>
      </c>
    </row>
    <row r="1963" spans="1:7">
      <c r="A1963" s="3">
        <v>66</v>
      </c>
      <c r="B1963" s="3" t="s">
        <v>249</v>
      </c>
      <c r="C1963" s="3">
        <v>195</v>
      </c>
      <c r="D1963" s="3" t="s">
        <v>734</v>
      </c>
      <c r="E1963" s="3" t="s">
        <v>7618</v>
      </c>
      <c r="F1963" s="3" t="s">
        <v>7611</v>
      </c>
      <c r="G1963" s="3" t="s">
        <v>7619</v>
      </c>
    </row>
    <row r="1964" spans="1:7">
      <c r="A1964" s="2">
        <v>66</v>
      </c>
      <c r="B1964" s="2" t="s">
        <v>249</v>
      </c>
      <c r="C1964" s="2">
        <v>198</v>
      </c>
      <c r="D1964" s="2" t="s">
        <v>698</v>
      </c>
      <c r="E1964" s="2" t="s">
        <v>7620</v>
      </c>
      <c r="F1964" s="2" t="s">
        <v>7611</v>
      </c>
      <c r="G1964" s="2" t="s">
        <v>7622</v>
      </c>
    </row>
    <row r="1965" spans="1:7">
      <c r="A1965" s="3">
        <v>66</v>
      </c>
      <c r="B1965" s="3" t="s">
        <v>249</v>
      </c>
      <c r="C1965" s="3">
        <v>199</v>
      </c>
      <c r="D1965" s="3" t="s">
        <v>702</v>
      </c>
      <c r="E1965" s="3" t="s">
        <v>7618</v>
      </c>
      <c r="F1965" s="3" t="s">
        <v>7611</v>
      </c>
      <c r="G1965" s="3" t="s">
        <v>7617</v>
      </c>
    </row>
    <row r="1966" spans="1:7">
      <c r="A1966" s="2">
        <v>66</v>
      </c>
      <c r="B1966" s="2" t="s">
        <v>249</v>
      </c>
      <c r="C1966" s="2">
        <v>200</v>
      </c>
      <c r="D1966" s="2" t="s">
        <v>707</v>
      </c>
      <c r="E1966" s="2" t="s">
        <v>7620</v>
      </c>
      <c r="F1966" s="2" t="s">
        <v>7611</v>
      </c>
      <c r="G1966" s="2" t="s">
        <v>7622</v>
      </c>
    </row>
    <row r="1967" spans="1:7">
      <c r="A1967" s="3">
        <v>66</v>
      </c>
      <c r="B1967" s="3" t="s">
        <v>249</v>
      </c>
      <c r="C1967" s="3">
        <v>205</v>
      </c>
      <c r="D1967" s="3" t="s">
        <v>746</v>
      </c>
      <c r="E1967" s="3" t="s">
        <v>7620</v>
      </c>
      <c r="F1967" s="3" t="s">
        <v>7611</v>
      </c>
      <c r="G1967" s="3" t="s">
        <v>7622</v>
      </c>
    </row>
    <row r="1968" spans="1:7">
      <c r="A1968" s="2">
        <v>66</v>
      </c>
      <c r="B1968" s="2" t="s">
        <v>249</v>
      </c>
      <c r="C1968" s="2">
        <v>207</v>
      </c>
      <c r="D1968" s="2" t="s">
        <v>749</v>
      </c>
      <c r="E1968" s="2" t="s">
        <v>7618</v>
      </c>
      <c r="F1968" s="2" t="s">
        <v>7611</v>
      </c>
      <c r="G1968" s="2" t="s">
        <v>7636</v>
      </c>
    </row>
    <row r="1969" spans="1:7">
      <c r="A1969" s="3">
        <v>66</v>
      </c>
      <c r="B1969" s="3" t="s">
        <v>249</v>
      </c>
      <c r="C1969" s="3">
        <v>208</v>
      </c>
      <c r="D1969" s="3" t="s">
        <v>754</v>
      </c>
      <c r="E1969" s="3" t="s">
        <v>7620</v>
      </c>
      <c r="F1969" s="3" t="s">
        <v>7611</v>
      </c>
      <c r="G1969" s="3" t="s">
        <v>7622</v>
      </c>
    </row>
    <row r="1970" spans="1:7">
      <c r="A1970" s="2">
        <v>66</v>
      </c>
      <c r="B1970" s="2" t="s">
        <v>249</v>
      </c>
      <c r="C1970" s="2">
        <v>209</v>
      </c>
      <c r="D1970" s="2" t="s">
        <v>758</v>
      </c>
      <c r="E1970" s="2" t="s">
        <v>7618</v>
      </c>
      <c r="F1970" s="2" t="s">
        <v>7608</v>
      </c>
      <c r="G1970" s="2" t="s">
        <v>7609</v>
      </c>
    </row>
    <row r="1971" spans="1:7">
      <c r="A1971" s="3">
        <v>66</v>
      </c>
      <c r="B1971" s="3" t="s">
        <v>249</v>
      </c>
      <c r="C1971" s="3">
        <v>221</v>
      </c>
      <c r="D1971" s="3" t="s">
        <v>813</v>
      </c>
      <c r="E1971" s="3" t="s">
        <v>7697</v>
      </c>
      <c r="F1971" s="3" t="s">
        <v>7611</v>
      </c>
      <c r="G1971" s="3" t="s">
        <v>7624</v>
      </c>
    </row>
    <row r="1972" spans="1:7">
      <c r="A1972" s="2">
        <v>66</v>
      </c>
      <c r="B1972" s="2" t="s">
        <v>249</v>
      </c>
      <c r="C1972" s="2">
        <v>264</v>
      </c>
      <c r="D1972" s="2" t="s">
        <v>775</v>
      </c>
      <c r="E1972" s="2" t="s">
        <v>7618</v>
      </c>
      <c r="F1972" s="2" t="s">
        <v>7611</v>
      </c>
      <c r="G1972" s="2" t="s">
        <v>7617</v>
      </c>
    </row>
    <row r="1973" spans="1:7">
      <c r="A1973" s="3">
        <v>66</v>
      </c>
      <c r="B1973" s="3" t="s">
        <v>249</v>
      </c>
      <c r="C1973" s="3">
        <v>341</v>
      </c>
      <c r="D1973" s="3" t="s">
        <v>1052</v>
      </c>
      <c r="E1973" s="3" t="s">
        <v>7620</v>
      </c>
      <c r="F1973" s="3" t="s">
        <v>7611</v>
      </c>
      <c r="G1973" s="3" t="s">
        <v>7621</v>
      </c>
    </row>
    <row r="1974" spans="1:7">
      <c r="A1974" s="2">
        <v>66</v>
      </c>
      <c r="B1974" s="2" t="s">
        <v>249</v>
      </c>
      <c r="C1974" s="2">
        <v>343</v>
      </c>
      <c r="D1974" s="2" t="s">
        <v>977</v>
      </c>
      <c r="E1974" s="2" t="s">
        <v>7620</v>
      </c>
      <c r="F1974" s="2" t="s">
        <v>7727</v>
      </c>
      <c r="G1974" s="2" t="s">
        <v>7622</v>
      </c>
    </row>
    <row r="1975" spans="1:7">
      <c r="A1975" s="3">
        <v>67</v>
      </c>
      <c r="B1975" s="3" t="s">
        <v>252</v>
      </c>
      <c r="C1975" s="3">
        <v>97</v>
      </c>
      <c r="D1975" s="3" t="s">
        <v>457</v>
      </c>
      <c r="E1975" s="3" t="s">
        <v>7618</v>
      </c>
      <c r="F1975" s="3" t="s">
        <v>7628</v>
      </c>
      <c r="G1975" s="3" t="s">
        <v>7624</v>
      </c>
    </row>
    <row r="1976" spans="1:7">
      <c r="A1976" s="2">
        <v>67</v>
      </c>
      <c r="B1976" s="2" t="s">
        <v>252</v>
      </c>
      <c r="C1976" s="2">
        <v>101</v>
      </c>
      <c r="D1976" s="2" t="s">
        <v>395</v>
      </c>
      <c r="E1976" s="2" t="s">
        <v>7620</v>
      </c>
      <c r="F1976" s="2" t="s">
        <v>7628</v>
      </c>
      <c r="G1976" s="2" t="s">
        <v>7633</v>
      </c>
    </row>
    <row r="1977" spans="1:7">
      <c r="A1977" s="3">
        <v>67</v>
      </c>
      <c r="B1977" s="3" t="s">
        <v>252</v>
      </c>
      <c r="C1977" s="3">
        <v>103</v>
      </c>
      <c r="D1977" s="3" t="s">
        <v>384</v>
      </c>
      <c r="E1977" s="3" t="s">
        <v>7620</v>
      </c>
      <c r="F1977" s="3" t="s">
        <v>7608</v>
      </c>
      <c r="G1977" s="3" t="s">
        <v>7625</v>
      </c>
    </row>
    <row r="1978" spans="1:7">
      <c r="A1978" s="2">
        <v>67</v>
      </c>
      <c r="B1978" s="2" t="s">
        <v>252</v>
      </c>
      <c r="C1978" s="2">
        <v>189</v>
      </c>
      <c r="D1978" s="2" t="s">
        <v>742</v>
      </c>
      <c r="E1978" s="2" t="s">
        <v>7653</v>
      </c>
      <c r="F1978" s="2" t="s">
        <v>7608</v>
      </c>
      <c r="G1978" s="2" t="s">
        <v>7621</v>
      </c>
    </row>
    <row r="1979" spans="1:7">
      <c r="A1979" s="3">
        <v>67</v>
      </c>
      <c r="B1979" s="3" t="s">
        <v>252</v>
      </c>
      <c r="C1979" s="3">
        <v>191</v>
      </c>
      <c r="D1979" s="3" t="s">
        <v>719</v>
      </c>
      <c r="E1979" s="3" t="s">
        <v>7618</v>
      </c>
      <c r="F1979" s="3" t="s">
        <v>7628</v>
      </c>
      <c r="G1979" s="3" t="s">
        <v>7639</v>
      </c>
    </row>
    <row r="1980" spans="1:7">
      <c r="A1980" s="2">
        <v>67</v>
      </c>
      <c r="B1980" s="2" t="s">
        <v>252</v>
      </c>
      <c r="C1980" s="2">
        <v>195</v>
      </c>
      <c r="D1980" s="2" t="s">
        <v>734</v>
      </c>
      <c r="E1980" s="2" t="s">
        <v>7618</v>
      </c>
      <c r="F1980" s="2" t="s">
        <v>7628</v>
      </c>
      <c r="G1980" s="2" t="s">
        <v>7644</v>
      </c>
    </row>
    <row r="1981" spans="1:7">
      <c r="A1981" s="3">
        <v>67</v>
      </c>
      <c r="B1981" s="3" t="s">
        <v>252</v>
      </c>
      <c r="C1981" s="3">
        <v>198</v>
      </c>
      <c r="D1981" s="3" t="s">
        <v>698</v>
      </c>
      <c r="E1981" s="3" t="s">
        <v>7620</v>
      </c>
      <c r="F1981" s="3" t="s">
        <v>7628</v>
      </c>
      <c r="G1981" s="3" t="s">
        <v>7619</v>
      </c>
    </row>
    <row r="1982" spans="1:7">
      <c r="A1982" s="2">
        <v>67</v>
      </c>
      <c r="B1982" s="2" t="s">
        <v>252</v>
      </c>
      <c r="C1982" s="2">
        <v>199</v>
      </c>
      <c r="D1982" s="2" t="s">
        <v>702</v>
      </c>
      <c r="E1982" s="2" t="s">
        <v>7660</v>
      </c>
      <c r="F1982" s="2" t="s">
        <v>7628</v>
      </c>
      <c r="G1982" s="2" t="s">
        <v>7612</v>
      </c>
    </row>
    <row r="1983" spans="1:7">
      <c r="A1983" s="3">
        <v>67</v>
      </c>
      <c r="B1983" s="3" t="s">
        <v>252</v>
      </c>
      <c r="C1983" s="3">
        <v>200</v>
      </c>
      <c r="D1983" s="3" t="s">
        <v>707</v>
      </c>
      <c r="E1983" s="3" t="s">
        <v>7654</v>
      </c>
      <c r="F1983" s="3" t="s">
        <v>7628</v>
      </c>
      <c r="G1983" s="3" t="s">
        <v>7624</v>
      </c>
    </row>
    <row r="1984" spans="1:7">
      <c r="A1984" s="2">
        <v>67</v>
      </c>
      <c r="B1984" s="2" t="s">
        <v>252</v>
      </c>
      <c r="C1984" s="2">
        <v>205</v>
      </c>
      <c r="D1984" s="2" t="s">
        <v>746</v>
      </c>
      <c r="E1984" s="2" t="s">
        <v>7620</v>
      </c>
      <c r="F1984" s="2" t="s">
        <v>7628</v>
      </c>
      <c r="G1984" s="2" t="s">
        <v>7609</v>
      </c>
    </row>
    <row r="1985" spans="1:7">
      <c r="A1985" s="3">
        <v>67</v>
      </c>
      <c r="B1985" s="3" t="s">
        <v>252</v>
      </c>
      <c r="C1985" s="3">
        <v>207</v>
      </c>
      <c r="D1985" s="3" t="s">
        <v>749</v>
      </c>
      <c r="E1985" s="3" t="s">
        <v>7618</v>
      </c>
      <c r="F1985" s="3" t="s">
        <v>7611</v>
      </c>
      <c r="G1985" s="3" t="s">
        <v>7636</v>
      </c>
    </row>
    <row r="1986" spans="1:7">
      <c r="A1986" s="2">
        <v>67</v>
      </c>
      <c r="B1986" s="2" t="s">
        <v>252</v>
      </c>
      <c r="C1986" s="2">
        <v>208</v>
      </c>
      <c r="D1986" s="2" t="s">
        <v>754</v>
      </c>
      <c r="E1986" s="2" t="s">
        <v>7620</v>
      </c>
      <c r="F1986" s="2" t="s">
        <v>7628</v>
      </c>
      <c r="G1986" s="2" t="s">
        <v>7609</v>
      </c>
    </row>
    <row r="1987" spans="1:7">
      <c r="A1987" s="3">
        <v>67</v>
      </c>
      <c r="B1987" s="3" t="s">
        <v>252</v>
      </c>
      <c r="C1987" s="3">
        <v>209</v>
      </c>
      <c r="D1987" s="3" t="s">
        <v>758</v>
      </c>
      <c r="E1987" s="3" t="s">
        <v>7618</v>
      </c>
      <c r="F1987" s="3" t="s">
        <v>7635</v>
      </c>
      <c r="G1987" s="3" t="s">
        <v>7639</v>
      </c>
    </row>
    <row r="1988" spans="1:7">
      <c r="A1988" s="2">
        <v>67</v>
      </c>
      <c r="B1988" s="2" t="s">
        <v>252</v>
      </c>
      <c r="C1988" s="2">
        <v>221</v>
      </c>
      <c r="D1988" s="2" t="s">
        <v>813</v>
      </c>
      <c r="E1988" s="2" t="s">
        <v>7618</v>
      </c>
      <c r="F1988" s="2" t="s">
        <v>7611</v>
      </c>
      <c r="G1988" s="2" t="s">
        <v>7617</v>
      </c>
    </row>
    <row r="1989" spans="1:7">
      <c r="A1989" s="3">
        <v>67</v>
      </c>
      <c r="B1989" s="3" t="s">
        <v>252</v>
      </c>
      <c r="C1989" s="3">
        <v>264</v>
      </c>
      <c r="D1989" s="3" t="s">
        <v>775</v>
      </c>
      <c r="E1989" s="3" t="s">
        <v>7618</v>
      </c>
      <c r="F1989" s="3" t="s">
        <v>7628</v>
      </c>
      <c r="G1989" s="3" t="s">
        <v>7619</v>
      </c>
    </row>
    <row r="1990" spans="1:7">
      <c r="A1990" s="2">
        <v>67</v>
      </c>
      <c r="B1990" s="2" t="s">
        <v>252</v>
      </c>
      <c r="C1990" s="2">
        <v>341</v>
      </c>
      <c r="D1990" s="2" t="s">
        <v>1052</v>
      </c>
      <c r="E1990" s="2" t="s">
        <v>7620</v>
      </c>
      <c r="F1990" s="2" t="s">
        <v>7611</v>
      </c>
      <c r="G1990" s="2" t="s">
        <v>7621</v>
      </c>
    </row>
    <row r="1991" spans="1:7">
      <c r="A1991" s="3">
        <v>67</v>
      </c>
      <c r="B1991" s="3" t="s">
        <v>252</v>
      </c>
      <c r="C1991" s="3">
        <v>343</v>
      </c>
      <c r="D1991" s="3" t="s">
        <v>977</v>
      </c>
      <c r="E1991" s="3" t="s">
        <v>7620</v>
      </c>
      <c r="F1991" s="3" t="s">
        <v>7628</v>
      </c>
      <c r="G1991" s="3" t="s">
        <v>7609</v>
      </c>
    </row>
    <row r="1992" spans="1:7">
      <c r="A1992" s="2">
        <v>68</v>
      </c>
      <c r="B1992" s="2" t="s">
        <v>254</v>
      </c>
      <c r="C1992" s="2">
        <v>97</v>
      </c>
      <c r="D1992" s="2" t="s">
        <v>457</v>
      </c>
      <c r="E1992" s="2" t="s">
        <v>7618</v>
      </c>
      <c r="F1992" s="2" t="s">
        <v>7650</v>
      </c>
      <c r="G1992" s="2" t="s">
        <v>7617</v>
      </c>
    </row>
    <row r="1993" spans="1:7">
      <c r="A1993" s="3">
        <v>68</v>
      </c>
      <c r="B1993" s="3" t="s">
        <v>254</v>
      </c>
      <c r="C1993" s="3">
        <v>101</v>
      </c>
      <c r="D1993" s="3" t="s">
        <v>395</v>
      </c>
      <c r="E1993" s="3" t="s">
        <v>7620</v>
      </c>
      <c r="F1993" s="3" t="s">
        <v>7650</v>
      </c>
      <c r="G1993" s="3" t="s">
        <v>7622</v>
      </c>
    </row>
    <row r="1994" spans="1:7">
      <c r="A1994" s="2">
        <v>68</v>
      </c>
      <c r="B1994" s="2" t="s">
        <v>254</v>
      </c>
      <c r="C1994" s="2">
        <v>103</v>
      </c>
      <c r="D1994" s="2" t="s">
        <v>384</v>
      </c>
      <c r="E1994" s="2" t="s">
        <v>7725</v>
      </c>
      <c r="F1994" s="2" t="s">
        <v>7650</v>
      </c>
      <c r="G1994" s="2" t="s">
        <v>7617</v>
      </c>
    </row>
    <row r="1995" spans="1:7">
      <c r="A1995" s="3">
        <v>68</v>
      </c>
      <c r="B1995" s="3" t="s">
        <v>254</v>
      </c>
      <c r="C1995" s="3">
        <v>191</v>
      </c>
      <c r="D1995" s="3" t="s">
        <v>719</v>
      </c>
      <c r="E1995" s="3" t="s">
        <v>7618</v>
      </c>
      <c r="F1995" s="3" t="s">
        <v>7650</v>
      </c>
      <c r="G1995" s="3" t="s">
        <v>7636</v>
      </c>
    </row>
    <row r="1996" spans="1:7">
      <c r="A1996" s="2">
        <v>68</v>
      </c>
      <c r="B1996" s="2" t="s">
        <v>254</v>
      </c>
      <c r="C1996" s="2">
        <v>192</v>
      </c>
      <c r="D1996" s="2" t="s">
        <v>727</v>
      </c>
      <c r="E1996" s="2" t="s">
        <v>7726</v>
      </c>
      <c r="F1996" s="2" t="s">
        <v>7650</v>
      </c>
      <c r="G1996" s="2" t="s">
        <v>7621</v>
      </c>
    </row>
    <row r="1997" spans="1:7">
      <c r="A1997" s="3">
        <v>68</v>
      </c>
      <c r="B1997" s="3" t="s">
        <v>254</v>
      </c>
      <c r="C1997" s="3">
        <v>195</v>
      </c>
      <c r="D1997" s="3" t="s">
        <v>734</v>
      </c>
      <c r="E1997" s="3" t="s">
        <v>7618</v>
      </c>
      <c r="F1997" s="3" t="s">
        <v>7650</v>
      </c>
      <c r="G1997" s="3" t="s">
        <v>7619</v>
      </c>
    </row>
    <row r="1998" spans="1:7">
      <c r="A1998" s="2">
        <v>68</v>
      </c>
      <c r="B1998" s="2" t="s">
        <v>254</v>
      </c>
      <c r="C1998" s="2">
        <v>198</v>
      </c>
      <c r="D1998" s="2" t="s">
        <v>698</v>
      </c>
      <c r="E1998" s="2" t="s">
        <v>7620</v>
      </c>
      <c r="F1998" s="2" t="s">
        <v>7650</v>
      </c>
      <c r="G1998" s="2" t="s">
        <v>7609</v>
      </c>
    </row>
    <row r="1999" spans="1:7">
      <c r="A1999" s="3">
        <v>68</v>
      </c>
      <c r="B1999" s="3" t="s">
        <v>254</v>
      </c>
      <c r="C1999" s="3">
        <v>199</v>
      </c>
      <c r="D1999" s="3" t="s">
        <v>702</v>
      </c>
      <c r="E1999" s="3" t="s">
        <v>7618</v>
      </c>
      <c r="F1999" s="3" t="s">
        <v>7650</v>
      </c>
      <c r="G1999" s="3" t="s">
        <v>7636</v>
      </c>
    </row>
    <row r="2000" spans="1:7">
      <c r="A2000" s="2">
        <v>68</v>
      </c>
      <c r="B2000" s="2" t="s">
        <v>254</v>
      </c>
      <c r="C2000" s="2">
        <v>200</v>
      </c>
      <c r="D2000" s="2" t="s">
        <v>707</v>
      </c>
      <c r="E2000" s="2" t="s">
        <v>7620</v>
      </c>
      <c r="F2000" s="2" t="s">
        <v>7650</v>
      </c>
      <c r="G2000" s="2" t="s">
        <v>7621</v>
      </c>
    </row>
    <row r="2001" spans="1:7">
      <c r="A2001" s="3">
        <v>68</v>
      </c>
      <c r="B2001" s="3" t="s">
        <v>254</v>
      </c>
      <c r="C2001" s="3">
        <v>205</v>
      </c>
      <c r="D2001" s="3" t="s">
        <v>746</v>
      </c>
      <c r="E2001" s="3" t="s">
        <v>7620</v>
      </c>
      <c r="F2001" s="3" t="s">
        <v>7608</v>
      </c>
      <c r="G2001" s="3" t="s">
        <v>7625</v>
      </c>
    </row>
    <row r="2002" spans="1:7">
      <c r="A2002" s="2">
        <v>68</v>
      </c>
      <c r="B2002" s="2" t="s">
        <v>254</v>
      </c>
      <c r="C2002" s="2">
        <v>207</v>
      </c>
      <c r="D2002" s="2" t="s">
        <v>749</v>
      </c>
      <c r="E2002" s="2" t="s">
        <v>7623</v>
      </c>
      <c r="F2002" s="2" t="s">
        <v>7608</v>
      </c>
      <c r="G2002" s="2" t="s">
        <v>7634</v>
      </c>
    </row>
    <row r="2003" spans="1:7">
      <c r="A2003" s="3">
        <v>68</v>
      </c>
      <c r="B2003" s="3" t="s">
        <v>254</v>
      </c>
      <c r="C2003" s="3">
        <v>209</v>
      </c>
      <c r="D2003" s="3" t="s">
        <v>758</v>
      </c>
      <c r="E2003" s="3" t="s">
        <v>7618</v>
      </c>
      <c r="F2003" s="3" t="s">
        <v>7650</v>
      </c>
      <c r="G2003" s="3" t="s">
        <v>7619</v>
      </c>
    </row>
    <row r="2004" spans="1:7">
      <c r="A2004" s="2">
        <v>68</v>
      </c>
      <c r="B2004" s="2" t="s">
        <v>254</v>
      </c>
      <c r="C2004" s="2">
        <v>221</v>
      </c>
      <c r="D2004" s="2" t="s">
        <v>813</v>
      </c>
      <c r="E2004" s="2" t="s">
        <v>7623</v>
      </c>
      <c r="F2004" s="2" t="s">
        <v>7650</v>
      </c>
      <c r="G2004" s="2" t="s">
        <v>7639</v>
      </c>
    </row>
    <row r="2005" spans="1:7">
      <c r="A2005" s="3">
        <v>68</v>
      </c>
      <c r="B2005" s="3" t="s">
        <v>254</v>
      </c>
      <c r="C2005" s="3">
        <v>264</v>
      </c>
      <c r="D2005" s="3" t="s">
        <v>775</v>
      </c>
      <c r="E2005" s="3" t="s">
        <v>7618</v>
      </c>
      <c r="F2005" s="3" t="s">
        <v>7650</v>
      </c>
      <c r="G2005" s="3" t="s">
        <v>7617</v>
      </c>
    </row>
    <row r="2006" spans="1:7">
      <c r="A2006" s="2">
        <v>68</v>
      </c>
      <c r="B2006" s="2" t="s">
        <v>254</v>
      </c>
      <c r="C2006" s="2">
        <v>341</v>
      </c>
      <c r="D2006" s="2" t="s">
        <v>1052</v>
      </c>
      <c r="E2006" s="2" t="s">
        <v>7620</v>
      </c>
      <c r="F2006" s="2" t="s">
        <v>7650</v>
      </c>
      <c r="G2006" s="2" t="s">
        <v>7621</v>
      </c>
    </row>
    <row r="2007" spans="1:7">
      <c r="A2007" s="3">
        <v>68</v>
      </c>
      <c r="B2007" s="3" t="s">
        <v>254</v>
      </c>
      <c r="C2007" s="3">
        <v>343</v>
      </c>
      <c r="D2007" s="3" t="s">
        <v>977</v>
      </c>
      <c r="E2007" s="3" t="s">
        <v>7620</v>
      </c>
      <c r="F2007" s="3" t="s">
        <v>7728</v>
      </c>
      <c r="G2007" s="3" t="s">
        <v>7633</v>
      </c>
    </row>
    <row r="2008" spans="1:7">
      <c r="A2008" s="2">
        <v>69</v>
      </c>
      <c r="B2008" s="2" t="s">
        <v>259</v>
      </c>
      <c r="C2008" s="2">
        <v>97</v>
      </c>
      <c r="D2008" s="2" t="s">
        <v>457</v>
      </c>
      <c r="E2008" s="2" t="s">
        <v>7618</v>
      </c>
      <c r="F2008" s="2" t="s">
        <v>7611</v>
      </c>
      <c r="G2008" s="2" t="s">
        <v>7634</v>
      </c>
    </row>
    <row r="2009" spans="1:7">
      <c r="A2009" s="3">
        <v>69</v>
      </c>
      <c r="B2009" s="3" t="s">
        <v>259</v>
      </c>
      <c r="C2009" s="3">
        <v>101</v>
      </c>
      <c r="D2009" s="3" t="s">
        <v>395</v>
      </c>
      <c r="E2009" s="3" t="s">
        <v>7620</v>
      </c>
      <c r="F2009" s="3" t="s">
        <v>7611</v>
      </c>
      <c r="G2009" s="3" t="s">
        <v>7621</v>
      </c>
    </row>
    <row r="2010" spans="1:7">
      <c r="A2010" s="2">
        <v>69</v>
      </c>
      <c r="B2010" s="2" t="s">
        <v>259</v>
      </c>
      <c r="C2010" s="2">
        <v>189</v>
      </c>
      <c r="D2010" s="2" t="s">
        <v>742</v>
      </c>
      <c r="E2010" s="2" t="s">
        <v>7653</v>
      </c>
      <c r="F2010" s="2" t="s">
        <v>7608</v>
      </c>
      <c r="G2010" s="2" t="s">
        <v>7625</v>
      </c>
    </row>
    <row r="2011" spans="1:7">
      <c r="A2011" s="3">
        <v>69</v>
      </c>
      <c r="B2011" s="3" t="s">
        <v>259</v>
      </c>
      <c r="C2011" s="3">
        <v>191</v>
      </c>
      <c r="D2011" s="3" t="s">
        <v>719</v>
      </c>
      <c r="E2011" s="3" t="s">
        <v>7618</v>
      </c>
      <c r="F2011" s="3" t="s">
        <v>7611</v>
      </c>
      <c r="G2011" s="3" t="s">
        <v>7634</v>
      </c>
    </row>
    <row r="2012" spans="1:7">
      <c r="A2012" s="2">
        <v>69</v>
      </c>
      <c r="B2012" s="2" t="s">
        <v>259</v>
      </c>
      <c r="C2012" s="2">
        <v>195</v>
      </c>
      <c r="D2012" s="2" t="s">
        <v>734</v>
      </c>
      <c r="E2012" s="2" t="s">
        <v>7618</v>
      </c>
      <c r="F2012" s="2" t="s">
        <v>7611</v>
      </c>
      <c r="G2012" s="2" t="s">
        <v>7634</v>
      </c>
    </row>
    <row r="2013" spans="1:7">
      <c r="A2013" s="3">
        <v>69</v>
      </c>
      <c r="B2013" s="3" t="s">
        <v>259</v>
      </c>
      <c r="C2013" s="3">
        <v>198</v>
      </c>
      <c r="D2013" s="3" t="s">
        <v>698</v>
      </c>
      <c r="E2013" s="3" t="s">
        <v>7620</v>
      </c>
      <c r="F2013" s="3" t="s">
        <v>7611</v>
      </c>
      <c r="G2013" s="3" t="s">
        <v>7622</v>
      </c>
    </row>
    <row r="2014" spans="1:7">
      <c r="A2014" s="2">
        <v>69</v>
      </c>
      <c r="B2014" s="2" t="s">
        <v>259</v>
      </c>
      <c r="C2014" s="2">
        <v>199</v>
      </c>
      <c r="D2014" s="2" t="s">
        <v>702</v>
      </c>
      <c r="E2014" s="2" t="s">
        <v>7660</v>
      </c>
      <c r="F2014" s="2" t="s">
        <v>7611</v>
      </c>
      <c r="G2014" s="2" t="s">
        <v>7644</v>
      </c>
    </row>
    <row r="2015" spans="1:7">
      <c r="A2015" s="3">
        <v>69</v>
      </c>
      <c r="B2015" s="3" t="s">
        <v>259</v>
      </c>
      <c r="C2015" s="3">
        <v>200</v>
      </c>
      <c r="D2015" s="3" t="s">
        <v>707</v>
      </c>
      <c r="E2015" s="3" t="s">
        <v>7654</v>
      </c>
      <c r="F2015" s="3" t="s">
        <v>7611</v>
      </c>
      <c r="G2015" s="3" t="s">
        <v>7619</v>
      </c>
    </row>
    <row r="2016" spans="1:7">
      <c r="A2016" s="2">
        <v>69</v>
      </c>
      <c r="B2016" s="2" t="s">
        <v>259</v>
      </c>
      <c r="C2016" s="2">
        <v>205</v>
      </c>
      <c r="D2016" s="2" t="s">
        <v>746</v>
      </c>
      <c r="E2016" s="2" t="s">
        <v>7620</v>
      </c>
      <c r="F2016" s="2" t="s">
        <v>7611</v>
      </c>
      <c r="G2016" s="2" t="s">
        <v>7622</v>
      </c>
    </row>
    <row r="2017" spans="1:7">
      <c r="A2017" s="3">
        <v>69</v>
      </c>
      <c r="B2017" s="3" t="s">
        <v>259</v>
      </c>
      <c r="C2017" s="3">
        <v>207</v>
      </c>
      <c r="D2017" s="3" t="s">
        <v>749</v>
      </c>
      <c r="E2017" s="3" t="s">
        <v>7623</v>
      </c>
      <c r="F2017" s="3" t="s">
        <v>7611</v>
      </c>
      <c r="G2017" s="3" t="s">
        <v>7624</v>
      </c>
    </row>
    <row r="2018" spans="1:7">
      <c r="A2018" s="2">
        <v>69</v>
      </c>
      <c r="B2018" s="2" t="s">
        <v>259</v>
      </c>
      <c r="C2018" s="2">
        <v>208</v>
      </c>
      <c r="D2018" s="2" t="s">
        <v>754</v>
      </c>
      <c r="E2018" s="2" t="s">
        <v>7620</v>
      </c>
      <c r="F2018" s="2" t="s">
        <v>7611</v>
      </c>
      <c r="G2018" s="2" t="s">
        <v>7622</v>
      </c>
    </row>
    <row r="2019" spans="1:7">
      <c r="A2019" s="3">
        <v>69</v>
      </c>
      <c r="B2019" s="3" t="s">
        <v>259</v>
      </c>
      <c r="C2019" s="3">
        <v>209</v>
      </c>
      <c r="D2019" s="3" t="s">
        <v>758</v>
      </c>
      <c r="E2019" s="3" t="s">
        <v>7618</v>
      </c>
      <c r="F2019" s="3" t="s">
        <v>7608</v>
      </c>
      <c r="G2019" s="3" t="s">
        <v>7636</v>
      </c>
    </row>
    <row r="2020" spans="1:7">
      <c r="A2020" s="2">
        <v>69</v>
      </c>
      <c r="B2020" s="2" t="s">
        <v>259</v>
      </c>
      <c r="C2020" s="2">
        <v>221</v>
      </c>
      <c r="D2020" s="2" t="s">
        <v>813</v>
      </c>
      <c r="E2020" s="2" t="s">
        <v>7623</v>
      </c>
      <c r="F2020" s="2" t="s">
        <v>7611</v>
      </c>
      <c r="G2020" s="2" t="s">
        <v>7624</v>
      </c>
    </row>
    <row r="2021" spans="1:7">
      <c r="A2021" s="3">
        <v>69</v>
      </c>
      <c r="B2021" s="3" t="s">
        <v>259</v>
      </c>
      <c r="C2021" s="3">
        <v>264</v>
      </c>
      <c r="D2021" s="3" t="s">
        <v>775</v>
      </c>
      <c r="E2021" s="3" t="s">
        <v>7618</v>
      </c>
      <c r="F2021" s="3" t="s">
        <v>7611</v>
      </c>
      <c r="G2021" s="3" t="s">
        <v>7617</v>
      </c>
    </row>
    <row r="2022" spans="1:7">
      <c r="A2022" s="2">
        <v>69</v>
      </c>
      <c r="B2022" s="2" t="s">
        <v>259</v>
      </c>
      <c r="C2022" s="2">
        <v>341</v>
      </c>
      <c r="D2022" s="2" t="s">
        <v>1052</v>
      </c>
      <c r="E2022" s="2" t="s">
        <v>7620</v>
      </c>
      <c r="F2022" s="2" t="s">
        <v>7611</v>
      </c>
      <c r="G2022" s="2" t="s">
        <v>7622</v>
      </c>
    </row>
    <row r="2023" spans="1:7">
      <c r="A2023" s="3">
        <v>69</v>
      </c>
      <c r="B2023" s="3" t="s">
        <v>259</v>
      </c>
      <c r="C2023" s="3">
        <v>343</v>
      </c>
      <c r="D2023" s="3" t="s">
        <v>977</v>
      </c>
      <c r="E2023" s="3" t="s">
        <v>7620</v>
      </c>
      <c r="F2023" s="3" t="s">
        <v>7611</v>
      </c>
      <c r="G2023" s="3" t="s">
        <v>7625</v>
      </c>
    </row>
    <row r="2024" spans="1:7">
      <c r="A2024" s="2">
        <v>70</v>
      </c>
      <c r="B2024" s="2" t="s">
        <v>262</v>
      </c>
      <c r="C2024" s="2">
        <v>97</v>
      </c>
      <c r="D2024" s="2" t="s">
        <v>457</v>
      </c>
      <c r="E2024" s="2" t="s">
        <v>7618</v>
      </c>
      <c r="F2024" s="2" t="s">
        <v>7611</v>
      </c>
      <c r="G2024" s="2" t="s">
        <v>7617</v>
      </c>
    </row>
    <row r="2025" spans="1:7">
      <c r="A2025" s="3">
        <v>70</v>
      </c>
      <c r="B2025" s="3" t="s">
        <v>262</v>
      </c>
      <c r="C2025" s="3">
        <v>101</v>
      </c>
      <c r="D2025" s="3" t="s">
        <v>395</v>
      </c>
      <c r="E2025" s="3" t="s">
        <v>7620</v>
      </c>
      <c r="F2025" s="3" t="s">
        <v>7611</v>
      </c>
      <c r="G2025" s="3" t="s">
        <v>7621</v>
      </c>
    </row>
    <row r="2026" spans="1:7">
      <c r="A2026" s="2">
        <v>70</v>
      </c>
      <c r="B2026" s="2" t="s">
        <v>262</v>
      </c>
      <c r="C2026" s="2">
        <v>191</v>
      </c>
      <c r="D2026" s="2" t="s">
        <v>719</v>
      </c>
      <c r="E2026" s="2" t="s">
        <v>7618</v>
      </c>
      <c r="F2026" s="2" t="s">
        <v>7611</v>
      </c>
      <c r="G2026" s="2" t="s">
        <v>7636</v>
      </c>
    </row>
    <row r="2027" spans="1:7">
      <c r="A2027" s="3">
        <v>70</v>
      </c>
      <c r="B2027" s="3" t="s">
        <v>262</v>
      </c>
      <c r="C2027" s="3">
        <v>195</v>
      </c>
      <c r="D2027" s="3" t="s">
        <v>734</v>
      </c>
      <c r="E2027" s="3" t="s">
        <v>7618</v>
      </c>
      <c r="F2027" s="3" t="s">
        <v>7611</v>
      </c>
      <c r="G2027" s="3" t="s">
        <v>7634</v>
      </c>
    </row>
    <row r="2028" spans="1:7">
      <c r="A2028" s="2">
        <v>70</v>
      </c>
      <c r="B2028" s="2" t="s">
        <v>262</v>
      </c>
      <c r="C2028" s="2">
        <v>198</v>
      </c>
      <c r="D2028" s="2" t="s">
        <v>698</v>
      </c>
      <c r="E2028" s="2" t="s">
        <v>7620</v>
      </c>
      <c r="F2028" s="2" t="s">
        <v>7611</v>
      </c>
      <c r="G2028" s="2" t="s">
        <v>7622</v>
      </c>
    </row>
    <row r="2029" spans="1:7">
      <c r="A2029" s="3">
        <v>70</v>
      </c>
      <c r="B2029" s="3" t="s">
        <v>262</v>
      </c>
      <c r="C2029" s="3">
        <v>199</v>
      </c>
      <c r="D2029" s="3" t="s">
        <v>702</v>
      </c>
      <c r="E2029" s="3" t="s">
        <v>7618</v>
      </c>
      <c r="F2029" s="3" t="s">
        <v>7611</v>
      </c>
      <c r="G2029" s="3" t="s">
        <v>7636</v>
      </c>
    </row>
    <row r="2030" spans="1:7">
      <c r="A2030" s="2">
        <v>70</v>
      </c>
      <c r="B2030" s="2" t="s">
        <v>262</v>
      </c>
      <c r="C2030" s="2">
        <v>200</v>
      </c>
      <c r="D2030" s="2" t="s">
        <v>707</v>
      </c>
      <c r="E2030" s="2" t="s">
        <v>7620</v>
      </c>
      <c r="F2030" s="2" t="s">
        <v>7611</v>
      </c>
      <c r="G2030" s="2" t="s">
        <v>7621</v>
      </c>
    </row>
    <row r="2031" spans="1:7">
      <c r="A2031" s="3">
        <v>70</v>
      </c>
      <c r="B2031" s="3" t="s">
        <v>262</v>
      </c>
      <c r="C2031" s="3">
        <v>205</v>
      </c>
      <c r="D2031" s="3" t="s">
        <v>746</v>
      </c>
      <c r="E2031" s="3" t="s">
        <v>7620</v>
      </c>
      <c r="F2031" s="3" t="s">
        <v>7611</v>
      </c>
      <c r="G2031" s="3" t="s">
        <v>7622</v>
      </c>
    </row>
    <row r="2032" spans="1:7">
      <c r="A2032" s="2">
        <v>70</v>
      </c>
      <c r="B2032" s="2" t="s">
        <v>262</v>
      </c>
      <c r="C2032" s="2">
        <v>207</v>
      </c>
      <c r="D2032" s="2" t="s">
        <v>749</v>
      </c>
      <c r="E2032" s="2" t="s">
        <v>7623</v>
      </c>
      <c r="F2032" s="2" t="s">
        <v>7611</v>
      </c>
      <c r="G2032" s="2" t="s">
        <v>7632</v>
      </c>
    </row>
    <row r="2033" spans="1:7">
      <c r="A2033" s="3">
        <v>70</v>
      </c>
      <c r="B2033" s="3" t="s">
        <v>262</v>
      </c>
      <c r="C2033" s="3">
        <v>208</v>
      </c>
      <c r="D2033" s="3" t="s">
        <v>754</v>
      </c>
      <c r="E2033" s="3" t="s">
        <v>7620</v>
      </c>
      <c r="F2033" s="3" t="s">
        <v>7611</v>
      </c>
      <c r="G2033" s="3" t="s">
        <v>7621</v>
      </c>
    </row>
    <row r="2034" spans="1:7">
      <c r="A2034" s="2">
        <v>70</v>
      </c>
      <c r="B2034" s="2" t="s">
        <v>262</v>
      </c>
      <c r="C2034" s="2">
        <v>209</v>
      </c>
      <c r="D2034" s="2" t="s">
        <v>758</v>
      </c>
      <c r="E2034" s="2" t="s">
        <v>7618</v>
      </c>
      <c r="F2034" s="2" t="s">
        <v>7608</v>
      </c>
      <c r="G2034" s="2" t="s">
        <v>7617</v>
      </c>
    </row>
    <row r="2035" spans="1:7">
      <c r="A2035" s="3">
        <v>70</v>
      </c>
      <c r="B2035" s="3" t="s">
        <v>262</v>
      </c>
      <c r="C2035" s="3">
        <v>221</v>
      </c>
      <c r="D2035" s="3" t="s">
        <v>813</v>
      </c>
      <c r="E2035" s="3" t="s">
        <v>7705</v>
      </c>
      <c r="F2035" s="3" t="s">
        <v>7611</v>
      </c>
      <c r="G2035" s="3" t="s">
        <v>7641</v>
      </c>
    </row>
    <row r="2036" spans="1:7">
      <c r="A2036" s="2">
        <v>70</v>
      </c>
      <c r="B2036" s="2" t="s">
        <v>262</v>
      </c>
      <c r="C2036" s="2">
        <v>264</v>
      </c>
      <c r="D2036" s="2" t="s">
        <v>775</v>
      </c>
      <c r="E2036" s="2" t="s">
        <v>7618</v>
      </c>
      <c r="F2036" s="2" t="s">
        <v>7611</v>
      </c>
      <c r="G2036" s="2" t="s">
        <v>7617</v>
      </c>
    </row>
    <row r="2037" spans="1:7">
      <c r="A2037" s="3">
        <v>70</v>
      </c>
      <c r="B2037" s="3" t="s">
        <v>262</v>
      </c>
      <c r="C2037" s="3">
        <v>341</v>
      </c>
      <c r="D2037" s="3" t="s">
        <v>1052</v>
      </c>
      <c r="E2037" s="3" t="s">
        <v>7620</v>
      </c>
      <c r="F2037" s="3" t="s">
        <v>7611</v>
      </c>
      <c r="G2037" s="3" t="s">
        <v>7622</v>
      </c>
    </row>
    <row r="2038" spans="1:7">
      <c r="A2038" s="2">
        <v>70</v>
      </c>
      <c r="B2038" s="2" t="s">
        <v>262</v>
      </c>
      <c r="C2038" s="2">
        <v>343</v>
      </c>
      <c r="D2038" s="2" t="s">
        <v>977</v>
      </c>
      <c r="E2038" s="2" t="s">
        <v>7620</v>
      </c>
      <c r="F2038" s="2" t="s">
        <v>7611</v>
      </c>
      <c r="G2038" s="2" t="s">
        <v>7621</v>
      </c>
    </row>
    <row r="2039" spans="1:7">
      <c r="A2039" s="3">
        <v>71</v>
      </c>
      <c r="B2039" s="3" t="s">
        <v>235</v>
      </c>
      <c r="C2039" s="3">
        <v>97</v>
      </c>
      <c r="D2039" s="3" t="s">
        <v>457</v>
      </c>
      <c r="E2039" s="3" t="s">
        <v>7618</v>
      </c>
      <c r="F2039" s="3" t="s">
        <v>7649</v>
      </c>
      <c r="G2039" s="3" t="s">
        <v>7639</v>
      </c>
    </row>
    <row r="2040" spans="1:7">
      <c r="A2040" s="2">
        <v>71</v>
      </c>
      <c r="B2040" s="2" t="s">
        <v>235</v>
      </c>
      <c r="C2040" s="2">
        <v>101</v>
      </c>
      <c r="D2040" s="2" t="s">
        <v>395</v>
      </c>
      <c r="E2040" s="2" t="s">
        <v>7620</v>
      </c>
      <c r="F2040" s="2" t="s">
        <v>7649</v>
      </c>
      <c r="G2040" s="2" t="s">
        <v>7633</v>
      </c>
    </row>
    <row r="2041" spans="1:7">
      <c r="A2041" s="3">
        <v>71</v>
      </c>
      <c r="B2041" s="3" t="s">
        <v>235</v>
      </c>
      <c r="C2041" s="3">
        <v>103</v>
      </c>
      <c r="D2041" s="3" t="s">
        <v>384</v>
      </c>
      <c r="E2041" s="3" t="s">
        <v>7620</v>
      </c>
      <c r="F2041" s="3" t="s">
        <v>7650</v>
      </c>
      <c r="G2041" s="3" t="s">
        <v>7622</v>
      </c>
    </row>
    <row r="2042" spans="1:7">
      <c r="A2042" s="2">
        <v>71</v>
      </c>
      <c r="B2042" s="2" t="s">
        <v>235</v>
      </c>
      <c r="C2042" s="2">
        <v>191</v>
      </c>
      <c r="D2042" s="2" t="s">
        <v>719</v>
      </c>
      <c r="E2042" s="2" t="s">
        <v>7618</v>
      </c>
      <c r="F2042" s="2" t="s">
        <v>7649</v>
      </c>
      <c r="G2042" s="2" t="s">
        <v>7634</v>
      </c>
    </row>
    <row r="2043" spans="1:7">
      <c r="A2043" s="3">
        <v>71</v>
      </c>
      <c r="B2043" s="3" t="s">
        <v>235</v>
      </c>
      <c r="C2043" s="3">
        <v>195</v>
      </c>
      <c r="D2043" s="3" t="s">
        <v>734</v>
      </c>
      <c r="E2043" s="3" t="s">
        <v>7618</v>
      </c>
      <c r="F2043" s="3" t="s">
        <v>7649</v>
      </c>
      <c r="G2043" s="3" t="s">
        <v>7624</v>
      </c>
    </row>
    <row r="2044" spans="1:7">
      <c r="A2044" s="2">
        <v>71</v>
      </c>
      <c r="B2044" s="2" t="s">
        <v>235</v>
      </c>
      <c r="C2044" s="2">
        <v>198</v>
      </c>
      <c r="D2044" s="2" t="s">
        <v>698</v>
      </c>
      <c r="E2044" s="2" t="s">
        <v>7620</v>
      </c>
      <c r="F2044" s="2" t="s">
        <v>7649</v>
      </c>
      <c r="G2044" s="2" t="s">
        <v>7617</v>
      </c>
    </row>
    <row r="2045" spans="1:7">
      <c r="A2045" s="3">
        <v>71</v>
      </c>
      <c r="B2045" s="3" t="s">
        <v>235</v>
      </c>
      <c r="C2045" s="3">
        <v>199</v>
      </c>
      <c r="D2045" s="3" t="s">
        <v>702</v>
      </c>
      <c r="E2045" s="3" t="s">
        <v>7618</v>
      </c>
      <c r="F2045" s="3" t="s">
        <v>7649</v>
      </c>
      <c r="G2045" s="3" t="s">
        <v>7619</v>
      </c>
    </row>
    <row r="2046" spans="1:7">
      <c r="A2046" s="2">
        <v>71</v>
      </c>
      <c r="B2046" s="2" t="s">
        <v>235</v>
      </c>
      <c r="C2046" s="2">
        <v>200</v>
      </c>
      <c r="D2046" s="2" t="s">
        <v>707</v>
      </c>
      <c r="E2046" s="2" t="s">
        <v>7620</v>
      </c>
      <c r="F2046" s="2" t="s">
        <v>7649</v>
      </c>
      <c r="G2046" s="2" t="s">
        <v>7617</v>
      </c>
    </row>
    <row r="2047" spans="1:7">
      <c r="A2047" s="3">
        <v>71</v>
      </c>
      <c r="B2047" s="3" t="s">
        <v>235</v>
      </c>
      <c r="C2047" s="3">
        <v>205</v>
      </c>
      <c r="D2047" s="3" t="s">
        <v>746</v>
      </c>
      <c r="E2047" s="3" t="s">
        <v>7620</v>
      </c>
      <c r="F2047" s="3" t="s">
        <v>7611</v>
      </c>
      <c r="G2047" s="3" t="s">
        <v>7622</v>
      </c>
    </row>
    <row r="2048" spans="1:7">
      <c r="A2048" s="2">
        <v>71</v>
      </c>
      <c r="B2048" s="2" t="s">
        <v>235</v>
      </c>
      <c r="C2048" s="2">
        <v>207</v>
      </c>
      <c r="D2048" s="2" t="s">
        <v>749</v>
      </c>
      <c r="E2048" s="2" t="s">
        <v>7623</v>
      </c>
      <c r="F2048" s="2" t="s">
        <v>7611</v>
      </c>
      <c r="G2048" s="2" t="s">
        <v>7624</v>
      </c>
    </row>
    <row r="2049" spans="1:7">
      <c r="A2049" s="3">
        <v>71</v>
      </c>
      <c r="B2049" s="3" t="s">
        <v>235</v>
      </c>
      <c r="C2049" s="3">
        <v>208</v>
      </c>
      <c r="D2049" s="3" t="s">
        <v>754</v>
      </c>
      <c r="E2049" s="3" t="s">
        <v>7620</v>
      </c>
      <c r="F2049" s="3" t="s">
        <v>7611</v>
      </c>
      <c r="G2049" s="3" t="s">
        <v>7621</v>
      </c>
    </row>
    <row r="2050" spans="1:7">
      <c r="A2050" s="2">
        <v>71</v>
      </c>
      <c r="B2050" s="2" t="s">
        <v>235</v>
      </c>
      <c r="C2050" s="2">
        <v>209</v>
      </c>
      <c r="D2050" s="2" t="s">
        <v>758</v>
      </c>
      <c r="E2050" s="2" t="s">
        <v>7618</v>
      </c>
      <c r="F2050" s="2" t="s">
        <v>7650</v>
      </c>
      <c r="G2050" s="2" t="s">
        <v>7619</v>
      </c>
    </row>
    <row r="2051" spans="1:7">
      <c r="A2051" s="3">
        <v>71</v>
      </c>
      <c r="B2051" s="3" t="s">
        <v>235</v>
      </c>
      <c r="C2051" s="3">
        <v>221</v>
      </c>
      <c r="D2051" s="3" t="s">
        <v>813</v>
      </c>
      <c r="E2051" s="3" t="s">
        <v>7623</v>
      </c>
      <c r="F2051" s="3" t="s">
        <v>7649</v>
      </c>
      <c r="G2051" s="3" t="s">
        <v>7632</v>
      </c>
    </row>
    <row r="2052" spans="1:7">
      <c r="A2052" s="2">
        <v>71</v>
      </c>
      <c r="B2052" s="2" t="s">
        <v>235</v>
      </c>
      <c r="C2052" s="2">
        <v>264</v>
      </c>
      <c r="D2052" s="2" t="s">
        <v>775</v>
      </c>
      <c r="E2052" s="2" t="s">
        <v>7618</v>
      </c>
      <c r="F2052" s="2" t="s">
        <v>7649</v>
      </c>
      <c r="G2052" s="2" t="s">
        <v>7619</v>
      </c>
    </row>
    <row r="2053" spans="1:7">
      <c r="A2053" s="3">
        <v>71</v>
      </c>
      <c r="B2053" s="3" t="s">
        <v>235</v>
      </c>
      <c r="C2053" s="3">
        <v>341</v>
      </c>
      <c r="D2053" s="3" t="s">
        <v>1052</v>
      </c>
      <c r="E2053" s="3" t="s">
        <v>7620</v>
      </c>
      <c r="F2053" s="3" t="s">
        <v>7649</v>
      </c>
      <c r="G2053" s="3" t="s">
        <v>7633</v>
      </c>
    </row>
    <row r="2054" spans="1:7">
      <c r="A2054" s="2">
        <v>71</v>
      </c>
      <c r="B2054" s="2" t="s">
        <v>235</v>
      </c>
      <c r="C2054" s="2">
        <v>343</v>
      </c>
      <c r="D2054" s="2" t="s">
        <v>977</v>
      </c>
      <c r="E2054" s="2" t="s">
        <v>7620</v>
      </c>
      <c r="F2054" s="2" t="s">
        <v>7649</v>
      </c>
      <c r="G2054" s="2" t="s">
        <v>7622</v>
      </c>
    </row>
    <row r="2055" spans="1:7">
      <c r="A2055" s="3">
        <v>72</v>
      </c>
      <c r="B2055" s="3" t="s">
        <v>238</v>
      </c>
      <c r="C2055" s="3">
        <v>97</v>
      </c>
      <c r="D2055" s="3" t="s">
        <v>457</v>
      </c>
      <c r="E2055" s="3" t="s">
        <v>7618</v>
      </c>
      <c r="F2055" s="3" t="s">
        <v>7659</v>
      </c>
      <c r="G2055" s="3" t="s">
        <v>7644</v>
      </c>
    </row>
    <row r="2056" spans="1:7">
      <c r="A2056" s="2">
        <v>72</v>
      </c>
      <c r="B2056" s="2" t="s">
        <v>238</v>
      </c>
      <c r="C2056" s="2">
        <v>101</v>
      </c>
      <c r="D2056" s="2" t="s">
        <v>395</v>
      </c>
      <c r="E2056" s="2" t="s">
        <v>7620</v>
      </c>
      <c r="F2056" s="2" t="s">
        <v>7659</v>
      </c>
      <c r="G2056" s="2" t="s">
        <v>7617</v>
      </c>
    </row>
    <row r="2057" spans="1:7">
      <c r="A2057" s="3">
        <v>72</v>
      </c>
      <c r="B2057" s="3" t="s">
        <v>238</v>
      </c>
      <c r="C2057" s="3">
        <v>103</v>
      </c>
      <c r="D2057" s="3" t="s">
        <v>384</v>
      </c>
      <c r="E2057" s="3" t="s">
        <v>7620</v>
      </c>
      <c r="F2057" s="3" t="s">
        <v>7650</v>
      </c>
      <c r="G2057" s="3" t="s">
        <v>7621</v>
      </c>
    </row>
    <row r="2058" spans="1:7">
      <c r="A2058" s="2">
        <v>72</v>
      </c>
      <c r="B2058" s="2" t="s">
        <v>238</v>
      </c>
      <c r="C2058" s="2">
        <v>189</v>
      </c>
      <c r="D2058" s="2" t="s">
        <v>742</v>
      </c>
      <c r="E2058" s="2" t="s">
        <v>7653</v>
      </c>
      <c r="F2058" s="2" t="s">
        <v>7608</v>
      </c>
      <c r="G2058" s="2" t="s">
        <v>7621</v>
      </c>
    </row>
    <row r="2059" spans="1:7">
      <c r="A2059" s="3">
        <v>72</v>
      </c>
      <c r="B2059" s="3" t="s">
        <v>238</v>
      </c>
      <c r="C2059" s="3">
        <v>191</v>
      </c>
      <c r="D2059" s="3" t="s">
        <v>719</v>
      </c>
      <c r="E2059" s="3" t="s">
        <v>7618</v>
      </c>
      <c r="F2059" s="3" t="s">
        <v>7659</v>
      </c>
      <c r="G2059" s="3" t="s">
        <v>7632</v>
      </c>
    </row>
    <row r="2060" spans="1:7">
      <c r="A2060" s="2">
        <v>72</v>
      </c>
      <c r="B2060" s="2" t="s">
        <v>238</v>
      </c>
      <c r="C2060" s="2">
        <v>195</v>
      </c>
      <c r="D2060" s="2" t="s">
        <v>734</v>
      </c>
      <c r="E2060" s="2" t="s">
        <v>7618</v>
      </c>
      <c r="F2060" s="2" t="s">
        <v>7659</v>
      </c>
      <c r="G2060" s="2" t="s">
        <v>7641</v>
      </c>
    </row>
    <row r="2061" spans="1:7">
      <c r="A2061" s="3">
        <v>72</v>
      </c>
      <c r="B2061" s="3" t="s">
        <v>238</v>
      </c>
      <c r="C2061" s="3">
        <v>198</v>
      </c>
      <c r="D2061" s="3" t="s">
        <v>698</v>
      </c>
      <c r="E2061" s="3" t="s">
        <v>7620</v>
      </c>
      <c r="F2061" s="3" t="s">
        <v>7659</v>
      </c>
      <c r="G2061" s="3" t="s">
        <v>7634</v>
      </c>
    </row>
    <row r="2062" spans="1:7">
      <c r="A2062" s="2">
        <v>72</v>
      </c>
      <c r="B2062" s="2" t="s">
        <v>238</v>
      </c>
      <c r="C2062" s="2">
        <v>199</v>
      </c>
      <c r="D2062" s="2" t="s">
        <v>702</v>
      </c>
      <c r="E2062" s="2" t="s">
        <v>7660</v>
      </c>
      <c r="F2062" s="2" t="s">
        <v>7659</v>
      </c>
      <c r="G2062" s="2" t="s">
        <v>7637</v>
      </c>
    </row>
    <row r="2063" spans="1:7">
      <c r="A2063" s="3">
        <v>72</v>
      </c>
      <c r="B2063" s="3" t="s">
        <v>238</v>
      </c>
      <c r="C2063" s="3">
        <v>200</v>
      </c>
      <c r="D2063" s="3" t="s">
        <v>707</v>
      </c>
      <c r="E2063" s="3" t="s">
        <v>7654</v>
      </c>
      <c r="F2063" s="3" t="s">
        <v>7659</v>
      </c>
      <c r="G2063" s="3" t="s">
        <v>7632</v>
      </c>
    </row>
    <row r="2064" spans="1:7">
      <c r="A2064" s="2">
        <v>72</v>
      </c>
      <c r="B2064" s="2" t="s">
        <v>238</v>
      </c>
      <c r="C2064" s="2">
        <v>201</v>
      </c>
      <c r="D2064" s="2" t="s">
        <v>695</v>
      </c>
      <c r="E2064" s="2" t="s">
        <v>7608</v>
      </c>
      <c r="F2064" s="2" t="s">
        <v>7659</v>
      </c>
      <c r="G2064" s="2" t="s">
        <v>7621</v>
      </c>
    </row>
    <row r="2065" spans="1:7">
      <c r="A2065" s="3">
        <v>72</v>
      </c>
      <c r="B2065" s="3" t="s">
        <v>238</v>
      </c>
      <c r="C2065" s="3">
        <v>204</v>
      </c>
      <c r="D2065" s="3" t="s">
        <v>685</v>
      </c>
      <c r="E2065" s="3" t="s">
        <v>7608</v>
      </c>
      <c r="F2065" s="3" t="s">
        <v>7659</v>
      </c>
      <c r="G2065" s="3" t="s">
        <v>7625</v>
      </c>
    </row>
    <row r="2066" spans="1:7">
      <c r="A2066" s="2">
        <v>72</v>
      </c>
      <c r="B2066" s="2" t="s">
        <v>238</v>
      </c>
      <c r="C2066" s="2">
        <v>205</v>
      </c>
      <c r="D2066" s="2" t="s">
        <v>746</v>
      </c>
      <c r="E2066" s="2" t="s">
        <v>7620</v>
      </c>
      <c r="F2066" s="2" t="s">
        <v>7628</v>
      </c>
      <c r="G2066" s="2" t="s">
        <v>7609</v>
      </c>
    </row>
    <row r="2067" spans="1:7">
      <c r="A2067" s="3">
        <v>72</v>
      </c>
      <c r="B2067" s="3" t="s">
        <v>238</v>
      </c>
      <c r="C2067" s="3">
        <v>207</v>
      </c>
      <c r="D2067" s="3" t="s">
        <v>749</v>
      </c>
      <c r="E2067" s="3" t="s">
        <v>7618</v>
      </c>
      <c r="F2067" s="3" t="s">
        <v>7611</v>
      </c>
      <c r="G2067" s="3" t="s">
        <v>7636</v>
      </c>
    </row>
    <row r="2068" spans="1:7">
      <c r="A2068" s="2">
        <v>72</v>
      </c>
      <c r="B2068" s="2" t="s">
        <v>238</v>
      </c>
      <c r="C2068" s="2">
        <v>208</v>
      </c>
      <c r="D2068" s="2" t="s">
        <v>754</v>
      </c>
      <c r="E2068" s="2" t="s">
        <v>7620</v>
      </c>
      <c r="F2068" s="2" t="s">
        <v>7628</v>
      </c>
      <c r="G2068" s="2" t="s">
        <v>7609</v>
      </c>
    </row>
    <row r="2069" spans="1:7">
      <c r="A2069" s="3">
        <v>72</v>
      </c>
      <c r="B2069" s="3" t="s">
        <v>238</v>
      </c>
      <c r="C2069" s="3">
        <v>209</v>
      </c>
      <c r="D2069" s="3" t="s">
        <v>758</v>
      </c>
      <c r="E2069" s="3" t="s">
        <v>7618</v>
      </c>
      <c r="F2069" s="3" t="s">
        <v>7652</v>
      </c>
      <c r="G2069" s="3" t="s">
        <v>7632</v>
      </c>
    </row>
    <row r="2070" spans="1:7">
      <c r="A2070" s="2">
        <v>72</v>
      </c>
      <c r="B2070" s="2" t="s">
        <v>238</v>
      </c>
      <c r="C2070" s="2">
        <v>221</v>
      </c>
      <c r="D2070" s="2" t="s">
        <v>813</v>
      </c>
      <c r="E2070" s="2" t="s">
        <v>7618</v>
      </c>
      <c r="F2070" s="2" t="s">
        <v>7649</v>
      </c>
      <c r="G2070" s="2" t="s">
        <v>7619</v>
      </c>
    </row>
    <row r="2071" spans="1:7">
      <c r="A2071" s="3">
        <v>72</v>
      </c>
      <c r="B2071" s="3" t="s">
        <v>238</v>
      </c>
      <c r="C2071" s="3">
        <v>264</v>
      </c>
      <c r="D2071" s="3" t="s">
        <v>775</v>
      </c>
      <c r="E2071" s="3" t="s">
        <v>7618</v>
      </c>
      <c r="F2071" s="3" t="s">
        <v>7659</v>
      </c>
      <c r="G2071" s="3" t="s">
        <v>7639</v>
      </c>
    </row>
    <row r="2072" spans="1:7">
      <c r="A2072" s="2">
        <v>72</v>
      </c>
      <c r="B2072" s="2" t="s">
        <v>238</v>
      </c>
      <c r="C2072" s="2">
        <v>312</v>
      </c>
      <c r="D2072" s="2" t="s">
        <v>949</v>
      </c>
      <c r="E2072" s="2" t="s">
        <v>7608</v>
      </c>
      <c r="F2072" s="2" t="s">
        <v>7659</v>
      </c>
      <c r="G2072" s="2" t="s">
        <v>7625</v>
      </c>
    </row>
    <row r="2073" spans="1:7">
      <c r="A2073" s="3">
        <v>72</v>
      </c>
      <c r="B2073" s="3" t="s">
        <v>238</v>
      </c>
      <c r="C2073" s="3">
        <v>341</v>
      </c>
      <c r="D2073" s="3" t="s">
        <v>1052</v>
      </c>
      <c r="E2073" s="3" t="s">
        <v>7620</v>
      </c>
      <c r="F2073" s="3" t="s">
        <v>7649</v>
      </c>
      <c r="G2073" s="3" t="s">
        <v>7633</v>
      </c>
    </row>
    <row r="2074" spans="1:7">
      <c r="A2074" s="2">
        <v>72</v>
      </c>
      <c r="B2074" s="2" t="s">
        <v>238</v>
      </c>
      <c r="C2074" s="2">
        <v>343</v>
      </c>
      <c r="D2074" s="2" t="s">
        <v>977</v>
      </c>
      <c r="E2074" s="2" t="s">
        <v>7620</v>
      </c>
      <c r="F2074" s="2" t="s">
        <v>7659</v>
      </c>
      <c r="G2074" s="2" t="s">
        <v>7617</v>
      </c>
    </row>
    <row r="2075" spans="1:7">
      <c r="A2075" s="3">
        <v>73</v>
      </c>
      <c r="B2075" s="3" t="s">
        <v>240</v>
      </c>
      <c r="C2075" s="3">
        <v>97</v>
      </c>
      <c r="D2075" s="3" t="s">
        <v>457</v>
      </c>
      <c r="E2075" s="3" t="s">
        <v>7620</v>
      </c>
      <c r="F2075" s="3" t="s">
        <v>7659</v>
      </c>
      <c r="G2075" s="3" t="s">
        <v>7636</v>
      </c>
    </row>
    <row r="2076" spans="1:7">
      <c r="A2076" s="2">
        <v>73</v>
      </c>
      <c r="B2076" s="2" t="s">
        <v>240</v>
      </c>
      <c r="C2076" s="2">
        <v>101</v>
      </c>
      <c r="D2076" s="2" t="s">
        <v>395</v>
      </c>
      <c r="E2076" s="2" t="s">
        <v>7620</v>
      </c>
      <c r="F2076" s="2" t="s">
        <v>7659</v>
      </c>
      <c r="G2076" s="2" t="s">
        <v>7609</v>
      </c>
    </row>
    <row r="2077" spans="1:7">
      <c r="A2077" s="3">
        <v>73</v>
      </c>
      <c r="B2077" s="3" t="s">
        <v>240</v>
      </c>
      <c r="C2077" s="3">
        <v>103</v>
      </c>
      <c r="D2077" s="3" t="s">
        <v>384</v>
      </c>
      <c r="E2077" s="3" t="s">
        <v>7620</v>
      </c>
      <c r="F2077" s="3" t="s">
        <v>7650</v>
      </c>
      <c r="G2077" s="3" t="s">
        <v>7622</v>
      </c>
    </row>
    <row r="2078" spans="1:7">
      <c r="A2078" s="2">
        <v>73</v>
      </c>
      <c r="B2078" s="2" t="s">
        <v>240</v>
      </c>
      <c r="C2078" s="2">
        <v>189</v>
      </c>
      <c r="D2078" s="2" t="s">
        <v>742</v>
      </c>
      <c r="E2078" s="2" t="s">
        <v>7653</v>
      </c>
      <c r="F2078" s="2" t="s">
        <v>7608</v>
      </c>
      <c r="G2078" s="2" t="s">
        <v>7622</v>
      </c>
    </row>
    <row r="2079" spans="1:7">
      <c r="A2079" s="3">
        <v>73</v>
      </c>
      <c r="B2079" s="3" t="s">
        <v>240</v>
      </c>
      <c r="C2079" s="3">
        <v>191</v>
      </c>
      <c r="D2079" s="3" t="s">
        <v>719</v>
      </c>
      <c r="E2079" s="3" t="s">
        <v>7620</v>
      </c>
      <c r="F2079" s="3" t="s">
        <v>7659</v>
      </c>
      <c r="G2079" s="3" t="s">
        <v>7619</v>
      </c>
    </row>
    <row r="2080" spans="1:7">
      <c r="A2080" s="2">
        <v>73</v>
      </c>
      <c r="B2080" s="2" t="s">
        <v>240</v>
      </c>
      <c r="C2080" s="2">
        <v>195</v>
      </c>
      <c r="D2080" s="2" t="s">
        <v>734</v>
      </c>
      <c r="E2080" s="2" t="s">
        <v>7729</v>
      </c>
      <c r="F2080" s="2" t="s">
        <v>7659</v>
      </c>
      <c r="G2080" s="2" t="s">
        <v>7632</v>
      </c>
    </row>
    <row r="2081" spans="1:7">
      <c r="A2081" s="3">
        <v>73</v>
      </c>
      <c r="B2081" s="3" t="s">
        <v>240</v>
      </c>
      <c r="C2081" s="3">
        <v>198</v>
      </c>
      <c r="D2081" s="3" t="s">
        <v>698</v>
      </c>
      <c r="E2081" s="3" t="s">
        <v>7620</v>
      </c>
      <c r="F2081" s="3" t="s">
        <v>7659</v>
      </c>
      <c r="G2081" s="3" t="s">
        <v>7634</v>
      </c>
    </row>
    <row r="2082" spans="1:7">
      <c r="A2082" s="2">
        <v>73</v>
      </c>
      <c r="B2082" s="2" t="s">
        <v>240</v>
      </c>
      <c r="C2082" s="2">
        <v>199</v>
      </c>
      <c r="D2082" s="2" t="s">
        <v>702</v>
      </c>
      <c r="E2082" s="2" t="s">
        <v>7730</v>
      </c>
      <c r="F2082" s="2" t="s">
        <v>7659</v>
      </c>
      <c r="G2082" s="2" t="s">
        <v>7612</v>
      </c>
    </row>
    <row r="2083" spans="1:7">
      <c r="A2083" s="3">
        <v>73</v>
      </c>
      <c r="B2083" s="3" t="s">
        <v>240</v>
      </c>
      <c r="C2083" s="3">
        <v>200</v>
      </c>
      <c r="D2083" s="3" t="s">
        <v>707</v>
      </c>
      <c r="E2083" s="3" t="s">
        <v>7654</v>
      </c>
      <c r="F2083" s="3" t="s">
        <v>7659</v>
      </c>
      <c r="G2083" s="3" t="s">
        <v>7641</v>
      </c>
    </row>
    <row r="2084" spans="1:7">
      <c r="A2084" s="2">
        <v>73</v>
      </c>
      <c r="B2084" s="2" t="s">
        <v>240</v>
      </c>
      <c r="C2084" s="2">
        <v>201</v>
      </c>
      <c r="D2084" s="2" t="s">
        <v>695</v>
      </c>
      <c r="E2084" s="2" t="s">
        <v>7675</v>
      </c>
      <c r="F2084" s="2" t="s">
        <v>7659</v>
      </c>
      <c r="G2084" s="2" t="s">
        <v>7617</v>
      </c>
    </row>
    <row r="2085" spans="1:7">
      <c r="A2085" s="3">
        <v>73</v>
      </c>
      <c r="B2085" s="3" t="s">
        <v>240</v>
      </c>
      <c r="C2085" s="3">
        <v>204</v>
      </c>
      <c r="D2085" s="3" t="s">
        <v>685</v>
      </c>
      <c r="E2085" s="3" t="s">
        <v>7608</v>
      </c>
      <c r="F2085" s="3" t="s">
        <v>7659</v>
      </c>
      <c r="G2085" s="3" t="s">
        <v>7625</v>
      </c>
    </row>
    <row r="2086" spans="1:7">
      <c r="A2086" s="2">
        <v>73</v>
      </c>
      <c r="B2086" s="2" t="s">
        <v>240</v>
      </c>
      <c r="C2086" s="2">
        <v>205</v>
      </c>
      <c r="D2086" s="2" t="s">
        <v>746</v>
      </c>
      <c r="E2086" s="2" t="s">
        <v>7620</v>
      </c>
      <c r="F2086" s="2" t="s">
        <v>7628</v>
      </c>
      <c r="G2086" s="2" t="s">
        <v>7633</v>
      </c>
    </row>
    <row r="2087" spans="1:7">
      <c r="A2087" s="3">
        <v>73</v>
      </c>
      <c r="B2087" s="3" t="s">
        <v>240</v>
      </c>
      <c r="C2087" s="3">
        <v>207</v>
      </c>
      <c r="D2087" s="3" t="s">
        <v>749</v>
      </c>
      <c r="E2087" s="3" t="s">
        <v>7640</v>
      </c>
      <c r="F2087" s="3" t="s">
        <v>7611</v>
      </c>
      <c r="G2087" s="3" t="s">
        <v>7617</v>
      </c>
    </row>
    <row r="2088" spans="1:7">
      <c r="A2088" s="2">
        <v>73</v>
      </c>
      <c r="B2088" s="2" t="s">
        <v>240</v>
      </c>
      <c r="C2088" s="2">
        <v>208</v>
      </c>
      <c r="D2088" s="2" t="s">
        <v>754</v>
      </c>
      <c r="E2088" s="2" t="s">
        <v>7620</v>
      </c>
      <c r="F2088" s="2" t="s">
        <v>7628</v>
      </c>
      <c r="G2088" s="2" t="s">
        <v>7617</v>
      </c>
    </row>
    <row r="2089" spans="1:7">
      <c r="A2089" s="3">
        <v>73</v>
      </c>
      <c r="B2089" s="3" t="s">
        <v>240</v>
      </c>
      <c r="C2089" s="3">
        <v>209</v>
      </c>
      <c r="D2089" s="3" t="s">
        <v>758</v>
      </c>
      <c r="E2089" s="3" t="s">
        <v>7729</v>
      </c>
      <c r="F2089" s="3" t="s">
        <v>7652</v>
      </c>
      <c r="G2089" s="3" t="s">
        <v>7634</v>
      </c>
    </row>
    <row r="2090" spans="1:7">
      <c r="A2090" s="2">
        <v>73</v>
      </c>
      <c r="B2090" s="2" t="s">
        <v>240</v>
      </c>
      <c r="C2090" s="2">
        <v>221</v>
      </c>
      <c r="D2090" s="2" t="s">
        <v>813</v>
      </c>
      <c r="E2090" s="2" t="s">
        <v>7640</v>
      </c>
      <c r="F2090" s="2" t="s">
        <v>7649</v>
      </c>
      <c r="G2090" s="2" t="s">
        <v>7636</v>
      </c>
    </row>
    <row r="2091" spans="1:7">
      <c r="A2091" s="3">
        <v>73</v>
      </c>
      <c r="B2091" s="3" t="s">
        <v>240</v>
      </c>
      <c r="C2091" s="3">
        <v>264</v>
      </c>
      <c r="D2091" s="3" t="s">
        <v>775</v>
      </c>
      <c r="E2091" s="3" t="s">
        <v>7620</v>
      </c>
      <c r="F2091" s="3" t="s">
        <v>7659</v>
      </c>
      <c r="G2091" s="3" t="s">
        <v>7609</v>
      </c>
    </row>
    <row r="2092" spans="1:7">
      <c r="A2092" s="2">
        <v>73</v>
      </c>
      <c r="B2092" s="2" t="s">
        <v>240</v>
      </c>
      <c r="C2092" s="2">
        <v>312</v>
      </c>
      <c r="D2092" s="2" t="s">
        <v>949</v>
      </c>
      <c r="E2092" s="2" t="s">
        <v>7608</v>
      </c>
      <c r="F2092" s="2" t="s">
        <v>7659</v>
      </c>
      <c r="G2092" s="2" t="s">
        <v>7625</v>
      </c>
    </row>
    <row r="2093" spans="1:7">
      <c r="A2093" s="3">
        <v>73</v>
      </c>
      <c r="B2093" s="3" t="s">
        <v>240</v>
      </c>
      <c r="C2093" s="3">
        <v>341</v>
      </c>
      <c r="D2093" s="3" t="s">
        <v>1052</v>
      </c>
      <c r="E2093" s="3" t="s">
        <v>7620</v>
      </c>
      <c r="F2093" s="3" t="s">
        <v>7649</v>
      </c>
      <c r="G2093" s="3" t="s">
        <v>7633</v>
      </c>
    </row>
    <row r="2094" spans="1:7">
      <c r="A2094" s="2">
        <v>73</v>
      </c>
      <c r="B2094" s="2" t="s">
        <v>240</v>
      </c>
      <c r="C2094" s="2">
        <v>343</v>
      </c>
      <c r="D2094" s="2" t="s">
        <v>977</v>
      </c>
      <c r="E2094" s="2" t="s">
        <v>7620</v>
      </c>
      <c r="F2094" s="2" t="s">
        <v>7659</v>
      </c>
      <c r="G2094" s="2" t="s">
        <v>7617</v>
      </c>
    </row>
    <row r="2095" spans="1:7">
      <c r="A2095" s="3">
        <v>74</v>
      </c>
      <c r="B2095" s="3" t="s">
        <v>293</v>
      </c>
      <c r="C2095" s="3">
        <v>97</v>
      </c>
      <c r="D2095" s="3" t="s">
        <v>457</v>
      </c>
      <c r="E2095" s="3" t="s">
        <v>7620</v>
      </c>
      <c r="F2095" s="3" t="s">
        <v>7611</v>
      </c>
      <c r="G2095" s="3" t="s">
        <v>7621</v>
      </c>
    </row>
    <row r="2096" spans="1:7">
      <c r="A2096" s="2">
        <v>74</v>
      </c>
      <c r="B2096" s="2" t="s">
        <v>293</v>
      </c>
      <c r="C2096" s="2">
        <v>101</v>
      </c>
      <c r="D2096" s="2" t="s">
        <v>395</v>
      </c>
      <c r="E2096" s="2" t="s">
        <v>7620</v>
      </c>
      <c r="F2096" s="2" t="s">
        <v>7611</v>
      </c>
      <c r="G2096" s="2" t="s">
        <v>7625</v>
      </c>
    </row>
    <row r="2097" spans="1:7">
      <c r="A2097" s="3">
        <v>74</v>
      </c>
      <c r="B2097" s="3" t="s">
        <v>293</v>
      </c>
      <c r="C2097" s="3">
        <v>191</v>
      </c>
      <c r="D2097" s="3" t="s">
        <v>719</v>
      </c>
      <c r="E2097" s="3" t="s">
        <v>7620</v>
      </c>
      <c r="F2097" s="3" t="s">
        <v>7611</v>
      </c>
      <c r="G2097" s="3" t="s">
        <v>7622</v>
      </c>
    </row>
    <row r="2098" spans="1:7">
      <c r="A2098" s="2">
        <v>74</v>
      </c>
      <c r="B2098" s="2" t="s">
        <v>293</v>
      </c>
      <c r="C2098" s="2">
        <v>195</v>
      </c>
      <c r="D2098" s="2" t="s">
        <v>734</v>
      </c>
      <c r="E2098" s="2" t="s">
        <v>7620</v>
      </c>
      <c r="F2098" s="2" t="s">
        <v>7611</v>
      </c>
      <c r="G2098" s="2" t="s">
        <v>7633</v>
      </c>
    </row>
    <row r="2099" spans="1:7">
      <c r="A2099" s="3">
        <v>74</v>
      </c>
      <c r="B2099" s="3" t="s">
        <v>293</v>
      </c>
      <c r="C2099" s="3">
        <v>198</v>
      </c>
      <c r="D2099" s="3" t="s">
        <v>698</v>
      </c>
      <c r="E2099" s="3" t="s">
        <v>7620</v>
      </c>
      <c r="F2099" s="3" t="s">
        <v>7611</v>
      </c>
      <c r="G2099" s="3" t="s">
        <v>7625</v>
      </c>
    </row>
    <row r="2100" spans="1:7">
      <c r="A2100" s="2">
        <v>74</v>
      </c>
      <c r="B2100" s="2" t="s">
        <v>293</v>
      </c>
      <c r="C2100" s="2">
        <v>199</v>
      </c>
      <c r="D2100" s="2" t="s">
        <v>702</v>
      </c>
      <c r="E2100" s="2" t="s">
        <v>7620</v>
      </c>
      <c r="F2100" s="2" t="s">
        <v>7611</v>
      </c>
      <c r="G2100" s="2" t="s">
        <v>7622</v>
      </c>
    </row>
    <row r="2101" spans="1:7">
      <c r="A2101" s="3">
        <v>74</v>
      </c>
      <c r="B2101" s="3" t="s">
        <v>293</v>
      </c>
      <c r="C2101" s="3">
        <v>200</v>
      </c>
      <c r="D2101" s="3" t="s">
        <v>707</v>
      </c>
      <c r="E2101" s="3" t="s">
        <v>7620</v>
      </c>
      <c r="F2101" s="3" t="s">
        <v>7611</v>
      </c>
      <c r="G2101" s="3" t="s">
        <v>7621</v>
      </c>
    </row>
    <row r="2102" spans="1:7">
      <c r="A2102" s="2">
        <v>74</v>
      </c>
      <c r="B2102" s="2" t="s">
        <v>293</v>
      </c>
      <c r="C2102" s="2">
        <v>205</v>
      </c>
      <c r="D2102" s="2" t="s">
        <v>746</v>
      </c>
      <c r="E2102" s="2" t="s">
        <v>7620</v>
      </c>
      <c r="F2102" s="2" t="s">
        <v>7611</v>
      </c>
      <c r="G2102" s="2" t="s">
        <v>7625</v>
      </c>
    </row>
    <row r="2103" spans="1:7">
      <c r="A2103" s="3">
        <v>74</v>
      </c>
      <c r="B2103" s="3" t="s">
        <v>293</v>
      </c>
      <c r="C2103" s="3">
        <v>207</v>
      </c>
      <c r="D2103" s="3" t="s">
        <v>749</v>
      </c>
      <c r="E2103" s="3" t="s">
        <v>7620</v>
      </c>
      <c r="F2103" s="3" t="s">
        <v>7611</v>
      </c>
      <c r="G2103" s="3" t="s">
        <v>7621</v>
      </c>
    </row>
    <row r="2104" spans="1:7">
      <c r="A2104" s="2">
        <v>74</v>
      </c>
      <c r="B2104" s="2" t="s">
        <v>293</v>
      </c>
      <c r="C2104" s="2">
        <v>208</v>
      </c>
      <c r="D2104" s="2" t="s">
        <v>754</v>
      </c>
      <c r="E2104" s="2" t="s">
        <v>7620</v>
      </c>
      <c r="F2104" s="2" t="s">
        <v>7611</v>
      </c>
      <c r="G2104" s="2" t="s">
        <v>7622</v>
      </c>
    </row>
    <row r="2105" spans="1:7">
      <c r="A2105" s="3">
        <v>74</v>
      </c>
      <c r="B2105" s="3" t="s">
        <v>293</v>
      </c>
      <c r="C2105" s="3">
        <v>221</v>
      </c>
      <c r="D2105" s="3" t="s">
        <v>813</v>
      </c>
      <c r="E2105" s="3" t="s">
        <v>7696</v>
      </c>
      <c r="F2105" s="3" t="s">
        <v>7611</v>
      </c>
      <c r="G2105" s="3" t="s">
        <v>7609</v>
      </c>
    </row>
    <row r="2106" spans="1:7">
      <c r="A2106" s="2">
        <v>74</v>
      </c>
      <c r="B2106" s="2" t="s">
        <v>293</v>
      </c>
      <c r="C2106" s="2">
        <v>264</v>
      </c>
      <c r="D2106" s="2" t="s">
        <v>775</v>
      </c>
      <c r="E2106" s="2" t="s">
        <v>7620</v>
      </c>
      <c r="F2106" s="2" t="s">
        <v>7611</v>
      </c>
      <c r="G2106" s="2" t="s">
        <v>7625</v>
      </c>
    </row>
    <row r="2107" spans="1:7">
      <c r="A2107" s="3">
        <v>74</v>
      </c>
      <c r="B2107" s="3" t="s">
        <v>293</v>
      </c>
      <c r="C2107" s="3">
        <v>341</v>
      </c>
      <c r="D2107" s="3" t="s">
        <v>1052</v>
      </c>
      <c r="E2107" s="3" t="s">
        <v>7620</v>
      </c>
      <c r="F2107" s="3" t="s">
        <v>7611</v>
      </c>
      <c r="G2107" s="3" t="s">
        <v>7622</v>
      </c>
    </row>
    <row r="2108" spans="1:7">
      <c r="A2108" s="2">
        <v>74</v>
      </c>
      <c r="B2108" s="2" t="s">
        <v>293</v>
      </c>
      <c r="C2108" s="2">
        <v>343</v>
      </c>
      <c r="D2108" s="2" t="s">
        <v>977</v>
      </c>
      <c r="E2108" s="2" t="s">
        <v>7620</v>
      </c>
      <c r="F2108" s="2" t="s">
        <v>7611</v>
      </c>
      <c r="G2108" s="2" t="s">
        <v>7621</v>
      </c>
    </row>
    <row r="2109" spans="1:7">
      <c r="A2109" s="3">
        <v>75</v>
      </c>
      <c r="B2109" s="3" t="s">
        <v>230</v>
      </c>
      <c r="C2109" s="3">
        <v>97</v>
      </c>
      <c r="D2109" s="3" t="s">
        <v>457</v>
      </c>
      <c r="E2109" s="3" t="s">
        <v>7618</v>
      </c>
      <c r="F2109" s="3" t="s">
        <v>7652</v>
      </c>
      <c r="G2109" s="3" t="s">
        <v>7641</v>
      </c>
    </row>
    <row r="2110" spans="1:7">
      <c r="A2110" s="2">
        <v>75</v>
      </c>
      <c r="B2110" s="2" t="s">
        <v>230</v>
      </c>
      <c r="C2110" s="2">
        <v>101</v>
      </c>
      <c r="D2110" s="2" t="s">
        <v>395</v>
      </c>
      <c r="E2110" s="2" t="s">
        <v>7620</v>
      </c>
      <c r="F2110" s="2" t="s">
        <v>7652</v>
      </c>
      <c r="G2110" s="2" t="s">
        <v>7633</v>
      </c>
    </row>
    <row r="2111" spans="1:7">
      <c r="A2111" s="3">
        <v>75</v>
      </c>
      <c r="B2111" s="3" t="s">
        <v>230</v>
      </c>
      <c r="C2111" s="3">
        <v>103</v>
      </c>
      <c r="D2111" s="3" t="s">
        <v>384</v>
      </c>
      <c r="E2111" s="3" t="s">
        <v>7620</v>
      </c>
      <c r="F2111" s="3" t="s">
        <v>7650</v>
      </c>
      <c r="G2111" s="3" t="s">
        <v>7621</v>
      </c>
    </row>
    <row r="2112" spans="1:7">
      <c r="A2112" s="2">
        <v>75</v>
      </c>
      <c r="B2112" s="2" t="s">
        <v>230</v>
      </c>
      <c r="C2112" s="2">
        <v>189</v>
      </c>
      <c r="D2112" s="2" t="s">
        <v>742</v>
      </c>
      <c r="E2112" s="2" t="s">
        <v>7653</v>
      </c>
      <c r="F2112" s="2" t="s">
        <v>7608</v>
      </c>
      <c r="G2112" s="2" t="s">
        <v>7621</v>
      </c>
    </row>
    <row r="2113" spans="1:7">
      <c r="A2113" s="3">
        <v>75</v>
      </c>
      <c r="B2113" s="3" t="s">
        <v>230</v>
      </c>
      <c r="C2113" s="3">
        <v>191</v>
      </c>
      <c r="D2113" s="3" t="s">
        <v>719</v>
      </c>
      <c r="E2113" s="3" t="s">
        <v>7618</v>
      </c>
      <c r="F2113" s="3" t="s">
        <v>7652</v>
      </c>
      <c r="G2113" s="3" t="s">
        <v>7624</v>
      </c>
    </row>
    <row r="2114" spans="1:7">
      <c r="A2114" s="2">
        <v>75</v>
      </c>
      <c r="B2114" s="2" t="s">
        <v>230</v>
      </c>
      <c r="C2114" s="2">
        <v>195</v>
      </c>
      <c r="D2114" s="2" t="s">
        <v>734</v>
      </c>
      <c r="E2114" s="2" t="s">
        <v>7618</v>
      </c>
      <c r="F2114" s="2" t="s">
        <v>7652</v>
      </c>
      <c r="G2114" s="2" t="s">
        <v>7639</v>
      </c>
    </row>
    <row r="2115" spans="1:7">
      <c r="A2115" s="3">
        <v>75</v>
      </c>
      <c r="B2115" s="3" t="s">
        <v>230</v>
      </c>
      <c r="C2115" s="3">
        <v>198</v>
      </c>
      <c r="D2115" s="3" t="s">
        <v>698</v>
      </c>
      <c r="E2115" s="3" t="s">
        <v>7620</v>
      </c>
      <c r="F2115" s="3" t="s">
        <v>7652</v>
      </c>
      <c r="G2115" s="3" t="s">
        <v>7617</v>
      </c>
    </row>
    <row r="2116" spans="1:7">
      <c r="A2116" s="2">
        <v>75</v>
      </c>
      <c r="B2116" s="2" t="s">
        <v>230</v>
      </c>
      <c r="C2116" s="2">
        <v>199</v>
      </c>
      <c r="D2116" s="2" t="s">
        <v>702</v>
      </c>
      <c r="E2116" s="2" t="s">
        <v>7660</v>
      </c>
      <c r="F2116" s="2" t="s">
        <v>7652</v>
      </c>
      <c r="G2116" s="2" t="s">
        <v>7641</v>
      </c>
    </row>
    <row r="2117" spans="1:7">
      <c r="A2117" s="3">
        <v>75</v>
      </c>
      <c r="B2117" s="3" t="s">
        <v>230</v>
      </c>
      <c r="C2117" s="3">
        <v>200</v>
      </c>
      <c r="D2117" s="3" t="s">
        <v>707</v>
      </c>
      <c r="E2117" s="3" t="s">
        <v>7654</v>
      </c>
      <c r="F2117" s="3" t="s">
        <v>7652</v>
      </c>
      <c r="G2117" s="3" t="s">
        <v>7624</v>
      </c>
    </row>
    <row r="2118" spans="1:7">
      <c r="A2118" s="2">
        <v>75</v>
      </c>
      <c r="B2118" s="2" t="s">
        <v>230</v>
      </c>
      <c r="C2118" s="2">
        <v>202</v>
      </c>
      <c r="D2118" s="2" t="s">
        <v>712</v>
      </c>
      <c r="E2118" s="2" t="s">
        <v>7608</v>
      </c>
      <c r="F2118" s="2" t="s">
        <v>7661</v>
      </c>
      <c r="G2118" s="2" t="s">
        <v>7625</v>
      </c>
    </row>
    <row r="2119" spans="1:7">
      <c r="A2119" s="3">
        <v>75</v>
      </c>
      <c r="B2119" s="3" t="s">
        <v>230</v>
      </c>
      <c r="C2119" s="3">
        <v>205</v>
      </c>
      <c r="D2119" s="3" t="s">
        <v>746</v>
      </c>
      <c r="E2119" s="3" t="s">
        <v>7620</v>
      </c>
      <c r="F2119" s="3" t="s">
        <v>7635</v>
      </c>
      <c r="G2119" s="3" t="s">
        <v>7622</v>
      </c>
    </row>
    <row r="2120" spans="1:7">
      <c r="A2120" s="2">
        <v>75</v>
      </c>
      <c r="B2120" s="2" t="s">
        <v>230</v>
      </c>
      <c r="C2120" s="2">
        <v>207</v>
      </c>
      <c r="D2120" s="2" t="s">
        <v>749</v>
      </c>
      <c r="E2120" s="2" t="s">
        <v>7618</v>
      </c>
      <c r="F2120" s="2" t="s">
        <v>7608</v>
      </c>
      <c r="G2120" s="2" t="s">
        <v>7609</v>
      </c>
    </row>
    <row r="2121" spans="1:7">
      <c r="A2121" s="3">
        <v>75</v>
      </c>
      <c r="B2121" s="3" t="s">
        <v>230</v>
      </c>
      <c r="C2121" s="3">
        <v>208</v>
      </c>
      <c r="D2121" s="3" t="s">
        <v>754</v>
      </c>
      <c r="E2121" s="3" t="s">
        <v>7620</v>
      </c>
      <c r="F2121" s="3" t="s">
        <v>7635</v>
      </c>
      <c r="G2121" s="3" t="s">
        <v>7622</v>
      </c>
    </row>
    <row r="2122" spans="1:7">
      <c r="A2122" s="2">
        <v>75</v>
      </c>
      <c r="B2122" s="2" t="s">
        <v>230</v>
      </c>
      <c r="C2122" s="2">
        <v>209</v>
      </c>
      <c r="D2122" s="2" t="s">
        <v>758</v>
      </c>
      <c r="E2122" s="2" t="s">
        <v>7618</v>
      </c>
      <c r="F2122" s="2" t="s">
        <v>7652</v>
      </c>
      <c r="G2122" s="2" t="s">
        <v>7639</v>
      </c>
    </row>
    <row r="2123" spans="1:7">
      <c r="A2123" s="3">
        <v>75</v>
      </c>
      <c r="B2123" s="3" t="s">
        <v>230</v>
      </c>
      <c r="C2123" s="3">
        <v>221</v>
      </c>
      <c r="D2123" s="3" t="s">
        <v>813</v>
      </c>
      <c r="E2123" s="3" t="s">
        <v>7618</v>
      </c>
      <c r="F2123" s="3" t="s">
        <v>7650</v>
      </c>
      <c r="G2123" s="3" t="s">
        <v>7619</v>
      </c>
    </row>
    <row r="2124" spans="1:7">
      <c r="A2124" s="2">
        <v>75</v>
      </c>
      <c r="B2124" s="2" t="s">
        <v>230</v>
      </c>
      <c r="C2124" s="2">
        <v>264</v>
      </c>
      <c r="D2124" s="2" t="s">
        <v>775</v>
      </c>
      <c r="E2124" s="2" t="s">
        <v>7618</v>
      </c>
      <c r="F2124" s="2" t="s">
        <v>7652</v>
      </c>
      <c r="G2124" s="2" t="s">
        <v>7619</v>
      </c>
    </row>
    <row r="2125" spans="1:7">
      <c r="A2125" s="3">
        <v>75</v>
      </c>
      <c r="B2125" s="3" t="s">
        <v>230</v>
      </c>
      <c r="C2125" s="3">
        <v>341</v>
      </c>
      <c r="D2125" s="3" t="s">
        <v>1052</v>
      </c>
      <c r="E2125" s="3" t="s">
        <v>7620</v>
      </c>
      <c r="F2125" s="3" t="s">
        <v>7650</v>
      </c>
      <c r="G2125" s="3" t="s">
        <v>7622</v>
      </c>
    </row>
    <row r="2126" spans="1:7">
      <c r="A2126" s="2">
        <v>75</v>
      </c>
      <c r="B2126" s="2" t="s">
        <v>230</v>
      </c>
      <c r="C2126" s="2">
        <v>343</v>
      </c>
      <c r="D2126" s="2" t="s">
        <v>977</v>
      </c>
      <c r="E2126" s="2" t="s">
        <v>7620</v>
      </c>
      <c r="F2126" s="2" t="s">
        <v>7661</v>
      </c>
      <c r="G2126" s="2" t="s">
        <v>7609</v>
      </c>
    </row>
    <row r="2127" spans="1:7">
      <c r="A2127" s="3">
        <v>76</v>
      </c>
      <c r="B2127" s="3" t="s">
        <v>268</v>
      </c>
      <c r="C2127" s="3">
        <v>97</v>
      </c>
      <c r="D2127" s="3" t="s">
        <v>457</v>
      </c>
      <c r="E2127" s="3" t="s">
        <v>7618</v>
      </c>
      <c r="F2127" s="3" t="s">
        <v>7611</v>
      </c>
      <c r="G2127" s="3" t="s">
        <v>7636</v>
      </c>
    </row>
    <row r="2128" spans="1:7">
      <c r="A2128" s="2">
        <v>76</v>
      </c>
      <c r="B2128" s="2" t="s">
        <v>268</v>
      </c>
      <c r="C2128" s="2">
        <v>101</v>
      </c>
      <c r="D2128" s="2" t="s">
        <v>395</v>
      </c>
      <c r="E2128" s="2" t="s">
        <v>7620</v>
      </c>
      <c r="F2128" s="2" t="s">
        <v>7611</v>
      </c>
      <c r="G2128" s="2" t="s">
        <v>7621</v>
      </c>
    </row>
    <row r="2129" spans="1:7">
      <c r="A2129" s="3">
        <v>76</v>
      </c>
      <c r="B2129" s="3" t="s">
        <v>268</v>
      </c>
      <c r="C2129" s="3">
        <v>191</v>
      </c>
      <c r="D2129" s="3" t="s">
        <v>719</v>
      </c>
      <c r="E2129" s="3" t="s">
        <v>7618</v>
      </c>
      <c r="F2129" s="3" t="s">
        <v>7611</v>
      </c>
      <c r="G2129" s="3" t="s">
        <v>7636</v>
      </c>
    </row>
    <row r="2130" spans="1:7">
      <c r="A2130" s="2">
        <v>76</v>
      </c>
      <c r="B2130" s="2" t="s">
        <v>268</v>
      </c>
      <c r="C2130" s="2">
        <v>195</v>
      </c>
      <c r="D2130" s="2" t="s">
        <v>734</v>
      </c>
      <c r="E2130" s="2" t="s">
        <v>7618</v>
      </c>
      <c r="F2130" s="2" t="s">
        <v>7611</v>
      </c>
      <c r="G2130" s="2" t="s">
        <v>7617</v>
      </c>
    </row>
    <row r="2131" spans="1:7">
      <c r="A2131" s="3">
        <v>76</v>
      </c>
      <c r="B2131" s="3" t="s">
        <v>268</v>
      </c>
      <c r="C2131" s="3">
        <v>198</v>
      </c>
      <c r="D2131" s="3" t="s">
        <v>698</v>
      </c>
      <c r="E2131" s="3" t="s">
        <v>7620</v>
      </c>
      <c r="F2131" s="3" t="s">
        <v>7611</v>
      </c>
      <c r="G2131" s="3" t="s">
        <v>7621</v>
      </c>
    </row>
    <row r="2132" spans="1:7">
      <c r="A2132" s="2">
        <v>76</v>
      </c>
      <c r="B2132" s="2" t="s">
        <v>268</v>
      </c>
      <c r="C2132" s="2">
        <v>199</v>
      </c>
      <c r="D2132" s="2" t="s">
        <v>702</v>
      </c>
      <c r="E2132" s="2" t="s">
        <v>7618</v>
      </c>
      <c r="F2132" s="2" t="s">
        <v>7611</v>
      </c>
      <c r="G2132" s="2" t="s">
        <v>7636</v>
      </c>
    </row>
    <row r="2133" spans="1:7">
      <c r="A2133" s="3">
        <v>76</v>
      </c>
      <c r="B2133" s="3" t="s">
        <v>268</v>
      </c>
      <c r="C2133" s="3">
        <v>200</v>
      </c>
      <c r="D2133" s="3" t="s">
        <v>707</v>
      </c>
      <c r="E2133" s="3" t="s">
        <v>7620</v>
      </c>
      <c r="F2133" s="3" t="s">
        <v>7611</v>
      </c>
      <c r="G2133" s="3" t="s">
        <v>7621</v>
      </c>
    </row>
    <row r="2134" spans="1:7">
      <c r="A2134" s="2">
        <v>76</v>
      </c>
      <c r="B2134" s="2" t="s">
        <v>268</v>
      </c>
      <c r="C2134" s="2">
        <v>205</v>
      </c>
      <c r="D2134" s="2" t="s">
        <v>746</v>
      </c>
      <c r="E2134" s="2" t="s">
        <v>7620</v>
      </c>
      <c r="F2134" s="2" t="s">
        <v>7611</v>
      </c>
      <c r="G2134" s="2" t="s">
        <v>7621</v>
      </c>
    </row>
    <row r="2135" spans="1:7">
      <c r="A2135" s="3">
        <v>76</v>
      </c>
      <c r="B2135" s="3" t="s">
        <v>268</v>
      </c>
      <c r="C2135" s="3">
        <v>207</v>
      </c>
      <c r="D2135" s="3" t="s">
        <v>749</v>
      </c>
      <c r="E2135" s="3" t="s">
        <v>7623</v>
      </c>
      <c r="F2135" s="3" t="s">
        <v>7611</v>
      </c>
      <c r="G2135" s="3" t="s">
        <v>7624</v>
      </c>
    </row>
    <row r="2136" spans="1:7">
      <c r="A2136" s="2">
        <v>76</v>
      </c>
      <c r="B2136" s="2" t="s">
        <v>268</v>
      </c>
      <c r="C2136" s="2">
        <v>208</v>
      </c>
      <c r="D2136" s="2" t="s">
        <v>754</v>
      </c>
      <c r="E2136" s="2" t="s">
        <v>7620</v>
      </c>
      <c r="F2136" s="2" t="s">
        <v>7611</v>
      </c>
      <c r="G2136" s="2" t="s">
        <v>7622</v>
      </c>
    </row>
    <row r="2137" spans="1:7">
      <c r="A2137" s="3">
        <v>76</v>
      </c>
      <c r="B2137" s="3" t="s">
        <v>268</v>
      </c>
      <c r="C2137" s="3">
        <v>209</v>
      </c>
      <c r="D2137" s="3" t="s">
        <v>758</v>
      </c>
      <c r="E2137" s="3" t="s">
        <v>7618</v>
      </c>
      <c r="F2137" s="3" t="s">
        <v>7608</v>
      </c>
      <c r="G2137" s="3" t="s">
        <v>7633</v>
      </c>
    </row>
    <row r="2138" spans="1:7">
      <c r="A2138" s="2">
        <v>76</v>
      </c>
      <c r="B2138" s="2" t="s">
        <v>268</v>
      </c>
      <c r="C2138" s="2">
        <v>221</v>
      </c>
      <c r="D2138" s="2" t="s">
        <v>813</v>
      </c>
      <c r="E2138" s="2" t="s">
        <v>7705</v>
      </c>
      <c r="F2138" s="2" t="s">
        <v>7611</v>
      </c>
      <c r="G2138" s="2" t="s">
        <v>7641</v>
      </c>
    </row>
    <row r="2139" spans="1:7">
      <c r="A2139" s="3">
        <v>76</v>
      </c>
      <c r="B2139" s="3" t="s">
        <v>268</v>
      </c>
      <c r="C2139" s="3">
        <v>264</v>
      </c>
      <c r="D2139" s="3" t="s">
        <v>775</v>
      </c>
      <c r="E2139" s="3" t="s">
        <v>7618</v>
      </c>
      <c r="F2139" s="3" t="s">
        <v>7611</v>
      </c>
      <c r="G2139" s="3" t="s">
        <v>7617</v>
      </c>
    </row>
    <row r="2140" spans="1:7">
      <c r="A2140" s="2">
        <v>76</v>
      </c>
      <c r="B2140" s="2" t="s">
        <v>268</v>
      </c>
      <c r="C2140" s="2">
        <v>341</v>
      </c>
      <c r="D2140" s="2" t="s">
        <v>1052</v>
      </c>
      <c r="E2140" s="2" t="s">
        <v>7620</v>
      </c>
      <c r="F2140" s="2" t="s">
        <v>7611</v>
      </c>
      <c r="G2140" s="2" t="s">
        <v>7633</v>
      </c>
    </row>
    <row r="2141" spans="1:7">
      <c r="A2141" s="3">
        <v>76</v>
      </c>
      <c r="B2141" s="3" t="s">
        <v>268</v>
      </c>
      <c r="C2141" s="3">
        <v>343</v>
      </c>
      <c r="D2141" s="3" t="s">
        <v>977</v>
      </c>
      <c r="E2141" s="3" t="s">
        <v>7620</v>
      </c>
      <c r="F2141" s="3" t="s">
        <v>7611</v>
      </c>
      <c r="G2141" s="3" t="s">
        <v>7625</v>
      </c>
    </row>
    <row r="2142" spans="1:7">
      <c r="A2142" s="2">
        <v>77</v>
      </c>
      <c r="B2142" s="2" t="s">
        <v>297</v>
      </c>
      <c r="C2142" s="2">
        <v>97</v>
      </c>
      <c r="D2142" s="2" t="s">
        <v>457</v>
      </c>
      <c r="E2142" s="2" t="s">
        <v>7618</v>
      </c>
      <c r="F2142" s="2" t="s">
        <v>7649</v>
      </c>
      <c r="G2142" s="2" t="s">
        <v>7619</v>
      </c>
    </row>
    <row r="2143" spans="1:7">
      <c r="A2143" s="3">
        <v>77</v>
      </c>
      <c r="B2143" s="3" t="s">
        <v>297</v>
      </c>
      <c r="C2143" s="3">
        <v>101</v>
      </c>
      <c r="D2143" s="3" t="s">
        <v>395</v>
      </c>
      <c r="E2143" s="3" t="s">
        <v>7620</v>
      </c>
      <c r="F2143" s="3" t="s">
        <v>7649</v>
      </c>
      <c r="G2143" s="3" t="s">
        <v>7633</v>
      </c>
    </row>
    <row r="2144" spans="1:7">
      <c r="A2144" s="2">
        <v>77</v>
      </c>
      <c r="B2144" s="2" t="s">
        <v>297</v>
      </c>
      <c r="C2144" s="2">
        <v>103</v>
      </c>
      <c r="D2144" s="2" t="s">
        <v>384</v>
      </c>
      <c r="E2144" s="2" t="s">
        <v>7620</v>
      </c>
      <c r="F2144" s="2" t="s">
        <v>7650</v>
      </c>
      <c r="G2144" s="2" t="s">
        <v>7621</v>
      </c>
    </row>
    <row r="2145" spans="1:7">
      <c r="A2145" s="3">
        <v>77</v>
      </c>
      <c r="B2145" s="3" t="s">
        <v>297</v>
      </c>
      <c r="C2145" s="3">
        <v>191</v>
      </c>
      <c r="D2145" s="3" t="s">
        <v>719</v>
      </c>
      <c r="E2145" s="3" t="s">
        <v>7618</v>
      </c>
      <c r="F2145" s="3" t="s">
        <v>7649</v>
      </c>
      <c r="G2145" s="3" t="s">
        <v>7619</v>
      </c>
    </row>
    <row r="2146" spans="1:7">
      <c r="A2146" s="2">
        <v>77</v>
      </c>
      <c r="B2146" s="2" t="s">
        <v>297</v>
      </c>
      <c r="C2146" s="2">
        <v>195</v>
      </c>
      <c r="D2146" s="2" t="s">
        <v>734</v>
      </c>
      <c r="E2146" s="2" t="s">
        <v>7618</v>
      </c>
      <c r="F2146" s="2" t="s">
        <v>7649</v>
      </c>
      <c r="G2146" s="2" t="s">
        <v>7634</v>
      </c>
    </row>
    <row r="2147" spans="1:7">
      <c r="A2147" s="3">
        <v>77</v>
      </c>
      <c r="B2147" s="3" t="s">
        <v>297</v>
      </c>
      <c r="C2147" s="3">
        <v>198</v>
      </c>
      <c r="D2147" s="3" t="s">
        <v>698</v>
      </c>
      <c r="E2147" s="3" t="s">
        <v>7620</v>
      </c>
      <c r="F2147" s="3" t="s">
        <v>7649</v>
      </c>
      <c r="G2147" s="3" t="s">
        <v>7609</v>
      </c>
    </row>
    <row r="2148" spans="1:7">
      <c r="A2148" s="2">
        <v>77</v>
      </c>
      <c r="B2148" s="2" t="s">
        <v>297</v>
      </c>
      <c r="C2148" s="2">
        <v>199</v>
      </c>
      <c r="D2148" s="2" t="s">
        <v>702</v>
      </c>
      <c r="E2148" s="2" t="s">
        <v>7618</v>
      </c>
      <c r="F2148" s="2" t="s">
        <v>7649</v>
      </c>
      <c r="G2148" s="2" t="s">
        <v>7619</v>
      </c>
    </row>
    <row r="2149" spans="1:7">
      <c r="A2149" s="3">
        <v>77</v>
      </c>
      <c r="B2149" s="3" t="s">
        <v>297</v>
      </c>
      <c r="C2149" s="3">
        <v>200</v>
      </c>
      <c r="D2149" s="3" t="s">
        <v>707</v>
      </c>
      <c r="E2149" s="3" t="s">
        <v>7620</v>
      </c>
      <c r="F2149" s="3" t="s">
        <v>7649</v>
      </c>
      <c r="G2149" s="3" t="s">
        <v>7633</v>
      </c>
    </row>
    <row r="2150" spans="1:7">
      <c r="A2150" s="2">
        <v>77</v>
      </c>
      <c r="B2150" s="2" t="s">
        <v>297</v>
      </c>
      <c r="C2150" s="2">
        <v>205</v>
      </c>
      <c r="D2150" s="2" t="s">
        <v>746</v>
      </c>
      <c r="E2150" s="2" t="s">
        <v>7620</v>
      </c>
      <c r="F2150" s="2" t="s">
        <v>7611</v>
      </c>
      <c r="G2150" s="2" t="s">
        <v>7622</v>
      </c>
    </row>
    <row r="2151" spans="1:7">
      <c r="A2151" s="3">
        <v>77</v>
      </c>
      <c r="B2151" s="3" t="s">
        <v>297</v>
      </c>
      <c r="C2151" s="3">
        <v>207</v>
      </c>
      <c r="D2151" s="3" t="s">
        <v>749</v>
      </c>
      <c r="E2151" s="3" t="s">
        <v>7618</v>
      </c>
      <c r="F2151" s="3" t="s">
        <v>7611</v>
      </c>
      <c r="G2151" s="3" t="s">
        <v>7636</v>
      </c>
    </row>
    <row r="2152" spans="1:7">
      <c r="A2152" s="2">
        <v>77</v>
      </c>
      <c r="B2152" s="2" t="s">
        <v>297</v>
      </c>
      <c r="C2152" s="2">
        <v>208</v>
      </c>
      <c r="D2152" s="2" t="s">
        <v>754</v>
      </c>
      <c r="E2152" s="2" t="s">
        <v>7620</v>
      </c>
      <c r="F2152" s="2" t="s">
        <v>7611</v>
      </c>
      <c r="G2152" s="2" t="s">
        <v>7621</v>
      </c>
    </row>
    <row r="2153" spans="1:7">
      <c r="A2153" s="3">
        <v>77</v>
      </c>
      <c r="B2153" s="3" t="s">
        <v>297</v>
      </c>
      <c r="C2153" s="3">
        <v>209</v>
      </c>
      <c r="D2153" s="3" t="s">
        <v>758</v>
      </c>
      <c r="E2153" s="3" t="s">
        <v>7618</v>
      </c>
      <c r="F2153" s="3" t="s">
        <v>7650</v>
      </c>
      <c r="G2153" s="3" t="s">
        <v>7636</v>
      </c>
    </row>
    <row r="2154" spans="1:7">
      <c r="A2154" s="2">
        <v>77</v>
      </c>
      <c r="B2154" s="2" t="s">
        <v>297</v>
      </c>
      <c r="C2154" s="2">
        <v>221</v>
      </c>
      <c r="D2154" s="2" t="s">
        <v>813</v>
      </c>
      <c r="E2154" s="2" t="s">
        <v>7618</v>
      </c>
      <c r="F2154" s="2" t="s">
        <v>7649</v>
      </c>
      <c r="G2154" s="2" t="s">
        <v>7619</v>
      </c>
    </row>
    <row r="2155" spans="1:7">
      <c r="A2155" s="3">
        <v>77</v>
      </c>
      <c r="B2155" s="3" t="s">
        <v>297</v>
      </c>
      <c r="C2155" s="3">
        <v>264</v>
      </c>
      <c r="D2155" s="3" t="s">
        <v>775</v>
      </c>
      <c r="E2155" s="3" t="s">
        <v>7618</v>
      </c>
      <c r="F2155" s="3" t="s">
        <v>7649</v>
      </c>
      <c r="G2155" s="3" t="s">
        <v>7619</v>
      </c>
    </row>
    <row r="2156" spans="1:7">
      <c r="A2156" s="2">
        <v>77</v>
      </c>
      <c r="B2156" s="2" t="s">
        <v>297</v>
      </c>
      <c r="C2156" s="2">
        <v>341</v>
      </c>
      <c r="D2156" s="2" t="s">
        <v>1052</v>
      </c>
      <c r="E2156" s="2" t="s">
        <v>7620</v>
      </c>
      <c r="F2156" s="2" t="s">
        <v>7649</v>
      </c>
      <c r="G2156" s="2" t="s">
        <v>7633</v>
      </c>
    </row>
    <row r="2157" spans="1:7">
      <c r="A2157" s="3">
        <v>77</v>
      </c>
      <c r="B2157" s="3" t="s">
        <v>297</v>
      </c>
      <c r="C2157" s="3">
        <v>343</v>
      </c>
      <c r="D2157" s="3" t="s">
        <v>977</v>
      </c>
      <c r="E2157" s="3" t="s">
        <v>7620</v>
      </c>
      <c r="F2157" s="3" t="s">
        <v>7649</v>
      </c>
      <c r="G2157" s="3" t="s">
        <v>7622</v>
      </c>
    </row>
    <row r="2158" spans="1:7">
      <c r="A2158" s="2">
        <v>78</v>
      </c>
      <c r="B2158" s="2" t="s">
        <v>301</v>
      </c>
      <c r="C2158" s="2">
        <v>97</v>
      </c>
      <c r="D2158" s="2" t="s">
        <v>457</v>
      </c>
      <c r="E2158" s="2" t="s">
        <v>7620</v>
      </c>
      <c r="F2158" s="2" t="s">
        <v>7649</v>
      </c>
      <c r="G2158" s="2" t="s">
        <v>7633</v>
      </c>
    </row>
    <row r="2159" spans="1:7">
      <c r="A2159" s="3">
        <v>78</v>
      </c>
      <c r="B2159" s="3" t="s">
        <v>301</v>
      </c>
      <c r="C2159" s="3">
        <v>101</v>
      </c>
      <c r="D2159" s="3" t="s">
        <v>395</v>
      </c>
      <c r="E2159" s="3" t="s">
        <v>7620</v>
      </c>
      <c r="F2159" s="3" t="s">
        <v>7649</v>
      </c>
      <c r="G2159" s="3" t="s">
        <v>7622</v>
      </c>
    </row>
    <row r="2160" spans="1:7">
      <c r="A2160" s="2">
        <v>78</v>
      </c>
      <c r="B2160" s="2" t="s">
        <v>301</v>
      </c>
      <c r="C2160" s="2">
        <v>103</v>
      </c>
      <c r="D2160" s="2" t="s">
        <v>384</v>
      </c>
      <c r="E2160" s="2" t="s">
        <v>7620</v>
      </c>
      <c r="F2160" s="2" t="s">
        <v>7650</v>
      </c>
      <c r="G2160" s="2" t="s">
        <v>7625</v>
      </c>
    </row>
    <row r="2161" spans="1:7">
      <c r="A2161" s="3">
        <v>78</v>
      </c>
      <c r="B2161" s="3" t="s">
        <v>301</v>
      </c>
      <c r="C2161" s="3">
        <v>191</v>
      </c>
      <c r="D2161" s="3" t="s">
        <v>719</v>
      </c>
      <c r="E2161" s="3" t="s">
        <v>7620</v>
      </c>
      <c r="F2161" s="3" t="s">
        <v>7649</v>
      </c>
      <c r="G2161" s="3" t="s">
        <v>7622</v>
      </c>
    </row>
    <row r="2162" spans="1:7">
      <c r="A2162" s="2">
        <v>78</v>
      </c>
      <c r="B2162" s="2" t="s">
        <v>301</v>
      </c>
      <c r="C2162" s="2">
        <v>195</v>
      </c>
      <c r="D2162" s="2" t="s">
        <v>734</v>
      </c>
      <c r="E2162" s="2" t="s">
        <v>7620</v>
      </c>
      <c r="F2162" s="2" t="s">
        <v>7649</v>
      </c>
      <c r="G2162" s="2" t="s">
        <v>7622</v>
      </c>
    </row>
    <row r="2163" spans="1:7">
      <c r="A2163" s="3">
        <v>78</v>
      </c>
      <c r="B2163" s="3" t="s">
        <v>301</v>
      </c>
      <c r="C2163" s="3">
        <v>198</v>
      </c>
      <c r="D2163" s="3" t="s">
        <v>698</v>
      </c>
      <c r="E2163" s="3" t="s">
        <v>7620</v>
      </c>
      <c r="F2163" s="3" t="s">
        <v>7649</v>
      </c>
      <c r="G2163" s="3" t="s">
        <v>7622</v>
      </c>
    </row>
    <row r="2164" spans="1:7">
      <c r="A2164" s="2">
        <v>78</v>
      </c>
      <c r="B2164" s="2" t="s">
        <v>301</v>
      </c>
      <c r="C2164" s="2">
        <v>199</v>
      </c>
      <c r="D2164" s="2" t="s">
        <v>702</v>
      </c>
      <c r="E2164" s="2" t="s">
        <v>7620</v>
      </c>
      <c r="F2164" s="2" t="s">
        <v>7649</v>
      </c>
      <c r="G2164" s="2" t="s">
        <v>7633</v>
      </c>
    </row>
    <row r="2165" spans="1:7">
      <c r="A2165" s="3">
        <v>78</v>
      </c>
      <c r="B2165" s="3" t="s">
        <v>301</v>
      </c>
      <c r="C2165" s="3">
        <v>200</v>
      </c>
      <c r="D2165" s="3" t="s">
        <v>707</v>
      </c>
      <c r="E2165" s="3" t="s">
        <v>7620</v>
      </c>
      <c r="F2165" s="3" t="s">
        <v>7649</v>
      </c>
      <c r="G2165" s="3" t="s">
        <v>7633</v>
      </c>
    </row>
    <row r="2166" spans="1:7">
      <c r="A2166" s="2">
        <v>78</v>
      </c>
      <c r="B2166" s="2" t="s">
        <v>301</v>
      </c>
      <c r="C2166" s="2">
        <v>205</v>
      </c>
      <c r="D2166" s="2" t="s">
        <v>746</v>
      </c>
      <c r="E2166" s="2" t="s">
        <v>7620</v>
      </c>
      <c r="F2166" s="2" t="s">
        <v>7611</v>
      </c>
      <c r="G2166" s="2" t="s">
        <v>7625</v>
      </c>
    </row>
    <row r="2167" spans="1:7">
      <c r="A2167" s="3">
        <v>78</v>
      </c>
      <c r="B2167" s="3" t="s">
        <v>301</v>
      </c>
      <c r="C2167" s="3">
        <v>207</v>
      </c>
      <c r="D2167" s="3" t="s">
        <v>749</v>
      </c>
      <c r="E2167" s="3" t="s">
        <v>7640</v>
      </c>
      <c r="F2167" s="3" t="s">
        <v>7611</v>
      </c>
      <c r="G2167" s="3" t="s">
        <v>7609</v>
      </c>
    </row>
    <row r="2168" spans="1:7">
      <c r="A2168" s="2">
        <v>78</v>
      </c>
      <c r="B2168" s="2" t="s">
        <v>301</v>
      </c>
      <c r="C2168" s="2">
        <v>208</v>
      </c>
      <c r="D2168" s="2" t="s">
        <v>754</v>
      </c>
      <c r="E2168" s="2" t="s">
        <v>7620</v>
      </c>
      <c r="F2168" s="2" t="s">
        <v>7611</v>
      </c>
      <c r="G2168" s="2" t="s">
        <v>7625</v>
      </c>
    </row>
    <row r="2169" spans="1:7">
      <c r="A2169" s="3">
        <v>78</v>
      </c>
      <c r="B2169" s="3" t="s">
        <v>301</v>
      </c>
      <c r="C2169" s="3">
        <v>209</v>
      </c>
      <c r="D2169" s="3" t="s">
        <v>758</v>
      </c>
      <c r="E2169" s="3" t="s">
        <v>7620</v>
      </c>
      <c r="F2169" s="3" t="s">
        <v>7650</v>
      </c>
      <c r="G2169" s="3" t="s">
        <v>7625</v>
      </c>
    </row>
    <row r="2170" spans="1:7">
      <c r="A2170" s="2">
        <v>78</v>
      </c>
      <c r="B2170" s="2" t="s">
        <v>301</v>
      </c>
      <c r="C2170" s="2">
        <v>221</v>
      </c>
      <c r="D2170" s="2" t="s">
        <v>813</v>
      </c>
      <c r="E2170" s="2" t="s">
        <v>7640</v>
      </c>
      <c r="F2170" s="2" t="s">
        <v>7649</v>
      </c>
      <c r="G2170" s="2" t="s">
        <v>7636</v>
      </c>
    </row>
    <row r="2171" spans="1:7">
      <c r="A2171" s="3">
        <v>78</v>
      </c>
      <c r="B2171" s="3" t="s">
        <v>301</v>
      </c>
      <c r="C2171" s="3">
        <v>264</v>
      </c>
      <c r="D2171" s="3" t="s">
        <v>775</v>
      </c>
      <c r="E2171" s="3" t="s">
        <v>7620</v>
      </c>
      <c r="F2171" s="3" t="s">
        <v>7649</v>
      </c>
      <c r="G2171" s="3" t="s">
        <v>7622</v>
      </c>
    </row>
    <row r="2172" spans="1:7">
      <c r="A2172" s="2">
        <v>78</v>
      </c>
      <c r="B2172" s="2" t="s">
        <v>301</v>
      </c>
      <c r="C2172" s="2">
        <v>341</v>
      </c>
      <c r="D2172" s="2" t="s">
        <v>1052</v>
      </c>
      <c r="E2172" s="2" t="s">
        <v>7620</v>
      </c>
      <c r="F2172" s="2" t="s">
        <v>7649</v>
      </c>
      <c r="G2172" s="2" t="s">
        <v>7622</v>
      </c>
    </row>
    <row r="2173" spans="1:7">
      <c r="A2173" s="3">
        <v>78</v>
      </c>
      <c r="B2173" s="3" t="s">
        <v>301</v>
      </c>
      <c r="C2173" s="3">
        <v>343</v>
      </c>
      <c r="D2173" s="3" t="s">
        <v>977</v>
      </c>
      <c r="E2173" s="3" t="s">
        <v>7620</v>
      </c>
      <c r="F2173" s="3" t="s">
        <v>7649</v>
      </c>
      <c r="G2173" s="3" t="s">
        <v>7622</v>
      </c>
    </row>
    <row r="2174" spans="1:7">
      <c r="A2174" s="2">
        <v>79</v>
      </c>
      <c r="B2174" s="2" t="s">
        <v>246</v>
      </c>
      <c r="C2174" s="2">
        <v>97</v>
      </c>
      <c r="D2174" s="2" t="s">
        <v>457</v>
      </c>
      <c r="E2174" s="2" t="s">
        <v>7620</v>
      </c>
      <c r="F2174" s="2" t="s">
        <v>7649</v>
      </c>
      <c r="G2174" s="2" t="s">
        <v>7636</v>
      </c>
    </row>
    <row r="2175" spans="1:7">
      <c r="A2175" s="3">
        <v>79</v>
      </c>
      <c r="B2175" s="3" t="s">
        <v>246</v>
      </c>
      <c r="C2175" s="3">
        <v>101</v>
      </c>
      <c r="D2175" s="3" t="s">
        <v>395</v>
      </c>
      <c r="E2175" s="3" t="s">
        <v>7620</v>
      </c>
      <c r="F2175" s="3" t="s">
        <v>7649</v>
      </c>
      <c r="G2175" s="3" t="s">
        <v>7633</v>
      </c>
    </row>
    <row r="2176" spans="1:7">
      <c r="A2176" s="2">
        <v>79</v>
      </c>
      <c r="B2176" s="2" t="s">
        <v>246</v>
      </c>
      <c r="C2176" s="2">
        <v>103</v>
      </c>
      <c r="D2176" s="2" t="s">
        <v>384</v>
      </c>
      <c r="E2176" s="2" t="s">
        <v>7620</v>
      </c>
      <c r="F2176" s="2" t="s">
        <v>7650</v>
      </c>
      <c r="G2176" s="2" t="s">
        <v>7621</v>
      </c>
    </row>
    <row r="2177" spans="1:7">
      <c r="A2177" s="3">
        <v>79</v>
      </c>
      <c r="B2177" s="3" t="s">
        <v>246</v>
      </c>
      <c r="C2177" s="3">
        <v>189</v>
      </c>
      <c r="D2177" s="3" t="s">
        <v>742</v>
      </c>
      <c r="E2177" s="3" t="s">
        <v>7653</v>
      </c>
      <c r="F2177" s="3" t="s">
        <v>7608</v>
      </c>
      <c r="G2177" s="3" t="s">
        <v>7622</v>
      </c>
    </row>
    <row r="2178" spans="1:7">
      <c r="A2178" s="2">
        <v>79</v>
      </c>
      <c r="B2178" s="2" t="s">
        <v>246</v>
      </c>
      <c r="C2178" s="2">
        <v>191</v>
      </c>
      <c r="D2178" s="2" t="s">
        <v>719</v>
      </c>
      <c r="E2178" s="2" t="s">
        <v>7620</v>
      </c>
      <c r="F2178" s="2" t="s">
        <v>7649</v>
      </c>
      <c r="G2178" s="2" t="s">
        <v>7617</v>
      </c>
    </row>
    <row r="2179" spans="1:7">
      <c r="A2179" s="3">
        <v>79</v>
      </c>
      <c r="B2179" s="3" t="s">
        <v>246</v>
      </c>
      <c r="C2179" s="3">
        <v>195</v>
      </c>
      <c r="D2179" s="3" t="s">
        <v>734</v>
      </c>
      <c r="E2179" s="3" t="s">
        <v>7620</v>
      </c>
      <c r="F2179" s="3" t="s">
        <v>7649</v>
      </c>
      <c r="G2179" s="3" t="s">
        <v>7619</v>
      </c>
    </row>
    <row r="2180" spans="1:7">
      <c r="A2180" s="2">
        <v>79</v>
      </c>
      <c r="B2180" s="2" t="s">
        <v>246</v>
      </c>
      <c r="C2180" s="2">
        <v>198</v>
      </c>
      <c r="D2180" s="2" t="s">
        <v>698</v>
      </c>
      <c r="E2180" s="2" t="s">
        <v>7620</v>
      </c>
      <c r="F2180" s="2" t="s">
        <v>7649</v>
      </c>
      <c r="G2180" s="2" t="s">
        <v>7636</v>
      </c>
    </row>
    <row r="2181" spans="1:7">
      <c r="A2181" s="3">
        <v>79</v>
      </c>
      <c r="B2181" s="3" t="s">
        <v>246</v>
      </c>
      <c r="C2181" s="3">
        <v>199</v>
      </c>
      <c r="D2181" s="3" t="s">
        <v>702</v>
      </c>
      <c r="E2181" s="3" t="s">
        <v>7654</v>
      </c>
      <c r="F2181" s="3" t="s">
        <v>7649</v>
      </c>
      <c r="G2181" s="3" t="s">
        <v>7634</v>
      </c>
    </row>
    <row r="2182" spans="1:7">
      <c r="A2182" s="2">
        <v>79</v>
      </c>
      <c r="B2182" s="2" t="s">
        <v>246</v>
      </c>
      <c r="C2182" s="2">
        <v>200</v>
      </c>
      <c r="D2182" s="2" t="s">
        <v>707</v>
      </c>
      <c r="E2182" s="2" t="s">
        <v>7654</v>
      </c>
      <c r="F2182" s="2" t="s">
        <v>7649</v>
      </c>
      <c r="G2182" s="2" t="s">
        <v>7624</v>
      </c>
    </row>
    <row r="2183" spans="1:7">
      <c r="A2183" s="3">
        <v>79</v>
      </c>
      <c r="B2183" s="3" t="s">
        <v>246</v>
      </c>
      <c r="C2183" s="3">
        <v>205</v>
      </c>
      <c r="D2183" s="3" t="s">
        <v>746</v>
      </c>
      <c r="E2183" s="3" t="s">
        <v>7620</v>
      </c>
      <c r="F2183" s="3" t="s">
        <v>7611</v>
      </c>
      <c r="G2183" s="3" t="s">
        <v>7622</v>
      </c>
    </row>
    <row r="2184" spans="1:7">
      <c r="A2184" s="2">
        <v>79</v>
      </c>
      <c r="B2184" s="2" t="s">
        <v>246</v>
      </c>
      <c r="C2184" s="2">
        <v>207</v>
      </c>
      <c r="D2184" s="2" t="s">
        <v>749</v>
      </c>
      <c r="E2184" s="2" t="s">
        <v>7640</v>
      </c>
      <c r="F2184" s="2" t="s">
        <v>7611</v>
      </c>
      <c r="G2184" s="2" t="s">
        <v>7619</v>
      </c>
    </row>
    <row r="2185" spans="1:7">
      <c r="A2185" s="3">
        <v>79</v>
      </c>
      <c r="B2185" s="3" t="s">
        <v>246</v>
      </c>
      <c r="C2185" s="3">
        <v>208</v>
      </c>
      <c r="D2185" s="3" t="s">
        <v>754</v>
      </c>
      <c r="E2185" s="3" t="s">
        <v>7620</v>
      </c>
      <c r="F2185" s="3" t="s">
        <v>7611</v>
      </c>
      <c r="G2185" s="3" t="s">
        <v>7633</v>
      </c>
    </row>
    <row r="2186" spans="1:7">
      <c r="A2186" s="2">
        <v>79</v>
      </c>
      <c r="B2186" s="2" t="s">
        <v>246</v>
      </c>
      <c r="C2186" s="2">
        <v>209</v>
      </c>
      <c r="D2186" s="2" t="s">
        <v>758</v>
      </c>
      <c r="E2186" s="2" t="s">
        <v>7620</v>
      </c>
      <c r="F2186" s="2" t="s">
        <v>7650</v>
      </c>
      <c r="G2186" s="2" t="s">
        <v>7633</v>
      </c>
    </row>
    <row r="2187" spans="1:7">
      <c r="A2187" s="3">
        <v>79</v>
      </c>
      <c r="B2187" s="3" t="s">
        <v>246</v>
      </c>
      <c r="C2187" s="3">
        <v>221</v>
      </c>
      <c r="D2187" s="3" t="s">
        <v>813</v>
      </c>
      <c r="E2187" s="3" t="s">
        <v>7640</v>
      </c>
      <c r="F2187" s="3" t="s">
        <v>7649</v>
      </c>
      <c r="G2187" s="3" t="s">
        <v>7634</v>
      </c>
    </row>
    <row r="2188" spans="1:7">
      <c r="A2188" s="2">
        <v>79</v>
      </c>
      <c r="B2188" s="2" t="s">
        <v>246</v>
      </c>
      <c r="C2188" s="2">
        <v>264</v>
      </c>
      <c r="D2188" s="2" t="s">
        <v>775</v>
      </c>
      <c r="E2188" s="2" t="s">
        <v>7620</v>
      </c>
      <c r="F2188" s="2" t="s">
        <v>7649</v>
      </c>
      <c r="G2188" s="2" t="s">
        <v>7633</v>
      </c>
    </row>
    <row r="2189" spans="1:7">
      <c r="A2189" s="3">
        <v>79</v>
      </c>
      <c r="B2189" s="3" t="s">
        <v>246</v>
      </c>
      <c r="C2189" s="3">
        <v>341</v>
      </c>
      <c r="D2189" s="3" t="s">
        <v>1052</v>
      </c>
      <c r="E2189" s="3" t="s">
        <v>7620</v>
      </c>
      <c r="F2189" s="3" t="s">
        <v>7649</v>
      </c>
      <c r="G2189" s="3" t="s">
        <v>7617</v>
      </c>
    </row>
    <row r="2190" spans="1:7">
      <c r="A2190" s="2">
        <v>79</v>
      </c>
      <c r="B2190" s="2" t="s">
        <v>246</v>
      </c>
      <c r="C2190" s="2">
        <v>343</v>
      </c>
      <c r="D2190" s="2" t="s">
        <v>977</v>
      </c>
      <c r="E2190" s="2" t="s">
        <v>7620</v>
      </c>
      <c r="F2190" s="2" t="s">
        <v>7649</v>
      </c>
      <c r="G2190" s="2" t="s">
        <v>7622</v>
      </c>
    </row>
    <row r="2191" spans="1:7">
      <c r="A2191" s="3">
        <v>80</v>
      </c>
      <c r="B2191" s="3" t="s">
        <v>289</v>
      </c>
      <c r="C2191" s="3">
        <v>97</v>
      </c>
      <c r="D2191" s="3" t="s">
        <v>457</v>
      </c>
      <c r="E2191" s="3" t="s">
        <v>7620</v>
      </c>
      <c r="F2191" s="3" t="s">
        <v>7659</v>
      </c>
      <c r="G2191" s="3" t="s">
        <v>7619</v>
      </c>
    </row>
    <row r="2192" spans="1:7">
      <c r="A2192" s="2">
        <v>80</v>
      </c>
      <c r="B2192" s="2" t="s">
        <v>289</v>
      </c>
      <c r="C2192" s="2">
        <v>101</v>
      </c>
      <c r="D2192" s="2" t="s">
        <v>395</v>
      </c>
      <c r="E2192" s="2" t="s">
        <v>7620</v>
      </c>
      <c r="F2192" s="2" t="s">
        <v>7659</v>
      </c>
      <c r="G2192" s="2" t="s">
        <v>7617</v>
      </c>
    </row>
    <row r="2193" spans="1:7">
      <c r="A2193" s="3">
        <v>80</v>
      </c>
      <c r="B2193" s="3" t="s">
        <v>289</v>
      </c>
      <c r="C2193" s="3">
        <v>103</v>
      </c>
      <c r="D2193" s="3" t="s">
        <v>384</v>
      </c>
      <c r="E2193" s="3" t="s">
        <v>7620</v>
      </c>
      <c r="F2193" s="3" t="s">
        <v>7650</v>
      </c>
      <c r="G2193" s="3" t="s">
        <v>7625</v>
      </c>
    </row>
    <row r="2194" spans="1:7">
      <c r="A2194" s="2">
        <v>80</v>
      </c>
      <c r="B2194" s="2" t="s">
        <v>289</v>
      </c>
      <c r="C2194" s="2">
        <v>191</v>
      </c>
      <c r="D2194" s="2" t="s">
        <v>719</v>
      </c>
      <c r="E2194" s="2" t="s">
        <v>7620</v>
      </c>
      <c r="F2194" s="2" t="s">
        <v>7659</v>
      </c>
      <c r="G2194" s="2" t="s">
        <v>7634</v>
      </c>
    </row>
    <row r="2195" spans="1:7">
      <c r="A2195" s="3">
        <v>80</v>
      </c>
      <c r="B2195" s="3" t="s">
        <v>289</v>
      </c>
      <c r="C2195" s="3">
        <v>195</v>
      </c>
      <c r="D2195" s="3" t="s">
        <v>734</v>
      </c>
      <c r="E2195" s="3" t="s">
        <v>7620</v>
      </c>
      <c r="F2195" s="3" t="s">
        <v>7659</v>
      </c>
      <c r="G2195" s="3" t="s">
        <v>7617</v>
      </c>
    </row>
    <row r="2196" spans="1:7">
      <c r="A2196" s="2">
        <v>80</v>
      </c>
      <c r="B2196" s="2" t="s">
        <v>289</v>
      </c>
      <c r="C2196" s="2">
        <v>198</v>
      </c>
      <c r="D2196" s="2" t="s">
        <v>698</v>
      </c>
      <c r="E2196" s="2" t="s">
        <v>7620</v>
      </c>
      <c r="F2196" s="2" t="s">
        <v>7659</v>
      </c>
      <c r="G2196" s="2" t="s">
        <v>7636</v>
      </c>
    </row>
    <row r="2197" spans="1:7">
      <c r="A2197" s="3">
        <v>80</v>
      </c>
      <c r="B2197" s="3" t="s">
        <v>289</v>
      </c>
      <c r="C2197" s="3">
        <v>199</v>
      </c>
      <c r="D2197" s="3" t="s">
        <v>702</v>
      </c>
      <c r="E2197" s="3" t="s">
        <v>7620</v>
      </c>
      <c r="F2197" s="3" t="s">
        <v>7659</v>
      </c>
      <c r="G2197" s="3" t="s">
        <v>7636</v>
      </c>
    </row>
    <row r="2198" spans="1:7">
      <c r="A2198" s="2">
        <v>80</v>
      </c>
      <c r="B2198" s="2" t="s">
        <v>289</v>
      </c>
      <c r="C2198" s="2">
        <v>200</v>
      </c>
      <c r="D2198" s="2" t="s">
        <v>707</v>
      </c>
      <c r="E2198" s="2" t="s">
        <v>7620</v>
      </c>
      <c r="F2198" s="2" t="s">
        <v>7659</v>
      </c>
      <c r="G2198" s="2" t="s">
        <v>7619</v>
      </c>
    </row>
    <row r="2199" spans="1:7">
      <c r="A2199" s="3">
        <v>80</v>
      </c>
      <c r="B2199" s="3" t="s">
        <v>289</v>
      </c>
      <c r="C2199" s="3">
        <v>201</v>
      </c>
      <c r="D2199" s="3" t="s">
        <v>695</v>
      </c>
      <c r="E2199" s="3" t="s">
        <v>7608</v>
      </c>
      <c r="F2199" s="3" t="s">
        <v>7659</v>
      </c>
      <c r="G2199" s="3" t="s">
        <v>7625</v>
      </c>
    </row>
    <row r="2200" spans="1:7">
      <c r="A2200" s="2">
        <v>80</v>
      </c>
      <c r="B2200" s="2" t="s">
        <v>289</v>
      </c>
      <c r="C2200" s="2">
        <v>204</v>
      </c>
      <c r="D2200" s="2" t="s">
        <v>685</v>
      </c>
      <c r="E2200" s="2" t="s">
        <v>7608</v>
      </c>
      <c r="F2200" s="2" t="s">
        <v>7659</v>
      </c>
      <c r="G2200" s="2" t="s">
        <v>7625</v>
      </c>
    </row>
    <row r="2201" spans="1:7">
      <c r="A2201" s="3">
        <v>80</v>
      </c>
      <c r="B2201" s="3" t="s">
        <v>289</v>
      </c>
      <c r="C2201" s="3">
        <v>205</v>
      </c>
      <c r="D2201" s="3" t="s">
        <v>746</v>
      </c>
      <c r="E2201" s="3" t="s">
        <v>7620</v>
      </c>
      <c r="F2201" s="3" t="s">
        <v>7628</v>
      </c>
      <c r="G2201" s="3" t="s">
        <v>7633</v>
      </c>
    </row>
    <row r="2202" spans="1:7">
      <c r="A2202" s="2">
        <v>80</v>
      </c>
      <c r="B2202" s="2" t="s">
        <v>289</v>
      </c>
      <c r="C2202" s="2">
        <v>207</v>
      </c>
      <c r="D2202" s="2" t="s">
        <v>749</v>
      </c>
      <c r="E2202" s="2" t="s">
        <v>7640</v>
      </c>
      <c r="F2202" s="2" t="s">
        <v>7611</v>
      </c>
      <c r="G2202" s="2" t="s">
        <v>7617</v>
      </c>
    </row>
    <row r="2203" spans="1:7">
      <c r="A2203" s="3">
        <v>80</v>
      </c>
      <c r="B2203" s="3" t="s">
        <v>289</v>
      </c>
      <c r="C2203" s="3">
        <v>208</v>
      </c>
      <c r="D2203" s="3" t="s">
        <v>754</v>
      </c>
      <c r="E2203" s="3" t="s">
        <v>7620</v>
      </c>
      <c r="F2203" s="3" t="s">
        <v>7628</v>
      </c>
      <c r="G2203" s="3" t="s">
        <v>7609</v>
      </c>
    </row>
    <row r="2204" spans="1:7">
      <c r="A2204" s="2">
        <v>80</v>
      </c>
      <c r="B2204" s="2" t="s">
        <v>289</v>
      </c>
      <c r="C2204" s="2">
        <v>209</v>
      </c>
      <c r="D2204" s="2" t="s">
        <v>758</v>
      </c>
      <c r="E2204" s="2" t="s">
        <v>7620</v>
      </c>
      <c r="F2204" s="2" t="s">
        <v>7652</v>
      </c>
      <c r="G2204" s="2" t="s">
        <v>7633</v>
      </c>
    </row>
    <row r="2205" spans="1:7">
      <c r="A2205" s="3">
        <v>80</v>
      </c>
      <c r="B2205" s="3" t="s">
        <v>289</v>
      </c>
      <c r="C2205" s="3">
        <v>221</v>
      </c>
      <c r="D2205" s="3" t="s">
        <v>813</v>
      </c>
      <c r="E2205" s="3" t="s">
        <v>7640</v>
      </c>
      <c r="F2205" s="3" t="s">
        <v>7649</v>
      </c>
      <c r="G2205" s="3" t="s">
        <v>7619</v>
      </c>
    </row>
    <row r="2206" spans="1:7">
      <c r="A2206" s="2">
        <v>80</v>
      </c>
      <c r="B2206" s="2" t="s">
        <v>289</v>
      </c>
      <c r="C2206" s="2">
        <v>264</v>
      </c>
      <c r="D2206" s="2" t="s">
        <v>775</v>
      </c>
      <c r="E2206" s="2" t="s">
        <v>7620</v>
      </c>
      <c r="F2206" s="2" t="s">
        <v>7659</v>
      </c>
      <c r="G2206" s="2" t="s">
        <v>7617</v>
      </c>
    </row>
    <row r="2207" spans="1:7">
      <c r="A2207" s="3">
        <v>80</v>
      </c>
      <c r="B2207" s="3" t="s">
        <v>289</v>
      </c>
      <c r="C2207" s="3">
        <v>312</v>
      </c>
      <c r="D2207" s="3" t="s">
        <v>949</v>
      </c>
      <c r="E2207" s="3" t="s">
        <v>7608</v>
      </c>
      <c r="F2207" s="3" t="s">
        <v>7659</v>
      </c>
      <c r="G2207" s="3" t="s">
        <v>7625</v>
      </c>
    </row>
    <row r="2208" spans="1:7">
      <c r="A2208" s="2">
        <v>80</v>
      </c>
      <c r="B2208" s="2" t="s">
        <v>289</v>
      </c>
      <c r="C2208" s="2">
        <v>341</v>
      </c>
      <c r="D2208" s="2" t="s">
        <v>1052</v>
      </c>
      <c r="E2208" s="2" t="s">
        <v>7620</v>
      </c>
      <c r="F2208" s="2" t="s">
        <v>7649</v>
      </c>
      <c r="G2208" s="2" t="s">
        <v>7609</v>
      </c>
    </row>
    <row r="2209" spans="1:7">
      <c r="A2209" s="3">
        <v>80</v>
      </c>
      <c r="B2209" s="3" t="s">
        <v>289</v>
      </c>
      <c r="C2209" s="3">
        <v>343</v>
      </c>
      <c r="D2209" s="3" t="s">
        <v>977</v>
      </c>
      <c r="E2209" s="3" t="s">
        <v>7620</v>
      </c>
      <c r="F2209" s="3" t="s">
        <v>7659</v>
      </c>
      <c r="G2209" s="3" t="s">
        <v>7609</v>
      </c>
    </row>
    <row r="2210" spans="1:7">
      <c r="A2210" s="2">
        <v>81</v>
      </c>
      <c r="B2210" s="2" t="s">
        <v>308</v>
      </c>
      <c r="C2210" s="2">
        <v>97</v>
      </c>
      <c r="D2210" s="2" t="s">
        <v>457</v>
      </c>
      <c r="E2210" s="2" t="s">
        <v>7620</v>
      </c>
      <c r="F2210" s="2" t="s">
        <v>7649</v>
      </c>
      <c r="G2210" s="2" t="s">
        <v>7617</v>
      </c>
    </row>
    <row r="2211" spans="1:7">
      <c r="A2211" s="3">
        <v>81</v>
      </c>
      <c r="B2211" s="3" t="s">
        <v>308</v>
      </c>
      <c r="C2211" s="3">
        <v>101</v>
      </c>
      <c r="D2211" s="3" t="s">
        <v>395</v>
      </c>
      <c r="E2211" s="3" t="s">
        <v>7620</v>
      </c>
      <c r="F2211" s="3" t="s">
        <v>7649</v>
      </c>
      <c r="G2211" s="3" t="s">
        <v>7633</v>
      </c>
    </row>
    <row r="2212" spans="1:7">
      <c r="A2212" s="2">
        <v>81</v>
      </c>
      <c r="B2212" s="2" t="s">
        <v>308</v>
      </c>
      <c r="C2212" s="2">
        <v>103</v>
      </c>
      <c r="D2212" s="2" t="s">
        <v>384</v>
      </c>
      <c r="E2212" s="2" t="s">
        <v>7620</v>
      </c>
      <c r="F2212" s="2" t="s">
        <v>7650</v>
      </c>
      <c r="G2212" s="2" t="s">
        <v>7625</v>
      </c>
    </row>
    <row r="2213" spans="1:7">
      <c r="A2213" s="3">
        <v>81</v>
      </c>
      <c r="B2213" s="3" t="s">
        <v>308</v>
      </c>
      <c r="C2213" s="3">
        <v>191</v>
      </c>
      <c r="D2213" s="3" t="s">
        <v>719</v>
      </c>
      <c r="E2213" s="3" t="s">
        <v>7620</v>
      </c>
      <c r="F2213" s="3" t="s">
        <v>7649</v>
      </c>
      <c r="G2213" s="3" t="s">
        <v>7609</v>
      </c>
    </row>
    <row r="2214" spans="1:7">
      <c r="A2214" s="2">
        <v>81</v>
      </c>
      <c r="B2214" s="2" t="s">
        <v>308</v>
      </c>
      <c r="C2214" s="2">
        <v>195</v>
      </c>
      <c r="D2214" s="2" t="s">
        <v>734</v>
      </c>
      <c r="E2214" s="2" t="s">
        <v>7620</v>
      </c>
      <c r="F2214" s="2" t="s">
        <v>7649</v>
      </c>
      <c r="G2214" s="2" t="s">
        <v>7633</v>
      </c>
    </row>
    <row r="2215" spans="1:7">
      <c r="A2215" s="3">
        <v>81</v>
      </c>
      <c r="B2215" s="3" t="s">
        <v>308</v>
      </c>
      <c r="C2215" s="3">
        <v>198</v>
      </c>
      <c r="D2215" s="3" t="s">
        <v>698</v>
      </c>
      <c r="E2215" s="3" t="s">
        <v>7620</v>
      </c>
      <c r="F2215" s="3" t="s">
        <v>7649</v>
      </c>
      <c r="G2215" s="3" t="s">
        <v>7633</v>
      </c>
    </row>
    <row r="2216" spans="1:7">
      <c r="A2216" s="2">
        <v>81</v>
      </c>
      <c r="B2216" s="2" t="s">
        <v>308</v>
      </c>
      <c r="C2216" s="2">
        <v>199</v>
      </c>
      <c r="D2216" s="2" t="s">
        <v>702</v>
      </c>
      <c r="E2216" s="2" t="s">
        <v>7620</v>
      </c>
      <c r="F2216" s="2" t="s">
        <v>7649</v>
      </c>
      <c r="G2216" s="2" t="s">
        <v>7617</v>
      </c>
    </row>
    <row r="2217" spans="1:7">
      <c r="A2217" s="3">
        <v>81</v>
      </c>
      <c r="B2217" s="3" t="s">
        <v>308</v>
      </c>
      <c r="C2217" s="3">
        <v>200</v>
      </c>
      <c r="D2217" s="3" t="s">
        <v>707</v>
      </c>
      <c r="E2217" s="3" t="s">
        <v>7620</v>
      </c>
      <c r="F2217" s="3" t="s">
        <v>7649</v>
      </c>
      <c r="G2217" s="3" t="s">
        <v>7633</v>
      </c>
    </row>
    <row r="2218" spans="1:7">
      <c r="A2218" s="2">
        <v>81</v>
      </c>
      <c r="B2218" s="2" t="s">
        <v>308</v>
      </c>
      <c r="C2218" s="2">
        <v>205</v>
      </c>
      <c r="D2218" s="2" t="s">
        <v>746</v>
      </c>
      <c r="E2218" s="2" t="s">
        <v>7620</v>
      </c>
      <c r="F2218" s="2" t="s">
        <v>7611</v>
      </c>
      <c r="G2218" s="2" t="s">
        <v>7621</v>
      </c>
    </row>
    <row r="2219" spans="1:7">
      <c r="A2219" s="3">
        <v>81</v>
      </c>
      <c r="B2219" s="3" t="s">
        <v>308</v>
      </c>
      <c r="C2219" s="3">
        <v>207</v>
      </c>
      <c r="D2219" s="3" t="s">
        <v>749</v>
      </c>
      <c r="E2219" s="3" t="s">
        <v>7620</v>
      </c>
      <c r="F2219" s="3" t="s">
        <v>7611</v>
      </c>
      <c r="G2219" s="3" t="s">
        <v>7622</v>
      </c>
    </row>
    <row r="2220" spans="1:7">
      <c r="A2220" s="2">
        <v>81</v>
      </c>
      <c r="B2220" s="2" t="s">
        <v>308</v>
      </c>
      <c r="C2220" s="2">
        <v>208</v>
      </c>
      <c r="D2220" s="2" t="s">
        <v>754</v>
      </c>
      <c r="E2220" s="2" t="s">
        <v>7620</v>
      </c>
      <c r="F2220" s="2" t="s">
        <v>7611</v>
      </c>
      <c r="G2220" s="2" t="s">
        <v>7622</v>
      </c>
    </row>
    <row r="2221" spans="1:7">
      <c r="A2221" s="3">
        <v>81</v>
      </c>
      <c r="B2221" s="3" t="s">
        <v>308</v>
      </c>
      <c r="C2221" s="3">
        <v>209</v>
      </c>
      <c r="D2221" s="3" t="s">
        <v>758</v>
      </c>
      <c r="E2221" s="3" t="s">
        <v>7620</v>
      </c>
      <c r="F2221" s="3" t="s">
        <v>7650</v>
      </c>
      <c r="G2221" s="3" t="s">
        <v>7621</v>
      </c>
    </row>
    <row r="2222" spans="1:7">
      <c r="A2222" s="2">
        <v>81</v>
      </c>
      <c r="B2222" s="2" t="s">
        <v>308</v>
      </c>
      <c r="C2222" s="2">
        <v>221</v>
      </c>
      <c r="D2222" s="2" t="s">
        <v>813</v>
      </c>
      <c r="E2222" s="2" t="s">
        <v>7696</v>
      </c>
      <c r="F2222" s="2" t="s">
        <v>7649</v>
      </c>
      <c r="G2222" s="2" t="s">
        <v>7634</v>
      </c>
    </row>
    <row r="2223" spans="1:7">
      <c r="A2223" s="3">
        <v>81</v>
      </c>
      <c r="B2223" s="3" t="s">
        <v>308</v>
      </c>
      <c r="C2223" s="3">
        <v>264</v>
      </c>
      <c r="D2223" s="3" t="s">
        <v>775</v>
      </c>
      <c r="E2223" s="3" t="s">
        <v>7620</v>
      </c>
      <c r="F2223" s="3" t="s">
        <v>7649</v>
      </c>
      <c r="G2223" s="3" t="s">
        <v>7633</v>
      </c>
    </row>
    <row r="2224" spans="1:7">
      <c r="A2224" s="2">
        <v>81</v>
      </c>
      <c r="B2224" s="2" t="s">
        <v>308</v>
      </c>
      <c r="C2224" s="2">
        <v>341</v>
      </c>
      <c r="D2224" s="2" t="s">
        <v>1052</v>
      </c>
      <c r="E2224" s="2" t="s">
        <v>7620</v>
      </c>
      <c r="F2224" s="2" t="s">
        <v>7649</v>
      </c>
      <c r="G2224" s="2" t="s">
        <v>7617</v>
      </c>
    </row>
    <row r="2225" spans="1:7">
      <c r="A2225" s="3">
        <v>81</v>
      </c>
      <c r="B2225" s="3" t="s">
        <v>308</v>
      </c>
      <c r="C2225" s="3">
        <v>343</v>
      </c>
      <c r="D2225" s="3" t="s">
        <v>977</v>
      </c>
      <c r="E2225" s="3" t="s">
        <v>7620</v>
      </c>
      <c r="F2225" s="3" t="s">
        <v>7649</v>
      </c>
      <c r="G2225" s="3" t="s">
        <v>7622</v>
      </c>
    </row>
    <row r="2226" spans="1:7">
      <c r="A2226" s="2">
        <v>82</v>
      </c>
      <c r="B2226" s="2" t="s">
        <v>277</v>
      </c>
      <c r="C2226" s="2">
        <v>97</v>
      </c>
      <c r="D2226" s="2" t="s">
        <v>457</v>
      </c>
      <c r="E2226" s="2" t="s">
        <v>7618</v>
      </c>
      <c r="F2226" s="2" t="s">
        <v>7611</v>
      </c>
      <c r="G2226" s="2" t="s">
        <v>7639</v>
      </c>
    </row>
    <row r="2227" spans="1:7">
      <c r="A2227" s="3">
        <v>82</v>
      </c>
      <c r="B2227" s="3" t="s">
        <v>277</v>
      </c>
      <c r="C2227" s="3">
        <v>101</v>
      </c>
      <c r="D2227" s="3" t="s">
        <v>395</v>
      </c>
      <c r="E2227" s="3" t="s">
        <v>7620</v>
      </c>
      <c r="F2227" s="3" t="s">
        <v>7611</v>
      </c>
      <c r="G2227" s="3" t="s">
        <v>7621</v>
      </c>
    </row>
    <row r="2228" spans="1:7">
      <c r="A2228" s="2">
        <v>82</v>
      </c>
      <c r="B2228" s="2" t="s">
        <v>277</v>
      </c>
      <c r="C2228" s="2">
        <v>191</v>
      </c>
      <c r="D2228" s="2" t="s">
        <v>719</v>
      </c>
      <c r="E2228" s="2" t="s">
        <v>7618</v>
      </c>
      <c r="F2228" s="2" t="s">
        <v>7611</v>
      </c>
      <c r="G2228" s="2" t="s">
        <v>7636</v>
      </c>
    </row>
    <row r="2229" spans="1:7">
      <c r="A2229" s="3">
        <v>82</v>
      </c>
      <c r="B2229" s="3" t="s">
        <v>277</v>
      </c>
      <c r="C2229" s="3">
        <v>195</v>
      </c>
      <c r="D2229" s="3" t="s">
        <v>734</v>
      </c>
      <c r="E2229" s="3" t="s">
        <v>7618</v>
      </c>
      <c r="F2229" s="3" t="s">
        <v>7611</v>
      </c>
      <c r="G2229" s="3" t="s">
        <v>7636</v>
      </c>
    </row>
    <row r="2230" spans="1:7">
      <c r="A2230" s="2">
        <v>82</v>
      </c>
      <c r="B2230" s="2" t="s">
        <v>277</v>
      </c>
      <c r="C2230" s="2">
        <v>198</v>
      </c>
      <c r="D2230" s="2" t="s">
        <v>698</v>
      </c>
      <c r="E2230" s="2" t="s">
        <v>7620</v>
      </c>
      <c r="F2230" s="2" t="s">
        <v>7611</v>
      </c>
      <c r="G2230" s="2" t="s">
        <v>7621</v>
      </c>
    </row>
    <row r="2231" spans="1:7">
      <c r="A2231" s="3">
        <v>82</v>
      </c>
      <c r="B2231" s="3" t="s">
        <v>277</v>
      </c>
      <c r="C2231" s="3">
        <v>199</v>
      </c>
      <c r="D2231" s="3" t="s">
        <v>702</v>
      </c>
      <c r="E2231" s="3" t="s">
        <v>7618</v>
      </c>
      <c r="F2231" s="3" t="s">
        <v>7611</v>
      </c>
      <c r="G2231" s="3" t="s">
        <v>7636</v>
      </c>
    </row>
    <row r="2232" spans="1:7">
      <c r="A2232" s="2">
        <v>82</v>
      </c>
      <c r="B2232" s="2" t="s">
        <v>277</v>
      </c>
      <c r="C2232" s="2">
        <v>200</v>
      </c>
      <c r="D2232" s="2" t="s">
        <v>707</v>
      </c>
      <c r="E2232" s="2" t="s">
        <v>7620</v>
      </c>
      <c r="F2232" s="2" t="s">
        <v>7611</v>
      </c>
      <c r="G2232" s="2" t="s">
        <v>7621</v>
      </c>
    </row>
    <row r="2233" spans="1:7">
      <c r="A2233" s="3">
        <v>82</v>
      </c>
      <c r="B2233" s="3" t="s">
        <v>277</v>
      </c>
      <c r="C2233" s="3">
        <v>205</v>
      </c>
      <c r="D2233" s="3" t="s">
        <v>746</v>
      </c>
      <c r="E2233" s="3" t="s">
        <v>7620</v>
      </c>
      <c r="F2233" s="3" t="s">
        <v>7611</v>
      </c>
      <c r="G2233" s="3" t="s">
        <v>7622</v>
      </c>
    </row>
    <row r="2234" spans="1:7">
      <c r="A2234" s="2">
        <v>82</v>
      </c>
      <c r="B2234" s="2" t="s">
        <v>277</v>
      </c>
      <c r="C2234" s="2">
        <v>207</v>
      </c>
      <c r="D2234" s="2" t="s">
        <v>749</v>
      </c>
      <c r="E2234" s="2" t="s">
        <v>7618</v>
      </c>
      <c r="F2234" s="2" t="s">
        <v>7611</v>
      </c>
      <c r="G2234" s="2" t="s">
        <v>7636</v>
      </c>
    </row>
    <row r="2235" spans="1:7">
      <c r="A2235" s="3">
        <v>82</v>
      </c>
      <c r="B2235" s="3" t="s">
        <v>277</v>
      </c>
      <c r="C2235" s="3">
        <v>208</v>
      </c>
      <c r="D2235" s="3" t="s">
        <v>754</v>
      </c>
      <c r="E2235" s="3" t="s">
        <v>7620</v>
      </c>
      <c r="F2235" s="3" t="s">
        <v>7611</v>
      </c>
      <c r="G2235" s="3" t="s">
        <v>7621</v>
      </c>
    </row>
    <row r="2236" spans="1:7">
      <c r="A2236" s="2">
        <v>82</v>
      </c>
      <c r="B2236" s="2" t="s">
        <v>277</v>
      </c>
      <c r="C2236" s="2">
        <v>209</v>
      </c>
      <c r="D2236" s="2" t="s">
        <v>758</v>
      </c>
      <c r="E2236" s="2" t="s">
        <v>7618</v>
      </c>
      <c r="F2236" s="2" t="s">
        <v>7608</v>
      </c>
      <c r="G2236" s="2" t="s">
        <v>7609</v>
      </c>
    </row>
    <row r="2237" spans="1:7">
      <c r="A2237" s="3">
        <v>82</v>
      </c>
      <c r="B2237" s="3" t="s">
        <v>277</v>
      </c>
      <c r="C2237" s="3">
        <v>221</v>
      </c>
      <c r="D2237" s="3" t="s">
        <v>813</v>
      </c>
      <c r="E2237" s="3" t="s">
        <v>7697</v>
      </c>
      <c r="F2237" s="3" t="s">
        <v>7611</v>
      </c>
      <c r="G2237" s="3" t="s">
        <v>7624</v>
      </c>
    </row>
    <row r="2238" spans="1:7">
      <c r="A2238" s="2">
        <v>82</v>
      </c>
      <c r="B2238" s="2" t="s">
        <v>277</v>
      </c>
      <c r="C2238" s="2">
        <v>264</v>
      </c>
      <c r="D2238" s="2" t="s">
        <v>775</v>
      </c>
      <c r="E2238" s="2" t="s">
        <v>7618</v>
      </c>
      <c r="F2238" s="2" t="s">
        <v>7611</v>
      </c>
      <c r="G2238" s="2" t="s">
        <v>7617</v>
      </c>
    </row>
    <row r="2239" spans="1:7">
      <c r="A2239" s="3">
        <v>82</v>
      </c>
      <c r="B2239" s="3" t="s">
        <v>277</v>
      </c>
      <c r="C2239" s="3">
        <v>341</v>
      </c>
      <c r="D2239" s="3" t="s">
        <v>1052</v>
      </c>
      <c r="E2239" s="3" t="s">
        <v>7620</v>
      </c>
      <c r="F2239" s="3" t="s">
        <v>7611</v>
      </c>
      <c r="G2239" s="3" t="s">
        <v>7622</v>
      </c>
    </row>
    <row r="2240" spans="1:7">
      <c r="A2240" s="2">
        <v>82</v>
      </c>
      <c r="B2240" s="2" t="s">
        <v>277</v>
      </c>
      <c r="C2240" s="2">
        <v>343</v>
      </c>
      <c r="D2240" s="2" t="s">
        <v>977</v>
      </c>
      <c r="E2240" s="2" t="s">
        <v>7620</v>
      </c>
      <c r="F2240" s="2" t="s">
        <v>7611</v>
      </c>
      <c r="G2240" s="2" t="s">
        <v>7621</v>
      </c>
    </row>
    <row r="2241" spans="1:7">
      <c r="A2241" s="3">
        <v>83</v>
      </c>
      <c r="B2241" s="3" t="s">
        <v>304</v>
      </c>
      <c r="C2241" s="3">
        <v>97</v>
      </c>
      <c r="D2241" s="3" t="s">
        <v>457</v>
      </c>
      <c r="E2241" s="3" t="s">
        <v>7620</v>
      </c>
      <c r="F2241" s="3" t="s">
        <v>7611</v>
      </c>
      <c r="G2241" s="3" t="s">
        <v>7633</v>
      </c>
    </row>
    <row r="2242" spans="1:7">
      <c r="A2242" s="2">
        <v>83</v>
      </c>
      <c r="B2242" s="2" t="s">
        <v>304</v>
      </c>
      <c r="C2242" s="2">
        <v>101</v>
      </c>
      <c r="D2242" s="2" t="s">
        <v>395</v>
      </c>
      <c r="E2242" s="2" t="s">
        <v>7620</v>
      </c>
      <c r="F2242" s="2" t="s">
        <v>7611</v>
      </c>
      <c r="G2242" s="2" t="s">
        <v>7621</v>
      </c>
    </row>
    <row r="2243" spans="1:7">
      <c r="A2243" s="3">
        <v>83</v>
      </c>
      <c r="B2243" s="3" t="s">
        <v>304</v>
      </c>
      <c r="C2243" s="3">
        <v>191</v>
      </c>
      <c r="D2243" s="3" t="s">
        <v>719</v>
      </c>
      <c r="E2243" s="3" t="s">
        <v>7620</v>
      </c>
      <c r="F2243" s="3" t="s">
        <v>7611</v>
      </c>
      <c r="G2243" s="3" t="s">
        <v>7633</v>
      </c>
    </row>
    <row r="2244" spans="1:7">
      <c r="A2244" s="2">
        <v>83</v>
      </c>
      <c r="B2244" s="2" t="s">
        <v>304</v>
      </c>
      <c r="C2244" s="2">
        <v>195</v>
      </c>
      <c r="D2244" s="2" t="s">
        <v>734</v>
      </c>
      <c r="E2244" s="2" t="s">
        <v>7620</v>
      </c>
      <c r="F2244" s="2" t="s">
        <v>7611</v>
      </c>
      <c r="G2244" s="2" t="s">
        <v>7621</v>
      </c>
    </row>
    <row r="2245" spans="1:7">
      <c r="A2245" s="3">
        <v>83</v>
      </c>
      <c r="B2245" s="3" t="s">
        <v>304</v>
      </c>
      <c r="C2245" s="3">
        <v>198</v>
      </c>
      <c r="D2245" s="3" t="s">
        <v>698</v>
      </c>
      <c r="E2245" s="3" t="s">
        <v>7620</v>
      </c>
      <c r="F2245" s="3" t="s">
        <v>7611</v>
      </c>
      <c r="G2245" s="3" t="s">
        <v>7622</v>
      </c>
    </row>
    <row r="2246" spans="1:7">
      <c r="A2246" s="2">
        <v>83</v>
      </c>
      <c r="B2246" s="2" t="s">
        <v>304</v>
      </c>
      <c r="C2246" s="2">
        <v>199</v>
      </c>
      <c r="D2246" s="2" t="s">
        <v>702</v>
      </c>
      <c r="E2246" s="2" t="s">
        <v>7620</v>
      </c>
      <c r="F2246" s="2" t="s">
        <v>7611</v>
      </c>
      <c r="G2246" s="2" t="s">
        <v>7622</v>
      </c>
    </row>
    <row r="2247" spans="1:7">
      <c r="A2247" s="3">
        <v>83</v>
      </c>
      <c r="B2247" s="3" t="s">
        <v>304</v>
      </c>
      <c r="C2247" s="3">
        <v>200</v>
      </c>
      <c r="D2247" s="3" t="s">
        <v>707</v>
      </c>
      <c r="E2247" s="3" t="s">
        <v>7620</v>
      </c>
      <c r="F2247" s="3" t="s">
        <v>7611</v>
      </c>
      <c r="G2247" s="3" t="s">
        <v>7622</v>
      </c>
    </row>
    <row r="2248" spans="1:7">
      <c r="A2248" s="2">
        <v>83</v>
      </c>
      <c r="B2248" s="2" t="s">
        <v>304</v>
      </c>
      <c r="C2248" s="2">
        <v>205</v>
      </c>
      <c r="D2248" s="2" t="s">
        <v>746</v>
      </c>
      <c r="E2248" s="2" t="s">
        <v>7620</v>
      </c>
      <c r="F2248" s="2" t="s">
        <v>7611</v>
      </c>
      <c r="G2248" s="2" t="s">
        <v>7621</v>
      </c>
    </row>
    <row r="2249" spans="1:7">
      <c r="A2249" s="3">
        <v>83</v>
      </c>
      <c r="B2249" s="3" t="s">
        <v>304</v>
      </c>
      <c r="C2249" s="3">
        <v>207</v>
      </c>
      <c r="D2249" s="3" t="s">
        <v>749</v>
      </c>
      <c r="E2249" s="3" t="s">
        <v>7620</v>
      </c>
      <c r="F2249" s="3" t="s">
        <v>7611</v>
      </c>
      <c r="G2249" s="3" t="s">
        <v>7621</v>
      </c>
    </row>
    <row r="2250" spans="1:7">
      <c r="A2250" s="2">
        <v>83</v>
      </c>
      <c r="B2250" s="2" t="s">
        <v>304</v>
      </c>
      <c r="C2250" s="2">
        <v>208</v>
      </c>
      <c r="D2250" s="2" t="s">
        <v>754</v>
      </c>
      <c r="E2250" s="2" t="s">
        <v>7620</v>
      </c>
      <c r="F2250" s="2" t="s">
        <v>7611</v>
      </c>
      <c r="G2250" s="2" t="s">
        <v>7622</v>
      </c>
    </row>
    <row r="2251" spans="1:7">
      <c r="A2251" s="3">
        <v>83</v>
      </c>
      <c r="B2251" s="3" t="s">
        <v>304</v>
      </c>
      <c r="C2251" s="3">
        <v>221</v>
      </c>
      <c r="D2251" s="3" t="s">
        <v>813</v>
      </c>
      <c r="E2251" s="3" t="s">
        <v>7696</v>
      </c>
      <c r="F2251" s="3" t="s">
        <v>7611</v>
      </c>
      <c r="G2251" s="3" t="s">
        <v>7617</v>
      </c>
    </row>
    <row r="2252" spans="1:7">
      <c r="A2252" s="2">
        <v>83</v>
      </c>
      <c r="B2252" s="2" t="s">
        <v>304</v>
      </c>
      <c r="C2252" s="2">
        <v>264</v>
      </c>
      <c r="D2252" s="2" t="s">
        <v>775</v>
      </c>
      <c r="E2252" s="2" t="s">
        <v>7620</v>
      </c>
      <c r="F2252" s="2" t="s">
        <v>7611</v>
      </c>
      <c r="G2252" s="2" t="s">
        <v>7621</v>
      </c>
    </row>
    <row r="2253" spans="1:7">
      <c r="A2253" s="3">
        <v>83</v>
      </c>
      <c r="B2253" s="3" t="s">
        <v>304</v>
      </c>
      <c r="C2253" s="3">
        <v>341</v>
      </c>
      <c r="D2253" s="3" t="s">
        <v>1052</v>
      </c>
      <c r="E2253" s="3" t="s">
        <v>7620</v>
      </c>
      <c r="F2253" s="3" t="s">
        <v>7611</v>
      </c>
      <c r="G2253" s="3" t="s">
        <v>7622</v>
      </c>
    </row>
    <row r="2254" spans="1:7">
      <c r="A2254" s="2">
        <v>83</v>
      </c>
      <c r="B2254" s="2" t="s">
        <v>304</v>
      </c>
      <c r="C2254" s="2">
        <v>343</v>
      </c>
      <c r="D2254" s="2" t="s">
        <v>977</v>
      </c>
      <c r="E2254" s="2" t="s">
        <v>7620</v>
      </c>
      <c r="F2254" s="2" t="s">
        <v>7611</v>
      </c>
      <c r="G2254" s="2" t="s">
        <v>7625</v>
      </c>
    </row>
    <row r="2255" spans="1:7">
      <c r="A2255" s="3">
        <v>84</v>
      </c>
      <c r="B2255" s="3" t="s">
        <v>346</v>
      </c>
      <c r="C2255" s="3">
        <v>103</v>
      </c>
      <c r="D2255" s="3" t="s">
        <v>384</v>
      </c>
      <c r="E2255" s="3" t="s">
        <v>7726</v>
      </c>
      <c r="F2255" s="3" t="s">
        <v>7650</v>
      </c>
      <c r="G2255" s="3" t="s">
        <v>7621</v>
      </c>
    </row>
    <row r="2256" spans="1:7">
      <c r="A2256" s="2">
        <v>84</v>
      </c>
      <c r="B2256" s="2" t="s">
        <v>346</v>
      </c>
      <c r="C2256" s="2">
        <v>189</v>
      </c>
      <c r="D2256" s="2" t="s">
        <v>742</v>
      </c>
      <c r="E2256" s="2" t="s">
        <v>7653</v>
      </c>
      <c r="F2256" s="2" t="s">
        <v>7608</v>
      </c>
      <c r="G2256" s="2" t="s">
        <v>7621</v>
      </c>
    </row>
    <row r="2257" spans="1:7">
      <c r="A2257" s="3">
        <v>84</v>
      </c>
      <c r="B2257" s="3" t="s">
        <v>346</v>
      </c>
      <c r="C2257" s="3">
        <v>192</v>
      </c>
      <c r="D2257" s="3" t="s">
        <v>727</v>
      </c>
      <c r="E2257" s="3" t="s">
        <v>7726</v>
      </c>
      <c r="F2257" s="3" t="s">
        <v>7650</v>
      </c>
      <c r="G2257" s="3" t="s">
        <v>7625</v>
      </c>
    </row>
    <row r="2258" spans="1:7">
      <c r="A2258" s="2">
        <v>84</v>
      </c>
      <c r="B2258" s="2" t="s">
        <v>346</v>
      </c>
      <c r="C2258" s="2">
        <v>199</v>
      </c>
      <c r="D2258" s="2" t="s">
        <v>702</v>
      </c>
      <c r="E2258" s="2" t="s">
        <v>7653</v>
      </c>
      <c r="F2258" s="2" t="s">
        <v>7650</v>
      </c>
      <c r="G2258" s="2" t="s">
        <v>7622</v>
      </c>
    </row>
    <row r="2259" spans="1:7">
      <c r="A2259" s="3">
        <v>84</v>
      </c>
      <c r="B2259" s="3" t="s">
        <v>346</v>
      </c>
      <c r="C2259" s="3">
        <v>200</v>
      </c>
      <c r="D2259" s="3" t="s">
        <v>707</v>
      </c>
      <c r="E2259" s="3" t="s">
        <v>7653</v>
      </c>
      <c r="F2259" s="3" t="s">
        <v>7650</v>
      </c>
      <c r="G2259" s="3" t="s">
        <v>7633</v>
      </c>
    </row>
    <row r="2260" spans="1:7">
      <c r="A2260" s="2">
        <v>85</v>
      </c>
      <c r="B2260" s="2" t="s">
        <v>334</v>
      </c>
      <c r="C2260" s="2">
        <v>97</v>
      </c>
      <c r="D2260" s="2" t="s">
        <v>457</v>
      </c>
      <c r="E2260" s="2" t="s">
        <v>7620</v>
      </c>
      <c r="F2260" s="2" t="s">
        <v>7649</v>
      </c>
      <c r="G2260" s="2" t="s">
        <v>7609</v>
      </c>
    </row>
    <row r="2261" spans="1:7">
      <c r="A2261" s="3">
        <v>85</v>
      </c>
      <c r="B2261" s="3" t="s">
        <v>334</v>
      </c>
      <c r="C2261" s="3">
        <v>101</v>
      </c>
      <c r="D2261" s="3" t="s">
        <v>395</v>
      </c>
      <c r="E2261" s="3" t="s">
        <v>7620</v>
      </c>
      <c r="F2261" s="3" t="s">
        <v>7649</v>
      </c>
      <c r="G2261" s="3" t="s">
        <v>7622</v>
      </c>
    </row>
    <row r="2262" spans="1:7">
      <c r="A2262" s="2">
        <v>85</v>
      </c>
      <c r="B2262" s="2" t="s">
        <v>334</v>
      </c>
      <c r="C2262" s="2">
        <v>103</v>
      </c>
      <c r="D2262" s="2" t="s">
        <v>384</v>
      </c>
      <c r="E2262" s="2" t="s">
        <v>7725</v>
      </c>
      <c r="F2262" s="2" t="s">
        <v>7650</v>
      </c>
      <c r="G2262" s="2" t="s">
        <v>7636</v>
      </c>
    </row>
    <row r="2263" spans="1:7">
      <c r="A2263" s="3">
        <v>85</v>
      </c>
      <c r="B2263" s="3" t="s">
        <v>334</v>
      </c>
      <c r="C2263" s="3">
        <v>189</v>
      </c>
      <c r="D2263" s="3" t="s">
        <v>742</v>
      </c>
      <c r="E2263" s="3" t="s">
        <v>7653</v>
      </c>
      <c r="F2263" s="3" t="s">
        <v>7608</v>
      </c>
      <c r="G2263" s="3" t="s">
        <v>7622</v>
      </c>
    </row>
    <row r="2264" spans="1:7">
      <c r="A2264" s="2">
        <v>85</v>
      </c>
      <c r="B2264" s="2" t="s">
        <v>334</v>
      </c>
      <c r="C2264" s="2">
        <v>191</v>
      </c>
      <c r="D2264" s="2" t="s">
        <v>719</v>
      </c>
      <c r="E2264" s="2" t="s">
        <v>7620</v>
      </c>
      <c r="F2264" s="2" t="s">
        <v>7649</v>
      </c>
      <c r="G2264" s="2" t="s">
        <v>7609</v>
      </c>
    </row>
    <row r="2265" spans="1:7">
      <c r="A2265" s="3">
        <v>85</v>
      </c>
      <c r="B2265" s="3" t="s">
        <v>334</v>
      </c>
      <c r="C2265" s="3">
        <v>192</v>
      </c>
      <c r="D2265" s="3" t="s">
        <v>727</v>
      </c>
      <c r="E2265" s="3" t="s">
        <v>7726</v>
      </c>
      <c r="F2265" s="3" t="s">
        <v>7650</v>
      </c>
      <c r="G2265" s="3" t="s">
        <v>7621</v>
      </c>
    </row>
    <row r="2266" spans="1:7">
      <c r="A2266" s="2">
        <v>85</v>
      </c>
      <c r="B2266" s="2" t="s">
        <v>334</v>
      </c>
      <c r="C2266" s="2">
        <v>195</v>
      </c>
      <c r="D2266" s="2" t="s">
        <v>734</v>
      </c>
      <c r="E2266" s="2" t="s">
        <v>7620</v>
      </c>
      <c r="F2266" s="2" t="s">
        <v>7649</v>
      </c>
      <c r="G2266" s="2" t="s">
        <v>7617</v>
      </c>
    </row>
    <row r="2267" spans="1:7">
      <c r="A2267" s="3">
        <v>85</v>
      </c>
      <c r="B2267" s="3" t="s">
        <v>334</v>
      </c>
      <c r="C2267" s="3">
        <v>198</v>
      </c>
      <c r="D2267" s="3" t="s">
        <v>698</v>
      </c>
      <c r="E2267" s="3" t="s">
        <v>7620</v>
      </c>
      <c r="F2267" s="3" t="s">
        <v>7649</v>
      </c>
      <c r="G2267" s="3" t="s">
        <v>7636</v>
      </c>
    </row>
    <row r="2268" spans="1:7">
      <c r="A2268" s="2">
        <v>85</v>
      </c>
      <c r="B2268" s="2" t="s">
        <v>334</v>
      </c>
      <c r="C2268" s="2">
        <v>199</v>
      </c>
      <c r="D2268" s="2" t="s">
        <v>702</v>
      </c>
      <c r="E2268" s="2" t="s">
        <v>7654</v>
      </c>
      <c r="F2268" s="2" t="s">
        <v>7649</v>
      </c>
      <c r="G2268" s="2" t="s">
        <v>7619</v>
      </c>
    </row>
    <row r="2269" spans="1:7">
      <c r="A2269" s="3">
        <v>85</v>
      </c>
      <c r="B2269" s="3" t="s">
        <v>334</v>
      </c>
      <c r="C2269" s="3">
        <v>200</v>
      </c>
      <c r="D2269" s="3" t="s">
        <v>707</v>
      </c>
      <c r="E2269" s="3" t="s">
        <v>7654</v>
      </c>
      <c r="F2269" s="3" t="s">
        <v>7649</v>
      </c>
      <c r="G2269" s="3" t="s">
        <v>7644</v>
      </c>
    </row>
    <row r="2270" spans="1:7">
      <c r="A2270" s="2">
        <v>85</v>
      </c>
      <c r="B2270" s="2" t="s">
        <v>334</v>
      </c>
      <c r="C2270" s="2">
        <v>205</v>
      </c>
      <c r="D2270" s="2" t="s">
        <v>746</v>
      </c>
      <c r="E2270" s="2" t="s">
        <v>7620</v>
      </c>
      <c r="F2270" s="2" t="s">
        <v>7611</v>
      </c>
      <c r="G2270" s="2" t="s">
        <v>7621</v>
      </c>
    </row>
    <row r="2271" spans="1:7">
      <c r="A2271" s="3">
        <v>85</v>
      </c>
      <c r="B2271" s="3" t="s">
        <v>334</v>
      </c>
      <c r="C2271" s="3">
        <v>207</v>
      </c>
      <c r="D2271" s="3" t="s">
        <v>749</v>
      </c>
      <c r="E2271" s="3" t="s">
        <v>7620</v>
      </c>
      <c r="F2271" s="3" t="s">
        <v>7611</v>
      </c>
      <c r="G2271" s="3" t="s">
        <v>7621</v>
      </c>
    </row>
    <row r="2272" spans="1:7">
      <c r="A2272" s="2">
        <v>85</v>
      </c>
      <c r="B2272" s="2" t="s">
        <v>334</v>
      </c>
      <c r="C2272" s="2">
        <v>208</v>
      </c>
      <c r="D2272" s="2" t="s">
        <v>754</v>
      </c>
      <c r="E2272" s="2" t="s">
        <v>7620</v>
      </c>
      <c r="F2272" s="2" t="s">
        <v>7611</v>
      </c>
      <c r="G2272" s="2" t="s">
        <v>7621</v>
      </c>
    </row>
    <row r="2273" spans="1:7">
      <c r="A2273" s="3">
        <v>85</v>
      </c>
      <c r="B2273" s="3" t="s">
        <v>334</v>
      </c>
      <c r="C2273" s="3">
        <v>209</v>
      </c>
      <c r="D2273" s="3" t="s">
        <v>758</v>
      </c>
      <c r="E2273" s="3" t="s">
        <v>7620</v>
      </c>
      <c r="F2273" s="3" t="s">
        <v>7650</v>
      </c>
      <c r="G2273" s="3" t="s">
        <v>7621</v>
      </c>
    </row>
    <row r="2274" spans="1:7">
      <c r="A2274" s="2">
        <v>85</v>
      </c>
      <c r="B2274" s="2" t="s">
        <v>334</v>
      </c>
      <c r="C2274" s="2">
        <v>221</v>
      </c>
      <c r="D2274" s="2" t="s">
        <v>813</v>
      </c>
      <c r="E2274" s="2" t="s">
        <v>7620</v>
      </c>
      <c r="F2274" s="2" t="s">
        <v>7649</v>
      </c>
      <c r="G2274" s="2" t="s">
        <v>7622</v>
      </c>
    </row>
    <row r="2275" spans="1:7">
      <c r="A2275" s="3">
        <v>85</v>
      </c>
      <c r="B2275" s="3" t="s">
        <v>334</v>
      </c>
      <c r="C2275" s="3">
        <v>264</v>
      </c>
      <c r="D2275" s="3" t="s">
        <v>775</v>
      </c>
      <c r="E2275" s="3" t="s">
        <v>7620</v>
      </c>
      <c r="F2275" s="3" t="s">
        <v>7649</v>
      </c>
      <c r="G2275" s="3" t="s">
        <v>7622</v>
      </c>
    </row>
    <row r="2276" spans="1:7">
      <c r="A2276" s="2">
        <v>85</v>
      </c>
      <c r="B2276" s="2" t="s">
        <v>334</v>
      </c>
      <c r="C2276" s="2">
        <v>341</v>
      </c>
      <c r="D2276" s="2" t="s">
        <v>1052</v>
      </c>
      <c r="E2276" s="2" t="s">
        <v>7620</v>
      </c>
      <c r="F2276" s="2" t="s">
        <v>7649</v>
      </c>
      <c r="G2276" s="2" t="s">
        <v>7622</v>
      </c>
    </row>
    <row r="2277" spans="1:7">
      <c r="A2277" s="3">
        <v>85</v>
      </c>
      <c r="B2277" s="3" t="s">
        <v>334</v>
      </c>
      <c r="C2277" s="3">
        <v>343</v>
      </c>
      <c r="D2277" s="3" t="s">
        <v>977</v>
      </c>
      <c r="E2277" s="3" t="s">
        <v>7620</v>
      </c>
      <c r="F2277" s="3" t="s">
        <v>7649</v>
      </c>
      <c r="G2277" s="3" t="s">
        <v>7622</v>
      </c>
    </row>
    <row r="2278" spans="1:7">
      <c r="A2278" s="2">
        <v>86</v>
      </c>
      <c r="B2278" s="2" t="s">
        <v>322</v>
      </c>
      <c r="C2278" s="2">
        <v>97</v>
      </c>
      <c r="D2278" s="2" t="s">
        <v>457</v>
      </c>
      <c r="E2278" s="2" t="s">
        <v>7618</v>
      </c>
      <c r="F2278" s="2" t="s">
        <v>7650</v>
      </c>
      <c r="G2278" s="2" t="s">
        <v>7619</v>
      </c>
    </row>
    <row r="2279" spans="1:7">
      <c r="A2279" s="3">
        <v>86</v>
      </c>
      <c r="B2279" s="3" t="s">
        <v>322</v>
      </c>
      <c r="C2279" s="3">
        <v>101</v>
      </c>
      <c r="D2279" s="3" t="s">
        <v>395</v>
      </c>
      <c r="E2279" s="3" t="s">
        <v>7620</v>
      </c>
      <c r="F2279" s="3" t="s">
        <v>7650</v>
      </c>
      <c r="G2279" s="3" t="s">
        <v>7621</v>
      </c>
    </row>
    <row r="2280" spans="1:7">
      <c r="A2280" s="2">
        <v>86</v>
      </c>
      <c r="B2280" s="2" t="s">
        <v>322</v>
      </c>
      <c r="C2280" s="2">
        <v>103</v>
      </c>
      <c r="D2280" s="2" t="s">
        <v>384</v>
      </c>
      <c r="E2280" s="2" t="s">
        <v>7725</v>
      </c>
      <c r="F2280" s="2" t="s">
        <v>7650</v>
      </c>
      <c r="G2280" s="2" t="s">
        <v>7609</v>
      </c>
    </row>
    <row r="2281" spans="1:7">
      <c r="A2281" s="3">
        <v>86</v>
      </c>
      <c r="B2281" s="3" t="s">
        <v>322</v>
      </c>
      <c r="C2281" s="3">
        <v>189</v>
      </c>
      <c r="D2281" s="3" t="s">
        <v>742</v>
      </c>
      <c r="E2281" s="3" t="s">
        <v>7653</v>
      </c>
      <c r="F2281" s="3" t="s">
        <v>7608</v>
      </c>
      <c r="G2281" s="3" t="s">
        <v>7625</v>
      </c>
    </row>
    <row r="2282" spans="1:7">
      <c r="A2282" s="2">
        <v>86</v>
      </c>
      <c r="B2282" s="2" t="s">
        <v>322</v>
      </c>
      <c r="C2282" s="2">
        <v>191</v>
      </c>
      <c r="D2282" s="2" t="s">
        <v>719</v>
      </c>
      <c r="E2282" s="2" t="s">
        <v>7618</v>
      </c>
      <c r="F2282" s="2" t="s">
        <v>7650</v>
      </c>
      <c r="G2282" s="2" t="s">
        <v>7619</v>
      </c>
    </row>
    <row r="2283" spans="1:7">
      <c r="A2283" s="3">
        <v>86</v>
      </c>
      <c r="B2283" s="3" t="s">
        <v>322</v>
      </c>
      <c r="C2283" s="3">
        <v>192</v>
      </c>
      <c r="D2283" s="3" t="s">
        <v>727</v>
      </c>
      <c r="E2283" s="3" t="s">
        <v>7726</v>
      </c>
      <c r="F2283" s="3" t="s">
        <v>7650</v>
      </c>
      <c r="G2283" s="3" t="s">
        <v>7621</v>
      </c>
    </row>
    <row r="2284" spans="1:7">
      <c r="A2284" s="2">
        <v>86</v>
      </c>
      <c r="B2284" s="2" t="s">
        <v>322</v>
      </c>
      <c r="C2284" s="2">
        <v>195</v>
      </c>
      <c r="D2284" s="2" t="s">
        <v>734</v>
      </c>
      <c r="E2284" s="2" t="s">
        <v>7618</v>
      </c>
      <c r="F2284" s="2" t="s">
        <v>7650</v>
      </c>
      <c r="G2284" s="2" t="s">
        <v>7619</v>
      </c>
    </row>
    <row r="2285" spans="1:7">
      <c r="A2285" s="3">
        <v>86</v>
      </c>
      <c r="B2285" s="3" t="s">
        <v>322</v>
      </c>
      <c r="C2285" s="3">
        <v>198</v>
      </c>
      <c r="D2285" s="3" t="s">
        <v>698</v>
      </c>
      <c r="E2285" s="3" t="s">
        <v>7620</v>
      </c>
      <c r="F2285" s="3" t="s">
        <v>7650</v>
      </c>
      <c r="G2285" s="3" t="s">
        <v>7633</v>
      </c>
    </row>
    <row r="2286" spans="1:7">
      <c r="A2286" s="2">
        <v>86</v>
      </c>
      <c r="B2286" s="2" t="s">
        <v>322</v>
      </c>
      <c r="C2286" s="2">
        <v>199</v>
      </c>
      <c r="D2286" s="2" t="s">
        <v>702</v>
      </c>
      <c r="E2286" s="2" t="s">
        <v>7660</v>
      </c>
      <c r="F2286" s="2" t="s">
        <v>7650</v>
      </c>
      <c r="G2286" s="2" t="s">
        <v>7632</v>
      </c>
    </row>
    <row r="2287" spans="1:7">
      <c r="A2287" s="3">
        <v>86</v>
      </c>
      <c r="B2287" s="3" t="s">
        <v>322</v>
      </c>
      <c r="C2287" s="3">
        <v>200</v>
      </c>
      <c r="D2287" s="3" t="s">
        <v>707</v>
      </c>
      <c r="E2287" s="3" t="s">
        <v>7654</v>
      </c>
      <c r="F2287" s="3" t="s">
        <v>7650</v>
      </c>
      <c r="G2287" s="3" t="s">
        <v>7619</v>
      </c>
    </row>
    <row r="2288" spans="1:7">
      <c r="A2288" s="2">
        <v>86</v>
      </c>
      <c r="B2288" s="2" t="s">
        <v>322</v>
      </c>
      <c r="C2288" s="2">
        <v>207</v>
      </c>
      <c r="D2288" s="2" t="s">
        <v>749</v>
      </c>
      <c r="E2288" s="2" t="s">
        <v>7618</v>
      </c>
      <c r="F2288" s="2" t="s">
        <v>7608</v>
      </c>
      <c r="G2288" s="2" t="s">
        <v>7633</v>
      </c>
    </row>
    <row r="2289" spans="1:7">
      <c r="A2289" s="3">
        <v>86</v>
      </c>
      <c r="B2289" s="3" t="s">
        <v>322</v>
      </c>
      <c r="C2289" s="3">
        <v>209</v>
      </c>
      <c r="D2289" s="3" t="s">
        <v>758</v>
      </c>
      <c r="E2289" s="3" t="s">
        <v>7618</v>
      </c>
      <c r="F2289" s="3" t="s">
        <v>7650</v>
      </c>
      <c r="G2289" s="3" t="s">
        <v>7636</v>
      </c>
    </row>
    <row r="2290" spans="1:7">
      <c r="A2290" s="2">
        <v>86</v>
      </c>
      <c r="B2290" s="2" t="s">
        <v>322</v>
      </c>
      <c r="C2290" s="2">
        <v>221</v>
      </c>
      <c r="D2290" s="2" t="s">
        <v>813</v>
      </c>
      <c r="E2290" s="2" t="s">
        <v>7618</v>
      </c>
      <c r="F2290" s="2" t="s">
        <v>7650</v>
      </c>
      <c r="G2290" s="2" t="s">
        <v>7617</v>
      </c>
    </row>
    <row r="2291" spans="1:7">
      <c r="A2291" s="3">
        <v>86</v>
      </c>
      <c r="B2291" s="3" t="s">
        <v>322</v>
      </c>
      <c r="C2291" s="3">
        <v>264</v>
      </c>
      <c r="D2291" s="3" t="s">
        <v>775</v>
      </c>
      <c r="E2291" s="3" t="s">
        <v>7618</v>
      </c>
      <c r="F2291" s="3" t="s">
        <v>7650</v>
      </c>
      <c r="G2291" s="3" t="s">
        <v>7617</v>
      </c>
    </row>
    <row r="2292" spans="1:7">
      <c r="A2292" s="2">
        <v>86</v>
      </c>
      <c r="B2292" s="2" t="s">
        <v>322</v>
      </c>
      <c r="C2292" s="2">
        <v>341</v>
      </c>
      <c r="D2292" s="2" t="s">
        <v>1052</v>
      </c>
      <c r="E2292" s="2" t="s">
        <v>7620</v>
      </c>
      <c r="F2292" s="2" t="s">
        <v>7650</v>
      </c>
      <c r="G2292" s="2" t="s">
        <v>7621</v>
      </c>
    </row>
    <row r="2293" spans="1:7">
      <c r="A2293" s="3">
        <v>86</v>
      </c>
      <c r="B2293" s="3" t="s">
        <v>322</v>
      </c>
      <c r="C2293" s="3">
        <v>343</v>
      </c>
      <c r="D2293" s="3" t="s">
        <v>977</v>
      </c>
      <c r="E2293" s="3" t="s">
        <v>7620</v>
      </c>
      <c r="F2293" s="3" t="s">
        <v>7650</v>
      </c>
      <c r="G2293" s="3" t="s">
        <v>7625</v>
      </c>
    </row>
    <row r="2294" spans="1:7">
      <c r="A2294" s="2">
        <v>88</v>
      </c>
      <c r="B2294" s="2" t="s">
        <v>312</v>
      </c>
      <c r="C2294" s="2">
        <v>97</v>
      </c>
      <c r="D2294" s="2" t="s">
        <v>457</v>
      </c>
      <c r="E2294" s="2" t="s">
        <v>7618</v>
      </c>
      <c r="F2294" s="2" t="s">
        <v>7649</v>
      </c>
      <c r="G2294" s="2" t="s">
        <v>7632</v>
      </c>
    </row>
    <row r="2295" spans="1:7">
      <c r="A2295" s="3">
        <v>88</v>
      </c>
      <c r="B2295" s="3" t="s">
        <v>312</v>
      </c>
      <c r="C2295" s="3">
        <v>101</v>
      </c>
      <c r="D2295" s="3" t="s">
        <v>395</v>
      </c>
      <c r="E2295" s="3" t="s">
        <v>7620</v>
      </c>
      <c r="F2295" s="3" t="s">
        <v>7649</v>
      </c>
      <c r="G2295" s="3" t="s">
        <v>7633</v>
      </c>
    </row>
    <row r="2296" spans="1:7">
      <c r="A2296" s="2">
        <v>88</v>
      </c>
      <c r="B2296" s="2" t="s">
        <v>312</v>
      </c>
      <c r="C2296" s="2">
        <v>103</v>
      </c>
      <c r="D2296" s="2" t="s">
        <v>384</v>
      </c>
      <c r="E2296" s="2" t="s">
        <v>7725</v>
      </c>
      <c r="F2296" s="2" t="s">
        <v>7650</v>
      </c>
      <c r="G2296" s="2" t="s">
        <v>7636</v>
      </c>
    </row>
    <row r="2297" spans="1:7">
      <c r="A2297" s="3">
        <v>88</v>
      </c>
      <c r="B2297" s="3" t="s">
        <v>312</v>
      </c>
      <c r="C2297" s="3">
        <v>189</v>
      </c>
      <c r="D2297" s="3" t="s">
        <v>742</v>
      </c>
      <c r="E2297" s="3" t="s">
        <v>7653</v>
      </c>
      <c r="F2297" s="3" t="s">
        <v>7608</v>
      </c>
      <c r="G2297" s="3" t="s">
        <v>7622</v>
      </c>
    </row>
    <row r="2298" spans="1:7">
      <c r="A2298" s="2">
        <v>88</v>
      </c>
      <c r="B2298" s="2" t="s">
        <v>312</v>
      </c>
      <c r="C2298" s="2">
        <v>191</v>
      </c>
      <c r="D2298" s="2" t="s">
        <v>719</v>
      </c>
      <c r="E2298" s="2" t="s">
        <v>7618</v>
      </c>
      <c r="F2298" s="2" t="s">
        <v>7649</v>
      </c>
      <c r="G2298" s="2" t="s">
        <v>7624</v>
      </c>
    </row>
    <row r="2299" spans="1:7">
      <c r="A2299" s="3">
        <v>88</v>
      </c>
      <c r="B2299" s="3" t="s">
        <v>312</v>
      </c>
      <c r="C2299" s="3">
        <v>192</v>
      </c>
      <c r="D2299" s="3" t="s">
        <v>727</v>
      </c>
      <c r="E2299" s="3" t="s">
        <v>7726</v>
      </c>
      <c r="F2299" s="3" t="s">
        <v>7650</v>
      </c>
      <c r="G2299" s="3" t="s">
        <v>7621</v>
      </c>
    </row>
    <row r="2300" spans="1:7">
      <c r="A2300" s="2">
        <v>88</v>
      </c>
      <c r="B2300" s="2" t="s">
        <v>312</v>
      </c>
      <c r="C2300" s="2">
        <v>195</v>
      </c>
      <c r="D2300" s="2" t="s">
        <v>734</v>
      </c>
      <c r="E2300" s="2" t="s">
        <v>7618</v>
      </c>
      <c r="F2300" s="2" t="s">
        <v>7649</v>
      </c>
      <c r="G2300" s="2" t="s">
        <v>7644</v>
      </c>
    </row>
    <row r="2301" spans="1:7">
      <c r="A2301" s="3">
        <v>88</v>
      </c>
      <c r="B2301" s="3" t="s">
        <v>312</v>
      </c>
      <c r="C2301" s="3">
        <v>198</v>
      </c>
      <c r="D2301" s="3" t="s">
        <v>698</v>
      </c>
      <c r="E2301" s="3" t="s">
        <v>7620</v>
      </c>
      <c r="F2301" s="3" t="s">
        <v>7649</v>
      </c>
      <c r="G2301" s="3" t="s">
        <v>7619</v>
      </c>
    </row>
    <row r="2302" spans="1:7">
      <c r="A2302" s="2">
        <v>88</v>
      </c>
      <c r="B2302" s="2" t="s">
        <v>312</v>
      </c>
      <c r="C2302" s="2">
        <v>199</v>
      </c>
      <c r="D2302" s="2" t="s">
        <v>702</v>
      </c>
      <c r="E2302" s="2" t="s">
        <v>7660</v>
      </c>
      <c r="F2302" s="2" t="s">
        <v>7649</v>
      </c>
      <c r="G2302" s="2" t="s">
        <v>7641</v>
      </c>
    </row>
    <row r="2303" spans="1:7">
      <c r="A2303" s="3">
        <v>88</v>
      </c>
      <c r="B2303" s="3" t="s">
        <v>312</v>
      </c>
      <c r="C2303" s="3">
        <v>200</v>
      </c>
      <c r="D2303" s="3" t="s">
        <v>707</v>
      </c>
      <c r="E2303" s="3" t="s">
        <v>7654</v>
      </c>
      <c r="F2303" s="3" t="s">
        <v>7649</v>
      </c>
      <c r="G2303" s="3" t="s">
        <v>7644</v>
      </c>
    </row>
    <row r="2304" spans="1:7">
      <c r="A2304" s="2">
        <v>88</v>
      </c>
      <c r="B2304" s="2" t="s">
        <v>312</v>
      </c>
      <c r="C2304" s="2">
        <v>205</v>
      </c>
      <c r="D2304" s="2" t="s">
        <v>746</v>
      </c>
      <c r="E2304" s="2" t="s">
        <v>7620</v>
      </c>
      <c r="F2304" s="2" t="s">
        <v>7611</v>
      </c>
      <c r="G2304" s="2" t="s">
        <v>7622</v>
      </c>
    </row>
    <row r="2305" spans="1:7">
      <c r="A2305" s="3">
        <v>88</v>
      </c>
      <c r="B2305" s="3" t="s">
        <v>312</v>
      </c>
      <c r="C2305" s="3">
        <v>207</v>
      </c>
      <c r="D2305" s="3" t="s">
        <v>749</v>
      </c>
      <c r="E2305" s="3" t="s">
        <v>7618</v>
      </c>
      <c r="F2305" s="3" t="s">
        <v>7611</v>
      </c>
      <c r="G2305" s="3" t="s">
        <v>7636</v>
      </c>
    </row>
    <row r="2306" spans="1:7">
      <c r="A2306" s="2">
        <v>88</v>
      </c>
      <c r="B2306" s="2" t="s">
        <v>312</v>
      </c>
      <c r="C2306" s="2">
        <v>208</v>
      </c>
      <c r="D2306" s="2" t="s">
        <v>754</v>
      </c>
      <c r="E2306" s="2" t="s">
        <v>7620</v>
      </c>
      <c r="F2306" s="2" t="s">
        <v>7611</v>
      </c>
      <c r="G2306" s="2" t="s">
        <v>7622</v>
      </c>
    </row>
    <row r="2307" spans="1:7">
      <c r="A2307" s="3">
        <v>88</v>
      </c>
      <c r="B2307" s="3" t="s">
        <v>312</v>
      </c>
      <c r="C2307" s="3">
        <v>209</v>
      </c>
      <c r="D2307" s="3" t="s">
        <v>758</v>
      </c>
      <c r="E2307" s="3" t="s">
        <v>7618</v>
      </c>
      <c r="F2307" s="3" t="s">
        <v>7650</v>
      </c>
      <c r="G2307" s="3" t="s">
        <v>7634</v>
      </c>
    </row>
    <row r="2308" spans="1:7">
      <c r="A2308" s="2">
        <v>88</v>
      </c>
      <c r="B2308" s="2" t="s">
        <v>312</v>
      </c>
      <c r="C2308" s="2">
        <v>221</v>
      </c>
      <c r="D2308" s="2" t="s">
        <v>813</v>
      </c>
      <c r="E2308" s="2" t="s">
        <v>7618</v>
      </c>
      <c r="F2308" s="2" t="s">
        <v>7649</v>
      </c>
      <c r="G2308" s="2" t="s">
        <v>7619</v>
      </c>
    </row>
    <row r="2309" spans="1:7">
      <c r="A2309" s="3">
        <v>88</v>
      </c>
      <c r="B2309" s="3" t="s">
        <v>312</v>
      </c>
      <c r="C2309" s="3">
        <v>264</v>
      </c>
      <c r="D2309" s="3" t="s">
        <v>775</v>
      </c>
      <c r="E2309" s="3" t="s">
        <v>7618</v>
      </c>
      <c r="F2309" s="3" t="s">
        <v>7649</v>
      </c>
      <c r="G2309" s="3" t="s">
        <v>7619</v>
      </c>
    </row>
    <row r="2310" spans="1:7">
      <c r="A2310" s="2">
        <v>88</v>
      </c>
      <c r="B2310" s="2" t="s">
        <v>312</v>
      </c>
      <c r="C2310" s="2">
        <v>341</v>
      </c>
      <c r="D2310" s="2" t="s">
        <v>1052</v>
      </c>
      <c r="E2310" s="2" t="s">
        <v>7620</v>
      </c>
      <c r="F2310" s="2" t="s">
        <v>7649</v>
      </c>
      <c r="G2310" s="2" t="s">
        <v>7633</v>
      </c>
    </row>
    <row r="2311" spans="1:7">
      <c r="A2311" s="3">
        <v>88</v>
      </c>
      <c r="B2311" s="3" t="s">
        <v>312</v>
      </c>
      <c r="C2311" s="3">
        <v>343</v>
      </c>
      <c r="D2311" s="3" t="s">
        <v>977</v>
      </c>
      <c r="E2311" s="3" t="s">
        <v>7620</v>
      </c>
      <c r="F2311" s="3" t="s">
        <v>7649</v>
      </c>
      <c r="G2311" s="3" t="s">
        <v>7622</v>
      </c>
    </row>
    <row r="2312" spans="1:7">
      <c r="A2312" s="2">
        <v>89</v>
      </c>
      <c r="B2312" s="2" t="s">
        <v>339</v>
      </c>
      <c r="C2312" s="2">
        <v>97</v>
      </c>
      <c r="D2312" s="2" t="s">
        <v>457</v>
      </c>
      <c r="E2312" s="2" t="s">
        <v>7618</v>
      </c>
      <c r="F2312" s="2" t="s">
        <v>7650</v>
      </c>
      <c r="G2312" s="2" t="s">
        <v>7634</v>
      </c>
    </row>
    <row r="2313" spans="1:7">
      <c r="A2313" s="3">
        <v>89</v>
      </c>
      <c r="B2313" s="3" t="s">
        <v>339</v>
      </c>
      <c r="C2313" s="3">
        <v>101</v>
      </c>
      <c r="D2313" s="3" t="s">
        <v>395</v>
      </c>
      <c r="E2313" s="3" t="s">
        <v>7620</v>
      </c>
      <c r="F2313" s="3" t="s">
        <v>7650</v>
      </c>
      <c r="G2313" s="3" t="s">
        <v>7621</v>
      </c>
    </row>
    <row r="2314" spans="1:7">
      <c r="A2314" s="2">
        <v>89</v>
      </c>
      <c r="B2314" s="2" t="s">
        <v>339</v>
      </c>
      <c r="C2314" s="2">
        <v>103</v>
      </c>
      <c r="D2314" s="2" t="s">
        <v>384</v>
      </c>
      <c r="E2314" s="2" t="s">
        <v>7725</v>
      </c>
      <c r="F2314" s="2" t="s">
        <v>7650</v>
      </c>
      <c r="G2314" s="2" t="s">
        <v>7636</v>
      </c>
    </row>
    <row r="2315" spans="1:7">
      <c r="A2315" s="3">
        <v>89</v>
      </c>
      <c r="B2315" s="3" t="s">
        <v>339</v>
      </c>
      <c r="C2315" s="3">
        <v>189</v>
      </c>
      <c r="D2315" s="3" t="s">
        <v>742</v>
      </c>
      <c r="E2315" s="3" t="s">
        <v>7653</v>
      </c>
      <c r="F2315" s="3" t="s">
        <v>7608</v>
      </c>
      <c r="G2315" s="3" t="s">
        <v>7625</v>
      </c>
    </row>
    <row r="2316" spans="1:7">
      <c r="A2316" s="2">
        <v>89</v>
      </c>
      <c r="B2316" s="2" t="s">
        <v>339</v>
      </c>
      <c r="C2316" s="2">
        <v>191</v>
      </c>
      <c r="D2316" s="2" t="s">
        <v>719</v>
      </c>
      <c r="E2316" s="2" t="s">
        <v>7618</v>
      </c>
      <c r="F2316" s="2" t="s">
        <v>7650</v>
      </c>
      <c r="G2316" s="2" t="s">
        <v>7634</v>
      </c>
    </row>
    <row r="2317" spans="1:7">
      <c r="A2317" s="3">
        <v>89</v>
      </c>
      <c r="B2317" s="3" t="s">
        <v>339</v>
      </c>
      <c r="C2317" s="3">
        <v>192</v>
      </c>
      <c r="D2317" s="3" t="s">
        <v>727</v>
      </c>
      <c r="E2317" s="3" t="s">
        <v>7726</v>
      </c>
      <c r="F2317" s="3" t="s">
        <v>7650</v>
      </c>
      <c r="G2317" s="3" t="s">
        <v>7625</v>
      </c>
    </row>
    <row r="2318" spans="1:7">
      <c r="A2318" s="2">
        <v>89</v>
      </c>
      <c r="B2318" s="2" t="s">
        <v>339</v>
      </c>
      <c r="C2318" s="2">
        <v>195</v>
      </c>
      <c r="D2318" s="2" t="s">
        <v>734</v>
      </c>
      <c r="E2318" s="2" t="s">
        <v>7618</v>
      </c>
      <c r="F2318" s="2" t="s">
        <v>7650</v>
      </c>
      <c r="G2318" s="2" t="s">
        <v>7634</v>
      </c>
    </row>
    <row r="2319" spans="1:7">
      <c r="A2319" s="3">
        <v>89</v>
      </c>
      <c r="B2319" s="3" t="s">
        <v>339</v>
      </c>
      <c r="C2319" s="3">
        <v>198</v>
      </c>
      <c r="D2319" s="3" t="s">
        <v>698</v>
      </c>
      <c r="E2319" s="3" t="s">
        <v>7620</v>
      </c>
      <c r="F2319" s="3" t="s">
        <v>7650</v>
      </c>
      <c r="G2319" s="3" t="s">
        <v>7633</v>
      </c>
    </row>
    <row r="2320" spans="1:7">
      <c r="A2320" s="2">
        <v>89</v>
      </c>
      <c r="B2320" s="2" t="s">
        <v>339</v>
      </c>
      <c r="C2320" s="2">
        <v>199</v>
      </c>
      <c r="D2320" s="2" t="s">
        <v>702</v>
      </c>
      <c r="E2320" s="2" t="s">
        <v>7660</v>
      </c>
      <c r="F2320" s="2" t="s">
        <v>7650</v>
      </c>
      <c r="G2320" s="2" t="s">
        <v>7624</v>
      </c>
    </row>
    <row r="2321" spans="1:7">
      <c r="A2321" s="3">
        <v>89</v>
      </c>
      <c r="B2321" s="3" t="s">
        <v>339</v>
      </c>
      <c r="C2321" s="3">
        <v>200</v>
      </c>
      <c r="D2321" s="3" t="s">
        <v>707</v>
      </c>
      <c r="E2321" s="3" t="s">
        <v>7654</v>
      </c>
      <c r="F2321" s="3" t="s">
        <v>7650</v>
      </c>
      <c r="G2321" s="3" t="s">
        <v>7634</v>
      </c>
    </row>
    <row r="2322" spans="1:7">
      <c r="A2322" s="2">
        <v>89</v>
      </c>
      <c r="B2322" s="2" t="s">
        <v>339</v>
      </c>
      <c r="C2322" s="2">
        <v>205</v>
      </c>
      <c r="D2322" s="2" t="s">
        <v>746</v>
      </c>
      <c r="E2322" s="2" t="s">
        <v>7620</v>
      </c>
      <c r="F2322" s="2" t="s">
        <v>7608</v>
      </c>
      <c r="G2322" s="2" t="s">
        <v>7621</v>
      </c>
    </row>
    <row r="2323" spans="1:7">
      <c r="A2323" s="3">
        <v>89</v>
      </c>
      <c r="B2323" s="3" t="s">
        <v>339</v>
      </c>
      <c r="C2323" s="3">
        <v>207</v>
      </c>
      <c r="D2323" s="3" t="s">
        <v>749</v>
      </c>
      <c r="E2323" s="3" t="s">
        <v>7618</v>
      </c>
      <c r="F2323" s="3" t="s">
        <v>7608</v>
      </c>
      <c r="G2323" s="3" t="s">
        <v>7609</v>
      </c>
    </row>
    <row r="2324" spans="1:7">
      <c r="A2324" s="2">
        <v>89</v>
      </c>
      <c r="B2324" s="2" t="s">
        <v>339</v>
      </c>
      <c r="C2324" s="2">
        <v>208</v>
      </c>
      <c r="D2324" s="2" t="s">
        <v>754</v>
      </c>
      <c r="E2324" s="2" t="s">
        <v>7620</v>
      </c>
      <c r="F2324" s="2" t="s">
        <v>7608</v>
      </c>
      <c r="G2324" s="2" t="s">
        <v>7625</v>
      </c>
    </row>
    <row r="2325" spans="1:7">
      <c r="A2325" s="3">
        <v>89</v>
      </c>
      <c r="B2325" s="3" t="s">
        <v>339</v>
      </c>
      <c r="C2325" s="3">
        <v>209</v>
      </c>
      <c r="D2325" s="3" t="s">
        <v>758</v>
      </c>
      <c r="E2325" s="3" t="s">
        <v>7618</v>
      </c>
      <c r="F2325" s="3" t="s">
        <v>7650</v>
      </c>
      <c r="G2325" s="3" t="s">
        <v>7619</v>
      </c>
    </row>
    <row r="2326" spans="1:7">
      <c r="A2326" s="2">
        <v>89</v>
      </c>
      <c r="B2326" s="2" t="s">
        <v>339</v>
      </c>
      <c r="C2326" s="2">
        <v>221</v>
      </c>
      <c r="D2326" s="2" t="s">
        <v>813</v>
      </c>
      <c r="E2326" s="2" t="s">
        <v>7618</v>
      </c>
      <c r="F2326" s="2" t="s">
        <v>7650</v>
      </c>
      <c r="G2326" s="2" t="s">
        <v>7617</v>
      </c>
    </row>
    <row r="2327" spans="1:7">
      <c r="A2327" s="3">
        <v>89</v>
      </c>
      <c r="B2327" s="3" t="s">
        <v>339</v>
      </c>
      <c r="C2327" s="3">
        <v>264</v>
      </c>
      <c r="D2327" s="3" t="s">
        <v>775</v>
      </c>
      <c r="E2327" s="3" t="s">
        <v>7618</v>
      </c>
      <c r="F2327" s="3" t="s">
        <v>7650</v>
      </c>
      <c r="G2327" s="3" t="s">
        <v>7617</v>
      </c>
    </row>
    <row r="2328" spans="1:7">
      <c r="A2328" s="2">
        <v>89</v>
      </c>
      <c r="B2328" s="2" t="s">
        <v>339</v>
      </c>
      <c r="C2328" s="2">
        <v>341</v>
      </c>
      <c r="D2328" s="2" t="s">
        <v>1052</v>
      </c>
      <c r="E2328" s="2" t="s">
        <v>7620</v>
      </c>
      <c r="F2328" s="2" t="s">
        <v>7650</v>
      </c>
      <c r="G2328" s="2" t="s">
        <v>7622</v>
      </c>
    </row>
    <row r="2329" spans="1:7">
      <c r="A2329" s="3">
        <v>89</v>
      </c>
      <c r="B2329" s="3" t="s">
        <v>339</v>
      </c>
      <c r="C2329" s="3">
        <v>343</v>
      </c>
      <c r="D2329" s="3" t="s">
        <v>977</v>
      </c>
      <c r="E2329" s="3" t="s">
        <v>7620</v>
      </c>
      <c r="F2329" s="3" t="s">
        <v>7650</v>
      </c>
      <c r="G2329" s="3" t="s">
        <v>7622</v>
      </c>
    </row>
    <row r="2330" spans="1:7">
      <c r="A2330" s="2">
        <v>90</v>
      </c>
      <c r="B2330" s="2" t="s">
        <v>355</v>
      </c>
      <c r="C2330" s="2">
        <v>97</v>
      </c>
      <c r="D2330" s="2" t="s">
        <v>457</v>
      </c>
      <c r="E2330" s="2" t="s">
        <v>7620</v>
      </c>
      <c r="F2330" s="2" t="s">
        <v>7650</v>
      </c>
      <c r="G2330" s="2" t="s">
        <v>7625</v>
      </c>
    </row>
    <row r="2331" spans="1:7">
      <c r="A2331" s="3">
        <v>90</v>
      </c>
      <c r="B2331" s="3" t="s">
        <v>355</v>
      </c>
      <c r="C2331" s="3">
        <v>101</v>
      </c>
      <c r="D2331" s="3" t="s">
        <v>395</v>
      </c>
      <c r="E2331" s="3" t="s">
        <v>7620</v>
      </c>
      <c r="F2331" s="3" t="s">
        <v>7650</v>
      </c>
      <c r="G2331" s="3" t="s">
        <v>7625</v>
      </c>
    </row>
    <row r="2332" spans="1:7">
      <c r="A2332" s="2">
        <v>90</v>
      </c>
      <c r="B2332" s="2" t="s">
        <v>355</v>
      </c>
      <c r="C2332" s="2">
        <v>103</v>
      </c>
      <c r="D2332" s="2" t="s">
        <v>384</v>
      </c>
      <c r="E2332" s="2" t="s">
        <v>7725</v>
      </c>
      <c r="F2332" s="2" t="s">
        <v>7650</v>
      </c>
      <c r="G2332" s="2" t="s">
        <v>7609</v>
      </c>
    </row>
    <row r="2333" spans="1:7">
      <c r="A2333" s="3">
        <v>90</v>
      </c>
      <c r="B2333" s="3" t="s">
        <v>355</v>
      </c>
      <c r="C2333" s="3">
        <v>191</v>
      </c>
      <c r="D2333" s="3" t="s">
        <v>719</v>
      </c>
      <c r="E2333" s="3" t="s">
        <v>7620</v>
      </c>
      <c r="F2333" s="3" t="s">
        <v>7650</v>
      </c>
      <c r="G2333" s="3" t="s">
        <v>7621</v>
      </c>
    </row>
    <row r="2334" spans="1:7">
      <c r="A2334" s="2">
        <v>90</v>
      </c>
      <c r="B2334" s="2" t="s">
        <v>355</v>
      </c>
      <c r="C2334" s="2">
        <v>192</v>
      </c>
      <c r="D2334" s="2" t="s">
        <v>727</v>
      </c>
      <c r="E2334" s="2" t="s">
        <v>7726</v>
      </c>
      <c r="F2334" s="2" t="s">
        <v>7650</v>
      </c>
      <c r="G2334" s="2" t="s">
        <v>7625</v>
      </c>
    </row>
    <row r="2335" spans="1:7">
      <c r="A2335" s="3">
        <v>90</v>
      </c>
      <c r="B2335" s="3" t="s">
        <v>355</v>
      </c>
      <c r="C2335" s="3">
        <v>195</v>
      </c>
      <c r="D2335" s="3" t="s">
        <v>734</v>
      </c>
      <c r="E2335" s="3" t="s">
        <v>7620</v>
      </c>
      <c r="F2335" s="3" t="s">
        <v>7650</v>
      </c>
      <c r="G2335" s="3" t="s">
        <v>7625</v>
      </c>
    </row>
    <row r="2336" spans="1:7">
      <c r="A2336" s="2">
        <v>90</v>
      </c>
      <c r="B2336" s="2" t="s">
        <v>355</v>
      </c>
      <c r="C2336" s="2">
        <v>198</v>
      </c>
      <c r="D2336" s="2" t="s">
        <v>698</v>
      </c>
      <c r="E2336" s="2" t="s">
        <v>7620</v>
      </c>
      <c r="F2336" s="2" t="s">
        <v>7650</v>
      </c>
      <c r="G2336" s="2" t="s">
        <v>7625</v>
      </c>
    </row>
    <row r="2337" spans="1:7">
      <c r="A2337" s="3">
        <v>90</v>
      </c>
      <c r="B2337" s="3" t="s">
        <v>355</v>
      </c>
      <c r="C2337" s="3">
        <v>199</v>
      </c>
      <c r="D2337" s="3" t="s">
        <v>702</v>
      </c>
      <c r="E2337" s="3" t="s">
        <v>7654</v>
      </c>
      <c r="F2337" s="3" t="s">
        <v>7650</v>
      </c>
      <c r="G2337" s="3" t="s">
        <v>7609</v>
      </c>
    </row>
    <row r="2338" spans="1:7">
      <c r="A2338" s="2">
        <v>90</v>
      </c>
      <c r="B2338" s="2" t="s">
        <v>355</v>
      </c>
      <c r="C2338" s="2">
        <v>200</v>
      </c>
      <c r="D2338" s="2" t="s">
        <v>707</v>
      </c>
      <c r="E2338" s="2" t="s">
        <v>7654</v>
      </c>
      <c r="F2338" s="2" t="s">
        <v>7650</v>
      </c>
      <c r="G2338" s="2" t="s">
        <v>7609</v>
      </c>
    </row>
    <row r="2339" spans="1:7">
      <c r="A2339" s="3">
        <v>90</v>
      </c>
      <c r="B2339" s="3" t="s">
        <v>355</v>
      </c>
      <c r="C2339" s="3">
        <v>209</v>
      </c>
      <c r="D2339" s="3" t="s">
        <v>758</v>
      </c>
      <c r="E2339" s="3" t="s">
        <v>7620</v>
      </c>
      <c r="F2339" s="3" t="s">
        <v>7650</v>
      </c>
      <c r="G2339" s="3" t="s">
        <v>7625</v>
      </c>
    </row>
    <row r="2340" spans="1:7">
      <c r="A2340" s="2">
        <v>90</v>
      </c>
      <c r="B2340" s="2" t="s">
        <v>355</v>
      </c>
      <c r="C2340" s="2">
        <v>221</v>
      </c>
      <c r="D2340" s="2" t="s">
        <v>813</v>
      </c>
      <c r="E2340" s="2" t="s">
        <v>7620</v>
      </c>
      <c r="F2340" s="2" t="s">
        <v>7650</v>
      </c>
      <c r="G2340" s="2" t="s">
        <v>7625</v>
      </c>
    </row>
    <row r="2341" spans="1:7">
      <c r="A2341" s="3">
        <v>90</v>
      </c>
      <c r="B2341" s="3" t="s">
        <v>355</v>
      </c>
      <c r="C2341" s="3">
        <v>264</v>
      </c>
      <c r="D2341" s="3" t="s">
        <v>775</v>
      </c>
      <c r="E2341" s="3" t="s">
        <v>7655</v>
      </c>
      <c r="F2341" s="3" t="s">
        <v>7650</v>
      </c>
      <c r="G2341" s="3" t="s">
        <v>7617</v>
      </c>
    </row>
    <row r="2342" spans="1:7">
      <c r="A2342" s="2">
        <v>90</v>
      </c>
      <c r="B2342" s="2" t="s">
        <v>355</v>
      </c>
      <c r="C2342" s="2">
        <v>341</v>
      </c>
      <c r="D2342" s="2" t="s">
        <v>1052</v>
      </c>
      <c r="E2342" s="2" t="s">
        <v>7655</v>
      </c>
      <c r="F2342" s="2" t="s">
        <v>7650</v>
      </c>
      <c r="G2342" s="2" t="s">
        <v>7636</v>
      </c>
    </row>
    <row r="2343" spans="1:7">
      <c r="A2343" s="3">
        <v>90</v>
      </c>
      <c r="B2343" s="3" t="s">
        <v>355</v>
      </c>
      <c r="C2343" s="3">
        <v>343</v>
      </c>
      <c r="D2343" s="3" t="s">
        <v>977</v>
      </c>
      <c r="E2343" s="3" t="s">
        <v>7620</v>
      </c>
      <c r="F2343" s="3" t="s">
        <v>7650</v>
      </c>
      <c r="G2343" s="3" t="s">
        <v>7625</v>
      </c>
    </row>
    <row r="2344" spans="1:7">
      <c r="A2344" s="2">
        <v>91</v>
      </c>
      <c r="B2344" s="2" t="s">
        <v>326</v>
      </c>
      <c r="C2344" s="2">
        <v>97</v>
      </c>
      <c r="D2344" s="2" t="s">
        <v>457</v>
      </c>
      <c r="E2344" s="2" t="s">
        <v>7618</v>
      </c>
      <c r="F2344" s="2" t="s">
        <v>7649</v>
      </c>
      <c r="G2344" s="2" t="s">
        <v>7639</v>
      </c>
    </row>
    <row r="2345" spans="1:7">
      <c r="A2345" s="3">
        <v>91</v>
      </c>
      <c r="B2345" s="3" t="s">
        <v>326</v>
      </c>
      <c r="C2345" s="3">
        <v>101</v>
      </c>
      <c r="D2345" s="3" t="s">
        <v>395</v>
      </c>
      <c r="E2345" s="3" t="s">
        <v>7620</v>
      </c>
      <c r="F2345" s="3" t="s">
        <v>7649</v>
      </c>
      <c r="G2345" s="3" t="s">
        <v>7633</v>
      </c>
    </row>
    <row r="2346" spans="1:7">
      <c r="A2346" s="2">
        <v>91</v>
      </c>
      <c r="B2346" s="2" t="s">
        <v>326</v>
      </c>
      <c r="C2346" s="2">
        <v>103</v>
      </c>
      <c r="D2346" s="2" t="s">
        <v>384</v>
      </c>
      <c r="E2346" s="2" t="s">
        <v>7725</v>
      </c>
      <c r="F2346" s="2" t="s">
        <v>7650</v>
      </c>
      <c r="G2346" s="2" t="s">
        <v>7617</v>
      </c>
    </row>
    <row r="2347" spans="1:7">
      <c r="A2347" s="3">
        <v>91</v>
      </c>
      <c r="B2347" s="3" t="s">
        <v>326</v>
      </c>
      <c r="C2347" s="3">
        <v>189</v>
      </c>
      <c r="D2347" s="3" t="s">
        <v>742</v>
      </c>
      <c r="E2347" s="3" t="s">
        <v>7653</v>
      </c>
      <c r="F2347" s="3" t="s">
        <v>7608</v>
      </c>
      <c r="G2347" s="3" t="s">
        <v>7621</v>
      </c>
    </row>
    <row r="2348" spans="1:7">
      <c r="A2348" s="2">
        <v>91</v>
      </c>
      <c r="B2348" s="2" t="s">
        <v>326</v>
      </c>
      <c r="C2348" s="2">
        <v>191</v>
      </c>
      <c r="D2348" s="2" t="s">
        <v>719</v>
      </c>
      <c r="E2348" s="2" t="s">
        <v>7618</v>
      </c>
      <c r="F2348" s="2" t="s">
        <v>7649</v>
      </c>
      <c r="G2348" s="2" t="s">
        <v>7639</v>
      </c>
    </row>
    <row r="2349" spans="1:7">
      <c r="A2349" s="3">
        <v>91</v>
      </c>
      <c r="B2349" s="3" t="s">
        <v>326</v>
      </c>
      <c r="C2349" s="3">
        <v>192</v>
      </c>
      <c r="D2349" s="3" t="s">
        <v>727</v>
      </c>
      <c r="E2349" s="3" t="s">
        <v>7726</v>
      </c>
      <c r="F2349" s="3" t="s">
        <v>7650</v>
      </c>
      <c r="G2349" s="3" t="s">
        <v>7621</v>
      </c>
    </row>
    <row r="2350" spans="1:7">
      <c r="A2350" s="2">
        <v>91</v>
      </c>
      <c r="B2350" s="2" t="s">
        <v>326</v>
      </c>
      <c r="C2350" s="2">
        <v>195</v>
      </c>
      <c r="D2350" s="2" t="s">
        <v>734</v>
      </c>
      <c r="E2350" s="2" t="s">
        <v>7618</v>
      </c>
      <c r="F2350" s="2" t="s">
        <v>7649</v>
      </c>
      <c r="G2350" s="2" t="s">
        <v>7624</v>
      </c>
    </row>
    <row r="2351" spans="1:7">
      <c r="A2351" s="3">
        <v>91</v>
      </c>
      <c r="B2351" s="3" t="s">
        <v>326</v>
      </c>
      <c r="C2351" s="3">
        <v>198</v>
      </c>
      <c r="D2351" s="3" t="s">
        <v>698</v>
      </c>
      <c r="E2351" s="3" t="s">
        <v>7620</v>
      </c>
      <c r="F2351" s="3" t="s">
        <v>7649</v>
      </c>
      <c r="G2351" s="3" t="s">
        <v>7617</v>
      </c>
    </row>
    <row r="2352" spans="1:7">
      <c r="A2352" s="2">
        <v>91</v>
      </c>
      <c r="B2352" s="2" t="s">
        <v>326</v>
      </c>
      <c r="C2352" s="2">
        <v>199</v>
      </c>
      <c r="D2352" s="2" t="s">
        <v>702</v>
      </c>
      <c r="E2352" s="2" t="s">
        <v>7660</v>
      </c>
      <c r="F2352" s="2" t="s">
        <v>7649</v>
      </c>
      <c r="G2352" s="2" t="s">
        <v>7644</v>
      </c>
    </row>
    <row r="2353" spans="1:7">
      <c r="A2353" s="3">
        <v>91</v>
      </c>
      <c r="B2353" s="3" t="s">
        <v>326</v>
      </c>
      <c r="C2353" s="3">
        <v>200</v>
      </c>
      <c r="D2353" s="3" t="s">
        <v>707</v>
      </c>
      <c r="E2353" s="3" t="s">
        <v>7654</v>
      </c>
      <c r="F2353" s="3" t="s">
        <v>7649</v>
      </c>
      <c r="G2353" s="3" t="s">
        <v>7624</v>
      </c>
    </row>
    <row r="2354" spans="1:7">
      <c r="A2354" s="2">
        <v>91</v>
      </c>
      <c r="B2354" s="2" t="s">
        <v>326</v>
      </c>
      <c r="C2354" s="2">
        <v>205</v>
      </c>
      <c r="D2354" s="2" t="s">
        <v>746</v>
      </c>
      <c r="E2354" s="2" t="s">
        <v>7620</v>
      </c>
      <c r="F2354" s="2" t="s">
        <v>7611</v>
      </c>
      <c r="G2354" s="2" t="s">
        <v>7622</v>
      </c>
    </row>
    <row r="2355" spans="1:7">
      <c r="A2355" s="3">
        <v>91</v>
      </c>
      <c r="B2355" s="3" t="s">
        <v>326</v>
      </c>
      <c r="C2355" s="3">
        <v>207</v>
      </c>
      <c r="D2355" s="3" t="s">
        <v>749</v>
      </c>
      <c r="E2355" s="3" t="s">
        <v>7618</v>
      </c>
      <c r="F2355" s="3" t="s">
        <v>7611</v>
      </c>
      <c r="G2355" s="3" t="s">
        <v>7636</v>
      </c>
    </row>
    <row r="2356" spans="1:7">
      <c r="A2356" s="2">
        <v>91</v>
      </c>
      <c r="B2356" s="2" t="s">
        <v>326</v>
      </c>
      <c r="C2356" s="2">
        <v>208</v>
      </c>
      <c r="D2356" s="2" t="s">
        <v>754</v>
      </c>
      <c r="E2356" s="2" t="s">
        <v>7620</v>
      </c>
      <c r="F2356" s="2" t="s">
        <v>7611</v>
      </c>
      <c r="G2356" s="2" t="s">
        <v>7633</v>
      </c>
    </row>
    <row r="2357" spans="1:7">
      <c r="A2357" s="3">
        <v>91</v>
      </c>
      <c r="B2357" s="3" t="s">
        <v>326</v>
      </c>
      <c r="C2357" s="3">
        <v>209</v>
      </c>
      <c r="D2357" s="3" t="s">
        <v>758</v>
      </c>
      <c r="E2357" s="3" t="s">
        <v>7618</v>
      </c>
      <c r="F2357" s="3" t="s">
        <v>7650</v>
      </c>
      <c r="G2357" s="3" t="s">
        <v>7636</v>
      </c>
    </row>
    <row r="2358" spans="1:7">
      <c r="A2358" s="2">
        <v>91</v>
      </c>
      <c r="B2358" s="2" t="s">
        <v>326</v>
      </c>
      <c r="C2358" s="2">
        <v>221</v>
      </c>
      <c r="D2358" s="2" t="s">
        <v>813</v>
      </c>
      <c r="E2358" s="2" t="s">
        <v>7618</v>
      </c>
      <c r="F2358" s="2" t="s">
        <v>7649</v>
      </c>
      <c r="G2358" s="2" t="s">
        <v>7634</v>
      </c>
    </row>
    <row r="2359" spans="1:7">
      <c r="A2359" s="3">
        <v>91</v>
      </c>
      <c r="B2359" s="3" t="s">
        <v>326</v>
      </c>
      <c r="C2359" s="3">
        <v>264</v>
      </c>
      <c r="D2359" s="3" t="s">
        <v>775</v>
      </c>
      <c r="E2359" s="3" t="s">
        <v>7618</v>
      </c>
      <c r="F2359" s="3" t="s">
        <v>7649</v>
      </c>
      <c r="G2359" s="3" t="s">
        <v>7619</v>
      </c>
    </row>
    <row r="2360" spans="1:7">
      <c r="A2360" s="2">
        <v>91</v>
      </c>
      <c r="B2360" s="2" t="s">
        <v>326</v>
      </c>
      <c r="C2360" s="2">
        <v>341</v>
      </c>
      <c r="D2360" s="2" t="s">
        <v>1052</v>
      </c>
      <c r="E2360" s="2" t="s">
        <v>7620</v>
      </c>
      <c r="F2360" s="2" t="s">
        <v>7649</v>
      </c>
      <c r="G2360" s="2" t="s">
        <v>7609</v>
      </c>
    </row>
    <row r="2361" spans="1:7">
      <c r="A2361" s="3">
        <v>91</v>
      </c>
      <c r="B2361" s="3" t="s">
        <v>326</v>
      </c>
      <c r="C2361" s="3">
        <v>343</v>
      </c>
      <c r="D2361" s="3" t="s">
        <v>977</v>
      </c>
      <c r="E2361" s="3" t="s">
        <v>7620</v>
      </c>
      <c r="F2361" s="3" t="s">
        <v>7649</v>
      </c>
      <c r="G2361" s="3" t="s">
        <v>7622</v>
      </c>
    </row>
    <row r="2362" spans="1:7">
      <c r="A2362" s="2">
        <v>92</v>
      </c>
      <c r="B2362" s="2" t="s">
        <v>330</v>
      </c>
      <c r="C2362" s="2">
        <v>97</v>
      </c>
      <c r="D2362" s="2" t="s">
        <v>457</v>
      </c>
      <c r="E2362" s="2" t="s">
        <v>7618</v>
      </c>
      <c r="F2362" s="2" t="s">
        <v>7659</v>
      </c>
      <c r="G2362" s="2" t="s">
        <v>7644</v>
      </c>
    </row>
    <row r="2363" spans="1:7">
      <c r="A2363" s="3">
        <v>92</v>
      </c>
      <c r="B2363" s="3" t="s">
        <v>330</v>
      </c>
      <c r="C2363" s="3">
        <v>101</v>
      </c>
      <c r="D2363" s="3" t="s">
        <v>395</v>
      </c>
      <c r="E2363" s="3" t="s">
        <v>7620</v>
      </c>
      <c r="F2363" s="3" t="s">
        <v>7659</v>
      </c>
      <c r="G2363" s="3" t="s">
        <v>7617</v>
      </c>
    </row>
    <row r="2364" spans="1:7">
      <c r="A2364" s="2">
        <v>92</v>
      </c>
      <c r="B2364" s="2" t="s">
        <v>330</v>
      </c>
      <c r="C2364" s="2">
        <v>103</v>
      </c>
      <c r="D2364" s="2" t="s">
        <v>384</v>
      </c>
      <c r="E2364" s="2" t="s">
        <v>7725</v>
      </c>
      <c r="F2364" s="2" t="s">
        <v>7650</v>
      </c>
      <c r="G2364" s="2" t="s">
        <v>7617</v>
      </c>
    </row>
    <row r="2365" spans="1:7">
      <c r="A2365" s="3">
        <v>92</v>
      </c>
      <c r="B2365" s="3" t="s">
        <v>330</v>
      </c>
      <c r="C2365" s="3">
        <v>189</v>
      </c>
      <c r="D2365" s="3" t="s">
        <v>742</v>
      </c>
      <c r="E2365" s="3" t="s">
        <v>7653</v>
      </c>
      <c r="F2365" s="3" t="s">
        <v>7608</v>
      </c>
      <c r="G2365" s="3" t="s">
        <v>7625</v>
      </c>
    </row>
    <row r="2366" spans="1:7">
      <c r="A2366" s="2">
        <v>92</v>
      </c>
      <c r="B2366" s="2" t="s">
        <v>330</v>
      </c>
      <c r="C2366" s="2">
        <v>191</v>
      </c>
      <c r="D2366" s="2" t="s">
        <v>719</v>
      </c>
      <c r="E2366" s="2" t="s">
        <v>7618</v>
      </c>
      <c r="F2366" s="2" t="s">
        <v>7659</v>
      </c>
      <c r="G2366" s="2" t="s">
        <v>7632</v>
      </c>
    </row>
    <row r="2367" spans="1:7">
      <c r="A2367" s="3">
        <v>92</v>
      </c>
      <c r="B2367" s="3" t="s">
        <v>330</v>
      </c>
      <c r="C2367" s="3">
        <v>192</v>
      </c>
      <c r="D2367" s="3" t="s">
        <v>727</v>
      </c>
      <c r="E2367" s="3" t="s">
        <v>7726</v>
      </c>
      <c r="F2367" s="3" t="s">
        <v>7652</v>
      </c>
      <c r="G2367" s="3" t="s">
        <v>7622</v>
      </c>
    </row>
    <row r="2368" spans="1:7">
      <c r="A2368" s="2">
        <v>92</v>
      </c>
      <c r="B2368" s="2" t="s">
        <v>330</v>
      </c>
      <c r="C2368" s="2">
        <v>195</v>
      </c>
      <c r="D2368" s="2" t="s">
        <v>734</v>
      </c>
      <c r="E2368" s="2" t="s">
        <v>7618</v>
      </c>
      <c r="F2368" s="2" t="s">
        <v>7659</v>
      </c>
      <c r="G2368" s="2" t="s">
        <v>7632</v>
      </c>
    </row>
    <row r="2369" spans="1:7">
      <c r="A2369" s="3">
        <v>92</v>
      </c>
      <c r="B2369" s="3" t="s">
        <v>330</v>
      </c>
      <c r="C2369" s="3">
        <v>198</v>
      </c>
      <c r="D2369" s="3" t="s">
        <v>698</v>
      </c>
      <c r="E2369" s="3" t="s">
        <v>7620</v>
      </c>
      <c r="F2369" s="3" t="s">
        <v>7659</v>
      </c>
      <c r="G2369" s="3" t="s">
        <v>7636</v>
      </c>
    </row>
    <row r="2370" spans="1:7">
      <c r="A2370" s="2">
        <v>92</v>
      </c>
      <c r="B2370" s="2" t="s">
        <v>330</v>
      </c>
      <c r="C2370" s="2">
        <v>199</v>
      </c>
      <c r="D2370" s="2" t="s">
        <v>702</v>
      </c>
      <c r="E2370" s="2" t="s">
        <v>7660</v>
      </c>
      <c r="F2370" s="2" t="s">
        <v>7659</v>
      </c>
      <c r="G2370" s="2" t="s">
        <v>7626</v>
      </c>
    </row>
    <row r="2371" spans="1:7">
      <c r="A2371" s="3">
        <v>92</v>
      </c>
      <c r="B2371" s="3" t="s">
        <v>330</v>
      </c>
      <c r="C2371" s="3">
        <v>200</v>
      </c>
      <c r="D2371" s="3" t="s">
        <v>707</v>
      </c>
      <c r="E2371" s="3" t="s">
        <v>7654</v>
      </c>
      <c r="F2371" s="3" t="s">
        <v>7659</v>
      </c>
      <c r="G2371" s="3" t="s">
        <v>7624</v>
      </c>
    </row>
    <row r="2372" spans="1:7">
      <c r="A2372" s="2">
        <v>92</v>
      </c>
      <c r="B2372" s="2" t="s">
        <v>330</v>
      </c>
      <c r="C2372" s="2">
        <v>201</v>
      </c>
      <c r="D2372" s="2" t="s">
        <v>695</v>
      </c>
      <c r="E2372" s="2" t="s">
        <v>7608</v>
      </c>
      <c r="F2372" s="2" t="s">
        <v>7659</v>
      </c>
      <c r="G2372" s="2" t="s">
        <v>7625</v>
      </c>
    </row>
    <row r="2373" spans="1:7">
      <c r="A2373" s="3">
        <v>92</v>
      </c>
      <c r="B2373" s="3" t="s">
        <v>330</v>
      </c>
      <c r="C2373" s="3">
        <v>204</v>
      </c>
      <c r="D2373" s="3" t="s">
        <v>685</v>
      </c>
      <c r="E2373" s="3" t="s">
        <v>7608</v>
      </c>
      <c r="F2373" s="3" t="s">
        <v>7659</v>
      </c>
      <c r="G2373" s="3" t="s">
        <v>7625</v>
      </c>
    </row>
    <row r="2374" spans="1:7">
      <c r="A2374" s="2">
        <v>92</v>
      </c>
      <c r="B2374" s="2" t="s">
        <v>330</v>
      </c>
      <c r="C2374" s="2">
        <v>205</v>
      </c>
      <c r="D2374" s="2" t="s">
        <v>746</v>
      </c>
      <c r="E2374" s="2" t="s">
        <v>7620</v>
      </c>
      <c r="F2374" s="2" t="s">
        <v>7628</v>
      </c>
      <c r="G2374" s="2" t="s">
        <v>7617</v>
      </c>
    </row>
    <row r="2375" spans="1:7">
      <c r="A2375" s="3">
        <v>92</v>
      </c>
      <c r="B2375" s="3" t="s">
        <v>330</v>
      </c>
      <c r="C2375" s="3">
        <v>207</v>
      </c>
      <c r="D2375" s="3" t="s">
        <v>749</v>
      </c>
      <c r="E2375" s="3" t="s">
        <v>7618</v>
      </c>
      <c r="F2375" s="3" t="s">
        <v>7611</v>
      </c>
      <c r="G2375" s="3" t="s">
        <v>7636</v>
      </c>
    </row>
    <row r="2376" spans="1:7">
      <c r="A2376" s="2">
        <v>92</v>
      </c>
      <c r="B2376" s="2" t="s">
        <v>330</v>
      </c>
      <c r="C2376" s="2">
        <v>208</v>
      </c>
      <c r="D2376" s="2" t="s">
        <v>754</v>
      </c>
      <c r="E2376" s="2" t="s">
        <v>7620</v>
      </c>
      <c r="F2376" s="2" t="s">
        <v>7628</v>
      </c>
      <c r="G2376" s="2" t="s">
        <v>7633</v>
      </c>
    </row>
    <row r="2377" spans="1:7">
      <c r="A2377" s="3">
        <v>92</v>
      </c>
      <c r="B2377" s="3" t="s">
        <v>330</v>
      </c>
      <c r="C2377" s="3">
        <v>209</v>
      </c>
      <c r="D2377" s="3" t="s">
        <v>758</v>
      </c>
      <c r="E2377" s="3" t="s">
        <v>7618</v>
      </c>
      <c r="F2377" s="3" t="s">
        <v>7652</v>
      </c>
      <c r="G2377" s="3" t="s">
        <v>7639</v>
      </c>
    </row>
    <row r="2378" spans="1:7">
      <c r="A2378" s="2">
        <v>92</v>
      </c>
      <c r="B2378" s="2" t="s">
        <v>330</v>
      </c>
      <c r="C2378" s="2">
        <v>221</v>
      </c>
      <c r="D2378" s="2" t="s">
        <v>813</v>
      </c>
      <c r="E2378" s="2" t="s">
        <v>7618</v>
      </c>
      <c r="F2378" s="2" t="s">
        <v>7649</v>
      </c>
      <c r="G2378" s="2" t="s">
        <v>7634</v>
      </c>
    </row>
    <row r="2379" spans="1:7">
      <c r="A2379" s="3">
        <v>92</v>
      </c>
      <c r="B2379" s="3" t="s">
        <v>330</v>
      </c>
      <c r="C2379" s="3">
        <v>264</v>
      </c>
      <c r="D2379" s="3" t="s">
        <v>775</v>
      </c>
      <c r="E2379" s="3" t="s">
        <v>7618</v>
      </c>
      <c r="F2379" s="3" t="s">
        <v>7659</v>
      </c>
      <c r="G2379" s="3" t="s">
        <v>7639</v>
      </c>
    </row>
    <row r="2380" spans="1:7">
      <c r="A2380" s="2">
        <v>92</v>
      </c>
      <c r="B2380" s="2" t="s">
        <v>330</v>
      </c>
      <c r="C2380" s="2">
        <v>312</v>
      </c>
      <c r="D2380" s="2" t="s">
        <v>949</v>
      </c>
      <c r="E2380" s="2" t="s">
        <v>7608</v>
      </c>
      <c r="F2380" s="2" t="s">
        <v>7659</v>
      </c>
      <c r="G2380" s="2" t="s">
        <v>7625</v>
      </c>
    </row>
    <row r="2381" spans="1:7">
      <c r="A2381" s="3">
        <v>92</v>
      </c>
      <c r="B2381" s="3" t="s">
        <v>330</v>
      </c>
      <c r="C2381" s="3">
        <v>341</v>
      </c>
      <c r="D2381" s="3" t="s">
        <v>1052</v>
      </c>
      <c r="E2381" s="3" t="s">
        <v>7620</v>
      </c>
      <c r="F2381" s="3" t="s">
        <v>7649</v>
      </c>
      <c r="G2381" s="3" t="s">
        <v>7633</v>
      </c>
    </row>
    <row r="2382" spans="1:7">
      <c r="A2382" s="2">
        <v>92</v>
      </c>
      <c r="B2382" s="2" t="s">
        <v>330</v>
      </c>
      <c r="C2382" s="2">
        <v>343</v>
      </c>
      <c r="D2382" s="2" t="s">
        <v>977</v>
      </c>
      <c r="E2382" s="2" t="s">
        <v>7620</v>
      </c>
      <c r="F2382" s="2" t="s">
        <v>7659</v>
      </c>
      <c r="G2382" s="2" t="s">
        <v>7617</v>
      </c>
    </row>
    <row r="2383" spans="1:7">
      <c r="A2383" s="3">
        <v>93</v>
      </c>
      <c r="B2383" s="3" t="s">
        <v>351</v>
      </c>
      <c r="C2383" s="3">
        <v>97</v>
      </c>
      <c r="D2383" s="3" t="s">
        <v>457</v>
      </c>
      <c r="E2383" s="3" t="s">
        <v>7620</v>
      </c>
      <c r="F2383" s="3" t="s">
        <v>7650</v>
      </c>
      <c r="G2383" s="3" t="s">
        <v>7622</v>
      </c>
    </row>
    <row r="2384" spans="1:7">
      <c r="A2384" s="2">
        <v>93</v>
      </c>
      <c r="B2384" s="2" t="s">
        <v>351</v>
      </c>
      <c r="C2384" s="2">
        <v>101</v>
      </c>
      <c r="D2384" s="2" t="s">
        <v>395</v>
      </c>
      <c r="E2384" s="2" t="s">
        <v>7620</v>
      </c>
      <c r="F2384" s="2" t="s">
        <v>7650</v>
      </c>
      <c r="G2384" s="2" t="s">
        <v>7625</v>
      </c>
    </row>
    <row r="2385" spans="1:7">
      <c r="A2385" s="3">
        <v>93</v>
      </c>
      <c r="B2385" s="3" t="s">
        <v>351</v>
      </c>
      <c r="C2385" s="3">
        <v>103</v>
      </c>
      <c r="D2385" s="3" t="s">
        <v>384</v>
      </c>
      <c r="E2385" s="3" t="s">
        <v>7725</v>
      </c>
      <c r="F2385" s="3" t="s">
        <v>7650</v>
      </c>
      <c r="G2385" s="3" t="s">
        <v>7609</v>
      </c>
    </row>
    <row r="2386" spans="1:7">
      <c r="A2386" s="2">
        <v>93</v>
      </c>
      <c r="B2386" s="2" t="s">
        <v>351</v>
      </c>
      <c r="C2386" s="2">
        <v>189</v>
      </c>
      <c r="D2386" s="2" t="s">
        <v>742</v>
      </c>
      <c r="E2386" s="2" t="s">
        <v>7653</v>
      </c>
      <c r="F2386" s="2" t="s">
        <v>7608</v>
      </c>
      <c r="G2386" s="2" t="s">
        <v>7625</v>
      </c>
    </row>
    <row r="2387" spans="1:7">
      <c r="A2387" s="3">
        <v>93</v>
      </c>
      <c r="B2387" s="3" t="s">
        <v>351</v>
      </c>
      <c r="C2387" s="3">
        <v>191</v>
      </c>
      <c r="D2387" s="3" t="s">
        <v>719</v>
      </c>
      <c r="E2387" s="3" t="s">
        <v>7620</v>
      </c>
      <c r="F2387" s="3" t="s">
        <v>7650</v>
      </c>
      <c r="G2387" s="3" t="s">
        <v>7633</v>
      </c>
    </row>
    <row r="2388" spans="1:7">
      <c r="A2388" s="2">
        <v>93</v>
      </c>
      <c r="B2388" s="2" t="s">
        <v>351</v>
      </c>
      <c r="C2388" s="2">
        <v>192</v>
      </c>
      <c r="D2388" s="2" t="s">
        <v>727</v>
      </c>
      <c r="E2388" s="2" t="s">
        <v>7726</v>
      </c>
      <c r="F2388" s="2" t="s">
        <v>7650</v>
      </c>
      <c r="G2388" s="2" t="s">
        <v>7625</v>
      </c>
    </row>
    <row r="2389" spans="1:7">
      <c r="A2389" s="3">
        <v>93</v>
      </c>
      <c r="B2389" s="3" t="s">
        <v>351</v>
      </c>
      <c r="C2389" s="3">
        <v>195</v>
      </c>
      <c r="D2389" s="3" t="s">
        <v>734</v>
      </c>
      <c r="E2389" s="3" t="s">
        <v>7620</v>
      </c>
      <c r="F2389" s="3" t="s">
        <v>7650</v>
      </c>
      <c r="G2389" s="3" t="s">
        <v>7625</v>
      </c>
    </row>
    <row r="2390" spans="1:7">
      <c r="A2390" s="2">
        <v>93</v>
      </c>
      <c r="B2390" s="2" t="s">
        <v>351</v>
      </c>
      <c r="C2390" s="2">
        <v>198</v>
      </c>
      <c r="D2390" s="2" t="s">
        <v>698</v>
      </c>
      <c r="E2390" s="2" t="s">
        <v>7620</v>
      </c>
      <c r="F2390" s="2" t="s">
        <v>7650</v>
      </c>
      <c r="G2390" s="2" t="s">
        <v>7621</v>
      </c>
    </row>
    <row r="2391" spans="1:7">
      <c r="A2391" s="3">
        <v>93</v>
      </c>
      <c r="B2391" s="3" t="s">
        <v>351</v>
      </c>
      <c r="C2391" s="3">
        <v>199</v>
      </c>
      <c r="D2391" s="3" t="s">
        <v>702</v>
      </c>
      <c r="E2391" s="3" t="s">
        <v>7654</v>
      </c>
      <c r="F2391" s="3" t="s">
        <v>7650</v>
      </c>
      <c r="G2391" s="3" t="s">
        <v>7617</v>
      </c>
    </row>
    <row r="2392" spans="1:7">
      <c r="A2392" s="2">
        <v>93</v>
      </c>
      <c r="B2392" s="2" t="s">
        <v>351</v>
      </c>
      <c r="C2392" s="2">
        <v>200</v>
      </c>
      <c r="D2392" s="2" t="s">
        <v>707</v>
      </c>
      <c r="E2392" s="2" t="s">
        <v>7654</v>
      </c>
      <c r="F2392" s="2" t="s">
        <v>7650</v>
      </c>
      <c r="G2392" s="2" t="s">
        <v>7619</v>
      </c>
    </row>
    <row r="2393" spans="1:7">
      <c r="A2393" s="3">
        <v>93</v>
      </c>
      <c r="B2393" s="3" t="s">
        <v>351</v>
      </c>
      <c r="C2393" s="3">
        <v>209</v>
      </c>
      <c r="D2393" s="3" t="s">
        <v>758</v>
      </c>
      <c r="E2393" s="3" t="s">
        <v>7620</v>
      </c>
      <c r="F2393" s="3" t="s">
        <v>7650</v>
      </c>
      <c r="G2393" s="3" t="s">
        <v>7625</v>
      </c>
    </row>
    <row r="2394" spans="1:7">
      <c r="A2394" s="2">
        <v>93</v>
      </c>
      <c r="B2394" s="2" t="s">
        <v>351</v>
      </c>
      <c r="C2394" s="2">
        <v>221</v>
      </c>
      <c r="D2394" s="2" t="s">
        <v>813</v>
      </c>
      <c r="E2394" s="2" t="s">
        <v>7620</v>
      </c>
      <c r="F2394" s="2" t="s">
        <v>7650</v>
      </c>
      <c r="G2394" s="2" t="s">
        <v>7625</v>
      </c>
    </row>
    <row r="2395" spans="1:7">
      <c r="A2395" s="3">
        <v>93</v>
      </c>
      <c r="B2395" s="3" t="s">
        <v>351</v>
      </c>
      <c r="C2395" s="3">
        <v>264</v>
      </c>
      <c r="D2395" s="3" t="s">
        <v>775</v>
      </c>
      <c r="E2395" s="3" t="s">
        <v>7620</v>
      </c>
      <c r="F2395" s="3" t="s">
        <v>7650</v>
      </c>
      <c r="G2395" s="3" t="s">
        <v>7625</v>
      </c>
    </row>
    <row r="2396" spans="1:7">
      <c r="A2396" s="2">
        <v>93</v>
      </c>
      <c r="B2396" s="2" t="s">
        <v>351</v>
      </c>
      <c r="C2396" s="2">
        <v>341</v>
      </c>
      <c r="D2396" s="2" t="s">
        <v>1052</v>
      </c>
      <c r="E2396" s="2" t="s">
        <v>7620</v>
      </c>
      <c r="F2396" s="2" t="s">
        <v>7650</v>
      </c>
      <c r="G2396" s="2" t="s">
        <v>7622</v>
      </c>
    </row>
    <row r="2397" spans="1:7">
      <c r="A2397" s="3">
        <v>93</v>
      </c>
      <c r="B2397" s="3" t="s">
        <v>351</v>
      </c>
      <c r="C2397" s="3">
        <v>343</v>
      </c>
      <c r="D2397" s="3" t="s">
        <v>977</v>
      </c>
      <c r="E2397" s="3" t="s">
        <v>7620</v>
      </c>
      <c r="F2397" s="3" t="s">
        <v>7650</v>
      </c>
      <c r="G2397" s="3" t="s">
        <v>7625</v>
      </c>
    </row>
    <row r="2398" spans="1:7">
      <c r="A2398" s="2">
        <v>94</v>
      </c>
      <c r="B2398" s="2" t="s">
        <v>316</v>
      </c>
      <c r="C2398" s="2">
        <v>97</v>
      </c>
      <c r="D2398" s="2" t="s">
        <v>457</v>
      </c>
      <c r="E2398" s="2" t="s">
        <v>7618</v>
      </c>
      <c r="F2398" s="2" t="s">
        <v>7713</v>
      </c>
      <c r="G2398" s="2" t="s">
        <v>7632</v>
      </c>
    </row>
    <row r="2399" spans="1:7">
      <c r="A2399" s="3">
        <v>94</v>
      </c>
      <c r="B2399" s="3" t="s">
        <v>316</v>
      </c>
      <c r="C2399" s="3">
        <v>101</v>
      </c>
      <c r="D2399" s="3" t="s">
        <v>395</v>
      </c>
      <c r="E2399" s="3" t="s">
        <v>7620</v>
      </c>
      <c r="F2399" s="3" t="s">
        <v>7652</v>
      </c>
      <c r="G2399" s="3" t="s">
        <v>7633</v>
      </c>
    </row>
    <row r="2400" spans="1:7">
      <c r="A2400" s="2">
        <v>94</v>
      </c>
      <c r="B2400" s="2" t="s">
        <v>316</v>
      </c>
      <c r="C2400" s="2">
        <v>103</v>
      </c>
      <c r="D2400" s="2" t="s">
        <v>384</v>
      </c>
      <c r="E2400" s="2" t="s">
        <v>7725</v>
      </c>
      <c r="F2400" s="2" t="s">
        <v>7650</v>
      </c>
      <c r="G2400" s="2" t="s">
        <v>7636</v>
      </c>
    </row>
    <row r="2401" spans="1:7">
      <c r="A2401" s="3">
        <v>94</v>
      </c>
      <c r="B2401" s="3" t="s">
        <v>316</v>
      </c>
      <c r="C2401" s="3">
        <v>181</v>
      </c>
      <c r="D2401" s="3" t="s">
        <v>653</v>
      </c>
      <c r="E2401" s="3" t="s">
        <v>7608</v>
      </c>
      <c r="F2401" s="3" t="s">
        <v>7713</v>
      </c>
      <c r="G2401" s="3" t="s">
        <v>7621</v>
      </c>
    </row>
    <row r="2402" spans="1:7">
      <c r="A2402" s="2">
        <v>94</v>
      </c>
      <c r="B2402" s="2" t="s">
        <v>316</v>
      </c>
      <c r="C2402" s="2">
        <v>189</v>
      </c>
      <c r="D2402" s="2" t="s">
        <v>742</v>
      </c>
      <c r="E2402" s="2" t="s">
        <v>7653</v>
      </c>
      <c r="F2402" s="2" t="s">
        <v>7608</v>
      </c>
      <c r="G2402" s="2" t="s">
        <v>7622</v>
      </c>
    </row>
    <row r="2403" spans="1:7">
      <c r="A2403" s="3">
        <v>94</v>
      </c>
      <c r="B2403" s="3" t="s">
        <v>316</v>
      </c>
      <c r="C2403" s="3">
        <v>191</v>
      </c>
      <c r="D2403" s="3" t="s">
        <v>719</v>
      </c>
      <c r="E2403" s="3" t="s">
        <v>7618</v>
      </c>
      <c r="F2403" s="3" t="s">
        <v>7652</v>
      </c>
      <c r="G2403" s="3" t="s">
        <v>7624</v>
      </c>
    </row>
    <row r="2404" spans="1:7">
      <c r="A2404" s="2">
        <v>94</v>
      </c>
      <c r="B2404" s="2" t="s">
        <v>316</v>
      </c>
      <c r="C2404" s="2">
        <v>192</v>
      </c>
      <c r="D2404" s="2" t="s">
        <v>727</v>
      </c>
      <c r="E2404" s="2" t="s">
        <v>7726</v>
      </c>
      <c r="F2404" s="2" t="s">
        <v>7652</v>
      </c>
      <c r="G2404" s="2" t="s">
        <v>7622</v>
      </c>
    </row>
    <row r="2405" spans="1:7">
      <c r="A2405" s="3">
        <v>94</v>
      </c>
      <c r="B2405" s="3" t="s">
        <v>316</v>
      </c>
      <c r="C2405" s="3">
        <v>195</v>
      </c>
      <c r="D2405" s="3" t="s">
        <v>734</v>
      </c>
      <c r="E2405" s="3" t="s">
        <v>7618</v>
      </c>
      <c r="F2405" s="3" t="s">
        <v>7652</v>
      </c>
      <c r="G2405" s="3" t="s">
        <v>7624</v>
      </c>
    </row>
    <row r="2406" spans="1:7">
      <c r="A2406" s="2">
        <v>94</v>
      </c>
      <c r="B2406" s="2" t="s">
        <v>316</v>
      </c>
      <c r="C2406" s="2">
        <v>198</v>
      </c>
      <c r="D2406" s="2" t="s">
        <v>698</v>
      </c>
      <c r="E2406" s="2" t="s">
        <v>7620</v>
      </c>
      <c r="F2406" s="2" t="s">
        <v>7652</v>
      </c>
      <c r="G2406" s="2" t="s">
        <v>7636</v>
      </c>
    </row>
    <row r="2407" spans="1:7">
      <c r="A2407" s="3">
        <v>94</v>
      </c>
      <c r="B2407" s="3" t="s">
        <v>316</v>
      </c>
      <c r="C2407" s="3">
        <v>199</v>
      </c>
      <c r="D2407" s="3" t="s">
        <v>702</v>
      </c>
      <c r="E2407" s="3" t="s">
        <v>7660</v>
      </c>
      <c r="F2407" s="3" t="s">
        <v>7652</v>
      </c>
      <c r="G2407" s="3" t="s">
        <v>7641</v>
      </c>
    </row>
    <row r="2408" spans="1:7">
      <c r="A2408" s="2">
        <v>94</v>
      </c>
      <c r="B2408" s="2" t="s">
        <v>316</v>
      </c>
      <c r="C2408" s="2">
        <v>200</v>
      </c>
      <c r="D2408" s="2" t="s">
        <v>707</v>
      </c>
      <c r="E2408" s="2" t="s">
        <v>7654</v>
      </c>
      <c r="F2408" s="2" t="s">
        <v>7652</v>
      </c>
      <c r="G2408" s="2" t="s">
        <v>7632</v>
      </c>
    </row>
    <row r="2409" spans="1:7">
      <c r="A2409" s="3">
        <v>94</v>
      </c>
      <c r="B2409" s="3" t="s">
        <v>316</v>
      </c>
      <c r="C2409" s="3">
        <v>205</v>
      </c>
      <c r="D2409" s="3" t="s">
        <v>746</v>
      </c>
      <c r="E2409" s="3" t="s">
        <v>7620</v>
      </c>
      <c r="F2409" s="3" t="s">
        <v>7635</v>
      </c>
      <c r="G2409" s="3" t="s">
        <v>7622</v>
      </c>
    </row>
    <row r="2410" spans="1:7">
      <c r="A2410" s="2">
        <v>94</v>
      </c>
      <c r="B2410" s="2" t="s">
        <v>316</v>
      </c>
      <c r="C2410" s="2">
        <v>207</v>
      </c>
      <c r="D2410" s="2" t="s">
        <v>749</v>
      </c>
      <c r="E2410" s="2" t="s">
        <v>7618</v>
      </c>
      <c r="F2410" s="2" t="s">
        <v>7608</v>
      </c>
      <c r="G2410" s="2" t="s">
        <v>7609</v>
      </c>
    </row>
    <row r="2411" spans="1:7">
      <c r="A2411" s="3">
        <v>94</v>
      </c>
      <c r="B2411" s="3" t="s">
        <v>316</v>
      </c>
      <c r="C2411" s="3">
        <v>208</v>
      </c>
      <c r="D2411" s="3" t="s">
        <v>754</v>
      </c>
      <c r="E2411" s="3" t="s">
        <v>7620</v>
      </c>
      <c r="F2411" s="3" t="s">
        <v>7635</v>
      </c>
      <c r="G2411" s="3" t="s">
        <v>7622</v>
      </c>
    </row>
    <row r="2412" spans="1:7">
      <c r="A2412" s="2">
        <v>94</v>
      </c>
      <c r="B2412" s="2" t="s">
        <v>316</v>
      </c>
      <c r="C2412" s="2">
        <v>209</v>
      </c>
      <c r="D2412" s="2" t="s">
        <v>758</v>
      </c>
      <c r="E2412" s="2" t="s">
        <v>7618</v>
      </c>
      <c r="F2412" s="2" t="s">
        <v>7652</v>
      </c>
      <c r="G2412" s="2" t="s">
        <v>7639</v>
      </c>
    </row>
    <row r="2413" spans="1:7">
      <c r="A2413" s="3">
        <v>94</v>
      </c>
      <c r="B2413" s="3" t="s">
        <v>316</v>
      </c>
      <c r="C2413" s="3">
        <v>221</v>
      </c>
      <c r="D2413" s="3" t="s">
        <v>813</v>
      </c>
      <c r="E2413" s="3" t="s">
        <v>7618</v>
      </c>
      <c r="F2413" s="3" t="s">
        <v>7650</v>
      </c>
      <c r="G2413" s="3" t="s">
        <v>7617</v>
      </c>
    </row>
    <row r="2414" spans="1:7">
      <c r="A2414" s="2">
        <v>94</v>
      </c>
      <c r="B2414" s="2" t="s">
        <v>316</v>
      </c>
      <c r="C2414" s="2">
        <v>264</v>
      </c>
      <c r="D2414" s="2" t="s">
        <v>775</v>
      </c>
      <c r="E2414" s="2" t="s">
        <v>7618</v>
      </c>
      <c r="F2414" s="2" t="s">
        <v>7652</v>
      </c>
      <c r="G2414" s="2" t="s">
        <v>7619</v>
      </c>
    </row>
    <row r="2415" spans="1:7">
      <c r="A2415" s="3">
        <v>94</v>
      </c>
      <c r="B2415" s="3" t="s">
        <v>316</v>
      </c>
      <c r="C2415" s="3">
        <v>312</v>
      </c>
      <c r="D2415" s="3" t="s">
        <v>949</v>
      </c>
      <c r="E2415" s="3" t="s">
        <v>7608</v>
      </c>
      <c r="F2415" s="3" t="s">
        <v>7713</v>
      </c>
      <c r="G2415" s="3" t="s">
        <v>7625</v>
      </c>
    </row>
    <row r="2416" spans="1:7">
      <c r="A2416" s="2">
        <v>94</v>
      </c>
      <c r="B2416" s="2" t="s">
        <v>316</v>
      </c>
      <c r="C2416" s="2">
        <v>341</v>
      </c>
      <c r="D2416" s="2" t="s">
        <v>1052</v>
      </c>
      <c r="E2416" s="2" t="s">
        <v>7620</v>
      </c>
      <c r="F2416" s="2" t="s">
        <v>7650</v>
      </c>
      <c r="G2416" s="2" t="s">
        <v>7621</v>
      </c>
    </row>
    <row r="2417" spans="1:7">
      <c r="A2417" s="3">
        <v>94</v>
      </c>
      <c r="B2417" s="3" t="s">
        <v>316</v>
      </c>
      <c r="C2417" s="3">
        <v>343</v>
      </c>
      <c r="D2417" s="3" t="s">
        <v>977</v>
      </c>
      <c r="E2417" s="3" t="s">
        <v>7620</v>
      </c>
      <c r="F2417" s="3" t="s">
        <v>7652</v>
      </c>
      <c r="G2417" s="3" t="s">
        <v>7622</v>
      </c>
    </row>
    <row r="2418" spans="1:7">
      <c r="A2418" s="2">
        <v>95</v>
      </c>
      <c r="B2418" s="2" t="s">
        <v>342</v>
      </c>
      <c r="C2418" s="2">
        <v>97</v>
      </c>
      <c r="D2418" s="2" t="s">
        <v>457</v>
      </c>
      <c r="E2418" s="2" t="s">
        <v>7620</v>
      </c>
      <c r="F2418" s="2" t="s">
        <v>7717</v>
      </c>
      <c r="G2418" s="2" t="s">
        <v>7617</v>
      </c>
    </row>
    <row r="2419" spans="1:7">
      <c r="A2419" s="3">
        <v>95</v>
      </c>
      <c r="B2419" s="3" t="s">
        <v>342</v>
      </c>
      <c r="C2419" s="3">
        <v>101</v>
      </c>
      <c r="D2419" s="3" t="s">
        <v>395</v>
      </c>
      <c r="E2419" s="3" t="s">
        <v>7620</v>
      </c>
      <c r="F2419" s="3" t="s">
        <v>7649</v>
      </c>
      <c r="G2419" s="3" t="s">
        <v>7633</v>
      </c>
    </row>
    <row r="2420" spans="1:7">
      <c r="A2420" s="2">
        <v>95</v>
      </c>
      <c r="B2420" s="2" t="s">
        <v>342</v>
      </c>
      <c r="C2420" s="2">
        <v>103</v>
      </c>
      <c r="D2420" s="2" t="s">
        <v>384</v>
      </c>
      <c r="E2420" s="2" t="s">
        <v>7725</v>
      </c>
      <c r="F2420" s="2" t="s">
        <v>7650</v>
      </c>
      <c r="G2420" s="2" t="s">
        <v>7617</v>
      </c>
    </row>
    <row r="2421" spans="1:7">
      <c r="A2421" s="3">
        <v>95</v>
      </c>
      <c r="B2421" s="3" t="s">
        <v>342</v>
      </c>
      <c r="C2421" s="3">
        <v>181</v>
      </c>
      <c r="D2421" s="3" t="s">
        <v>653</v>
      </c>
      <c r="E2421" s="3" t="s">
        <v>7608</v>
      </c>
      <c r="F2421" s="3" t="s">
        <v>7731</v>
      </c>
      <c r="G2421" s="3" t="s">
        <v>7625</v>
      </c>
    </row>
    <row r="2422" spans="1:7">
      <c r="A2422" s="2">
        <v>95</v>
      </c>
      <c r="B2422" s="2" t="s">
        <v>342</v>
      </c>
      <c r="C2422" s="2">
        <v>191</v>
      </c>
      <c r="D2422" s="2" t="s">
        <v>719</v>
      </c>
      <c r="E2422" s="2" t="s">
        <v>7620</v>
      </c>
      <c r="F2422" s="2" t="s">
        <v>7649</v>
      </c>
      <c r="G2422" s="2" t="s">
        <v>7633</v>
      </c>
    </row>
    <row r="2423" spans="1:7">
      <c r="A2423" s="3">
        <v>95</v>
      </c>
      <c r="B2423" s="3" t="s">
        <v>342</v>
      </c>
      <c r="C2423" s="3">
        <v>192</v>
      </c>
      <c r="D2423" s="3" t="s">
        <v>727</v>
      </c>
      <c r="E2423" s="3" t="s">
        <v>7726</v>
      </c>
      <c r="F2423" s="3" t="s">
        <v>7650</v>
      </c>
      <c r="G2423" s="3" t="s">
        <v>7621</v>
      </c>
    </row>
    <row r="2424" spans="1:7">
      <c r="A2424" s="2">
        <v>95</v>
      </c>
      <c r="B2424" s="2" t="s">
        <v>342</v>
      </c>
      <c r="C2424" s="2">
        <v>195</v>
      </c>
      <c r="D2424" s="2" t="s">
        <v>734</v>
      </c>
      <c r="E2424" s="2" t="s">
        <v>7620</v>
      </c>
      <c r="F2424" s="2" t="s">
        <v>7649</v>
      </c>
      <c r="G2424" s="2" t="s">
        <v>7633</v>
      </c>
    </row>
    <row r="2425" spans="1:7">
      <c r="A2425" s="3">
        <v>95</v>
      </c>
      <c r="B2425" s="3" t="s">
        <v>342</v>
      </c>
      <c r="C2425" s="3">
        <v>198</v>
      </c>
      <c r="D2425" s="3" t="s">
        <v>698</v>
      </c>
      <c r="E2425" s="3" t="s">
        <v>7620</v>
      </c>
      <c r="F2425" s="3" t="s">
        <v>7649</v>
      </c>
      <c r="G2425" s="3" t="s">
        <v>7617</v>
      </c>
    </row>
    <row r="2426" spans="1:7">
      <c r="A2426" s="2">
        <v>95</v>
      </c>
      <c r="B2426" s="2" t="s">
        <v>342</v>
      </c>
      <c r="C2426" s="2">
        <v>199</v>
      </c>
      <c r="D2426" s="2" t="s">
        <v>702</v>
      </c>
      <c r="E2426" s="2" t="s">
        <v>7654</v>
      </c>
      <c r="F2426" s="2" t="s">
        <v>7649</v>
      </c>
      <c r="G2426" s="2" t="s">
        <v>7619</v>
      </c>
    </row>
    <row r="2427" spans="1:7">
      <c r="A2427" s="3">
        <v>95</v>
      </c>
      <c r="B2427" s="3" t="s">
        <v>342</v>
      </c>
      <c r="C2427" s="3">
        <v>200</v>
      </c>
      <c r="D2427" s="3" t="s">
        <v>707</v>
      </c>
      <c r="E2427" s="3" t="s">
        <v>7654</v>
      </c>
      <c r="F2427" s="3" t="s">
        <v>7649</v>
      </c>
      <c r="G2427" s="3" t="s">
        <v>7619</v>
      </c>
    </row>
    <row r="2428" spans="1:7">
      <c r="A2428" s="2">
        <v>95</v>
      </c>
      <c r="B2428" s="2" t="s">
        <v>342</v>
      </c>
      <c r="C2428" s="2">
        <v>205</v>
      </c>
      <c r="D2428" s="2" t="s">
        <v>746</v>
      </c>
      <c r="E2428" s="2" t="s">
        <v>7620</v>
      </c>
      <c r="F2428" s="2" t="s">
        <v>7611</v>
      </c>
      <c r="G2428" s="2" t="s">
        <v>7621</v>
      </c>
    </row>
    <row r="2429" spans="1:7">
      <c r="A2429" s="3">
        <v>95</v>
      </c>
      <c r="B2429" s="3" t="s">
        <v>342</v>
      </c>
      <c r="C2429" s="3">
        <v>207</v>
      </c>
      <c r="D2429" s="3" t="s">
        <v>749</v>
      </c>
      <c r="E2429" s="3" t="s">
        <v>7620</v>
      </c>
      <c r="F2429" s="3" t="s">
        <v>7611</v>
      </c>
      <c r="G2429" s="3" t="s">
        <v>7622</v>
      </c>
    </row>
    <row r="2430" spans="1:7">
      <c r="A2430" s="2">
        <v>95</v>
      </c>
      <c r="B2430" s="2" t="s">
        <v>342</v>
      </c>
      <c r="C2430" s="2">
        <v>208</v>
      </c>
      <c r="D2430" s="2" t="s">
        <v>754</v>
      </c>
      <c r="E2430" s="2" t="s">
        <v>7620</v>
      </c>
      <c r="F2430" s="2" t="s">
        <v>7611</v>
      </c>
      <c r="G2430" s="2" t="s">
        <v>7621</v>
      </c>
    </row>
    <row r="2431" spans="1:7">
      <c r="A2431" s="3">
        <v>95</v>
      </c>
      <c r="B2431" s="3" t="s">
        <v>342</v>
      </c>
      <c r="C2431" s="3">
        <v>209</v>
      </c>
      <c r="D2431" s="3" t="s">
        <v>758</v>
      </c>
      <c r="E2431" s="3" t="s">
        <v>7620</v>
      </c>
      <c r="F2431" s="3" t="s">
        <v>7650</v>
      </c>
      <c r="G2431" s="3" t="s">
        <v>7621</v>
      </c>
    </row>
    <row r="2432" spans="1:7">
      <c r="A2432" s="2">
        <v>95</v>
      </c>
      <c r="B2432" s="2" t="s">
        <v>342</v>
      </c>
      <c r="C2432" s="2">
        <v>221</v>
      </c>
      <c r="D2432" s="2" t="s">
        <v>813</v>
      </c>
      <c r="E2432" s="2" t="s">
        <v>7620</v>
      </c>
      <c r="F2432" s="2" t="s">
        <v>7649</v>
      </c>
      <c r="G2432" s="2" t="s">
        <v>7633</v>
      </c>
    </row>
    <row r="2433" spans="1:7">
      <c r="A2433" s="3">
        <v>95</v>
      </c>
      <c r="B2433" s="3" t="s">
        <v>342</v>
      </c>
      <c r="C2433" s="3">
        <v>264</v>
      </c>
      <c r="D2433" s="3" t="s">
        <v>775</v>
      </c>
      <c r="E2433" s="3" t="s">
        <v>7620</v>
      </c>
      <c r="F2433" s="3" t="s">
        <v>7649</v>
      </c>
      <c r="G2433" s="3" t="s">
        <v>7633</v>
      </c>
    </row>
    <row r="2434" spans="1:7">
      <c r="A2434" s="2">
        <v>95</v>
      </c>
      <c r="B2434" s="2" t="s">
        <v>342</v>
      </c>
      <c r="C2434" s="2">
        <v>312</v>
      </c>
      <c r="D2434" s="2" t="s">
        <v>949</v>
      </c>
      <c r="E2434" s="2" t="s">
        <v>7608</v>
      </c>
      <c r="F2434" s="2" t="s">
        <v>7717</v>
      </c>
      <c r="G2434" s="2" t="s">
        <v>7625</v>
      </c>
    </row>
    <row r="2435" spans="1:7">
      <c r="A2435" s="3">
        <v>95</v>
      </c>
      <c r="B2435" s="3" t="s">
        <v>342</v>
      </c>
      <c r="C2435" s="3">
        <v>341</v>
      </c>
      <c r="D2435" s="3" t="s">
        <v>1052</v>
      </c>
      <c r="E2435" s="3" t="s">
        <v>7620</v>
      </c>
      <c r="F2435" s="3" t="s">
        <v>7649</v>
      </c>
      <c r="G2435" s="3" t="s">
        <v>7609</v>
      </c>
    </row>
    <row r="2436" spans="1:7">
      <c r="A2436" s="2">
        <v>95</v>
      </c>
      <c r="B2436" s="2" t="s">
        <v>342</v>
      </c>
      <c r="C2436" s="2">
        <v>343</v>
      </c>
      <c r="D2436" s="2" t="s">
        <v>977</v>
      </c>
      <c r="E2436" s="2" t="s">
        <v>7620</v>
      </c>
      <c r="F2436" s="2" t="s">
        <v>7649</v>
      </c>
      <c r="G2436" s="2" t="s">
        <v>7622</v>
      </c>
    </row>
    <row r="2437" spans="1:7">
      <c r="A2437" s="3">
        <v>96</v>
      </c>
      <c r="B2437" s="3" t="s">
        <v>359</v>
      </c>
      <c r="C2437" s="3">
        <v>97</v>
      </c>
      <c r="D2437" s="3" t="s">
        <v>457</v>
      </c>
      <c r="E2437" s="3" t="s">
        <v>7618</v>
      </c>
      <c r="F2437" s="3" t="s">
        <v>7611</v>
      </c>
      <c r="G2437" s="3" t="s">
        <v>7634</v>
      </c>
    </row>
    <row r="2438" spans="1:7">
      <c r="A2438" s="2">
        <v>96</v>
      </c>
      <c r="B2438" s="2" t="s">
        <v>359</v>
      </c>
      <c r="C2438" s="2">
        <v>101</v>
      </c>
      <c r="D2438" s="2" t="s">
        <v>395</v>
      </c>
      <c r="E2438" s="2" t="s">
        <v>7620</v>
      </c>
      <c r="F2438" s="2" t="s">
        <v>7611</v>
      </c>
      <c r="G2438" s="2" t="s">
        <v>7621</v>
      </c>
    </row>
    <row r="2439" spans="1:7">
      <c r="A2439" s="3">
        <v>96</v>
      </c>
      <c r="B2439" s="3" t="s">
        <v>359</v>
      </c>
      <c r="C2439" s="3">
        <v>103</v>
      </c>
      <c r="D2439" s="3" t="s">
        <v>384</v>
      </c>
      <c r="E2439" s="3" t="s">
        <v>7725</v>
      </c>
      <c r="F2439" s="3" t="s">
        <v>7608</v>
      </c>
      <c r="G2439" s="3" t="s">
        <v>7633</v>
      </c>
    </row>
    <row r="2440" spans="1:7">
      <c r="A2440" s="2">
        <v>96</v>
      </c>
      <c r="B2440" s="2" t="s">
        <v>359</v>
      </c>
      <c r="C2440" s="2">
        <v>189</v>
      </c>
      <c r="D2440" s="2" t="s">
        <v>742</v>
      </c>
      <c r="E2440" s="2" t="s">
        <v>7653</v>
      </c>
      <c r="F2440" s="2" t="s">
        <v>7608</v>
      </c>
      <c r="G2440" s="2" t="s">
        <v>7621</v>
      </c>
    </row>
    <row r="2441" spans="1:7">
      <c r="A2441" s="3">
        <v>96</v>
      </c>
      <c r="B2441" s="3" t="s">
        <v>359</v>
      </c>
      <c r="C2441" s="3">
        <v>191</v>
      </c>
      <c r="D2441" s="3" t="s">
        <v>719</v>
      </c>
      <c r="E2441" s="3" t="s">
        <v>7618</v>
      </c>
      <c r="F2441" s="3" t="s">
        <v>7611</v>
      </c>
      <c r="G2441" s="3" t="s">
        <v>7619</v>
      </c>
    </row>
    <row r="2442" spans="1:7">
      <c r="A2442" s="2">
        <v>96</v>
      </c>
      <c r="B2442" s="2" t="s">
        <v>359</v>
      </c>
      <c r="C2442" s="2">
        <v>195</v>
      </c>
      <c r="D2442" s="2" t="s">
        <v>734</v>
      </c>
      <c r="E2442" s="2" t="s">
        <v>7618</v>
      </c>
      <c r="F2442" s="2" t="s">
        <v>7611</v>
      </c>
      <c r="G2442" s="2" t="s">
        <v>7639</v>
      </c>
    </row>
    <row r="2443" spans="1:7">
      <c r="A2443" s="3">
        <v>96</v>
      </c>
      <c r="B2443" s="3" t="s">
        <v>359</v>
      </c>
      <c r="C2443" s="3">
        <v>198</v>
      </c>
      <c r="D2443" s="3" t="s">
        <v>698</v>
      </c>
      <c r="E2443" s="3" t="s">
        <v>7620</v>
      </c>
      <c r="F2443" s="3" t="s">
        <v>7611</v>
      </c>
      <c r="G2443" s="3" t="s">
        <v>7633</v>
      </c>
    </row>
    <row r="2444" spans="1:7">
      <c r="A2444" s="2">
        <v>96</v>
      </c>
      <c r="B2444" s="2" t="s">
        <v>359</v>
      </c>
      <c r="C2444" s="2">
        <v>199</v>
      </c>
      <c r="D2444" s="2" t="s">
        <v>702</v>
      </c>
      <c r="E2444" s="2" t="s">
        <v>7660</v>
      </c>
      <c r="F2444" s="2" t="s">
        <v>7611</v>
      </c>
      <c r="G2444" s="2" t="s">
        <v>7639</v>
      </c>
    </row>
    <row r="2445" spans="1:7">
      <c r="A2445" s="3">
        <v>96</v>
      </c>
      <c r="B2445" s="3" t="s">
        <v>359</v>
      </c>
      <c r="C2445" s="3">
        <v>200</v>
      </c>
      <c r="D2445" s="3" t="s">
        <v>707</v>
      </c>
      <c r="E2445" s="3" t="s">
        <v>7654</v>
      </c>
      <c r="F2445" s="3" t="s">
        <v>7611</v>
      </c>
      <c r="G2445" s="3" t="s">
        <v>7636</v>
      </c>
    </row>
    <row r="2446" spans="1:7">
      <c r="A2446" s="2">
        <v>96</v>
      </c>
      <c r="B2446" s="2" t="s">
        <v>359</v>
      </c>
      <c r="C2446" s="2">
        <v>205</v>
      </c>
      <c r="D2446" s="2" t="s">
        <v>746</v>
      </c>
      <c r="E2446" s="2" t="s">
        <v>7620</v>
      </c>
      <c r="F2446" s="2" t="s">
        <v>7611</v>
      </c>
      <c r="G2446" s="2" t="s">
        <v>7622</v>
      </c>
    </row>
    <row r="2447" spans="1:7">
      <c r="A2447" s="3">
        <v>96</v>
      </c>
      <c r="B2447" s="3" t="s">
        <v>359</v>
      </c>
      <c r="C2447" s="3">
        <v>207</v>
      </c>
      <c r="D2447" s="3" t="s">
        <v>749</v>
      </c>
      <c r="E2447" s="3" t="s">
        <v>7618</v>
      </c>
      <c r="F2447" s="3" t="s">
        <v>7611</v>
      </c>
      <c r="G2447" s="3" t="s">
        <v>7619</v>
      </c>
    </row>
    <row r="2448" spans="1:7">
      <c r="A2448" s="2">
        <v>96</v>
      </c>
      <c r="B2448" s="2" t="s">
        <v>359</v>
      </c>
      <c r="C2448" s="2">
        <v>208</v>
      </c>
      <c r="D2448" s="2" t="s">
        <v>754</v>
      </c>
      <c r="E2448" s="2" t="s">
        <v>7620</v>
      </c>
      <c r="F2448" s="2" t="s">
        <v>7611</v>
      </c>
      <c r="G2448" s="2" t="s">
        <v>7633</v>
      </c>
    </row>
    <row r="2449" spans="1:7">
      <c r="A2449" s="3">
        <v>96</v>
      </c>
      <c r="B2449" s="3" t="s">
        <v>359</v>
      </c>
      <c r="C2449" s="3">
        <v>209</v>
      </c>
      <c r="D2449" s="3" t="s">
        <v>758</v>
      </c>
      <c r="E2449" s="3" t="s">
        <v>7618</v>
      </c>
      <c r="F2449" s="3" t="s">
        <v>7608</v>
      </c>
      <c r="G2449" s="3" t="s">
        <v>7617</v>
      </c>
    </row>
    <row r="2450" spans="1:7">
      <c r="A2450" s="2">
        <v>96</v>
      </c>
      <c r="B2450" s="2" t="s">
        <v>359</v>
      </c>
      <c r="C2450" s="2">
        <v>221</v>
      </c>
      <c r="D2450" s="2" t="s">
        <v>813</v>
      </c>
      <c r="E2450" s="2" t="s">
        <v>7618</v>
      </c>
      <c r="F2450" s="2" t="s">
        <v>7611</v>
      </c>
      <c r="G2450" s="2" t="s">
        <v>7617</v>
      </c>
    </row>
    <row r="2451" spans="1:7">
      <c r="A2451" s="3">
        <v>96</v>
      </c>
      <c r="B2451" s="3" t="s">
        <v>359</v>
      </c>
      <c r="C2451" s="3">
        <v>264</v>
      </c>
      <c r="D2451" s="3" t="s">
        <v>775</v>
      </c>
      <c r="E2451" s="3" t="s">
        <v>7618</v>
      </c>
      <c r="F2451" s="3" t="s">
        <v>7611</v>
      </c>
      <c r="G2451" s="3" t="s">
        <v>7617</v>
      </c>
    </row>
    <row r="2452" spans="1:7">
      <c r="A2452" s="2">
        <v>96</v>
      </c>
      <c r="B2452" s="2" t="s">
        <v>359</v>
      </c>
      <c r="C2452" s="2">
        <v>341</v>
      </c>
      <c r="D2452" s="2" t="s">
        <v>1052</v>
      </c>
      <c r="E2452" s="2" t="s">
        <v>7620</v>
      </c>
      <c r="F2452" s="2" t="s">
        <v>7611</v>
      </c>
      <c r="G2452" s="2" t="s">
        <v>7633</v>
      </c>
    </row>
    <row r="2453" spans="1:7">
      <c r="A2453" s="3">
        <v>96</v>
      </c>
      <c r="B2453" s="3" t="s">
        <v>359</v>
      </c>
      <c r="C2453" s="3">
        <v>343</v>
      </c>
      <c r="D2453" s="3" t="s">
        <v>977</v>
      </c>
      <c r="E2453" s="3" t="s">
        <v>7620</v>
      </c>
      <c r="F2453" s="3" t="s">
        <v>7611</v>
      </c>
      <c r="G2453" s="3" t="s">
        <v>7625</v>
      </c>
    </row>
    <row r="2454" spans="1:7">
      <c r="A2454" s="2">
        <v>97</v>
      </c>
      <c r="B2454" s="2" t="s">
        <v>457</v>
      </c>
      <c r="C2454" s="2">
        <v>98</v>
      </c>
      <c r="D2454" s="2" t="s">
        <v>440</v>
      </c>
      <c r="E2454" s="2" t="s">
        <v>7620</v>
      </c>
      <c r="F2454" s="2" t="s">
        <v>7649</v>
      </c>
      <c r="G2454" s="2" t="s">
        <v>7622</v>
      </c>
    </row>
    <row r="2455" spans="1:7">
      <c r="A2455" s="3">
        <v>97</v>
      </c>
      <c r="B2455" s="3" t="s">
        <v>457</v>
      </c>
      <c r="C2455" s="3">
        <v>99</v>
      </c>
      <c r="D2455" s="3" t="s">
        <v>446</v>
      </c>
      <c r="E2455" s="3" t="s">
        <v>7620</v>
      </c>
      <c r="F2455" s="3" t="s">
        <v>7712</v>
      </c>
      <c r="G2455" s="3" t="s">
        <v>7636</v>
      </c>
    </row>
    <row r="2456" spans="1:7">
      <c r="A2456" s="2">
        <v>97</v>
      </c>
      <c r="B2456" s="2" t="s">
        <v>457</v>
      </c>
      <c r="C2456" s="2">
        <v>100</v>
      </c>
      <c r="D2456" s="2" t="s">
        <v>450</v>
      </c>
      <c r="E2456" s="2" t="s">
        <v>7620</v>
      </c>
      <c r="F2456" s="2" t="s">
        <v>7732</v>
      </c>
      <c r="G2456" s="2" t="s">
        <v>7625</v>
      </c>
    </row>
    <row r="2457" spans="1:7">
      <c r="A2457" s="3">
        <v>97</v>
      </c>
      <c r="B2457" s="3" t="s">
        <v>457</v>
      </c>
      <c r="C2457" s="3">
        <v>101</v>
      </c>
      <c r="D2457" s="3" t="s">
        <v>395</v>
      </c>
      <c r="E2457" s="3" t="s">
        <v>7723</v>
      </c>
      <c r="F2457" s="3" t="s">
        <v>7659</v>
      </c>
      <c r="G2457" s="3" t="s">
        <v>7626</v>
      </c>
    </row>
    <row r="2458" spans="1:7">
      <c r="A2458" s="2">
        <v>97</v>
      </c>
      <c r="B2458" s="2" t="s">
        <v>457</v>
      </c>
      <c r="C2458" s="2">
        <v>102</v>
      </c>
      <c r="D2458" s="2" t="s">
        <v>540</v>
      </c>
      <c r="E2458" s="2" t="s">
        <v>7620</v>
      </c>
      <c r="F2458" s="2" t="s">
        <v>7721</v>
      </c>
      <c r="G2458" s="2" t="s">
        <v>7622</v>
      </c>
    </row>
    <row r="2459" spans="1:7">
      <c r="A2459" s="3">
        <v>97</v>
      </c>
      <c r="B2459" s="3" t="s">
        <v>457</v>
      </c>
      <c r="C2459" s="3">
        <v>103</v>
      </c>
      <c r="D2459" s="3" t="s">
        <v>384</v>
      </c>
      <c r="E2459" s="3" t="s">
        <v>7694</v>
      </c>
      <c r="F2459" s="3" t="s">
        <v>7650</v>
      </c>
      <c r="G2459" s="3" t="s">
        <v>7609</v>
      </c>
    </row>
    <row r="2460" spans="1:7">
      <c r="A2460" s="2">
        <v>97</v>
      </c>
      <c r="B2460" s="2" t="s">
        <v>457</v>
      </c>
      <c r="C2460" s="2">
        <v>104</v>
      </c>
      <c r="D2460" s="2" t="s">
        <v>493</v>
      </c>
      <c r="E2460" s="2" t="s">
        <v>7620</v>
      </c>
      <c r="F2460" s="2" t="s">
        <v>7649</v>
      </c>
      <c r="G2460" s="2" t="s">
        <v>7609</v>
      </c>
    </row>
    <row r="2461" spans="1:7">
      <c r="A2461" s="3">
        <v>97</v>
      </c>
      <c r="B2461" s="3" t="s">
        <v>457</v>
      </c>
      <c r="C2461" s="3">
        <v>105</v>
      </c>
      <c r="D2461" s="3" t="s">
        <v>582</v>
      </c>
      <c r="E2461" s="3" t="s">
        <v>7620</v>
      </c>
      <c r="F2461" s="3" t="s">
        <v>7611</v>
      </c>
      <c r="G2461" s="3" t="s">
        <v>7625</v>
      </c>
    </row>
    <row r="2462" spans="1:7">
      <c r="A2462" s="2">
        <v>97</v>
      </c>
      <c r="B2462" s="2" t="s">
        <v>457</v>
      </c>
      <c r="C2462" s="2">
        <v>106</v>
      </c>
      <c r="D2462" s="2" t="s">
        <v>404</v>
      </c>
      <c r="E2462" s="2" t="s">
        <v>7620</v>
      </c>
      <c r="F2462" s="2" t="s">
        <v>7650</v>
      </c>
      <c r="G2462" s="2" t="s">
        <v>7625</v>
      </c>
    </row>
    <row r="2463" spans="1:7">
      <c r="A2463" s="3">
        <v>97</v>
      </c>
      <c r="B2463" s="3" t="s">
        <v>457</v>
      </c>
      <c r="C2463" s="3">
        <v>107</v>
      </c>
      <c r="D2463" s="3" t="s">
        <v>536</v>
      </c>
      <c r="E2463" s="3" t="s">
        <v>7618</v>
      </c>
      <c r="F2463" s="3" t="s">
        <v>7649</v>
      </c>
      <c r="G2463" s="3" t="s">
        <v>7639</v>
      </c>
    </row>
    <row r="2464" spans="1:7">
      <c r="A2464" s="2">
        <v>97</v>
      </c>
      <c r="B2464" s="2" t="s">
        <v>457</v>
      </c>
      <c r="C2464" s="2">
        <v>108</v>
      </c>
      <c r="D2464" s="2" t="s">
        <v>548</v>
      </c>
      <c r="E2464" s="2" t="s">
        <v>7618</v>
      </c>
      <c r="F2464" s="2" t="s">
        <v>7611</v>
      </c>
      <c r="G2464" s="2" t="s">
        <v>7636</v>
      </c>
    </row>
    <row r="2465" spans="1:7">
      <c r="A2465" s="3">
        <v>97</v>
      </c>
      <c r="B2465" s="3" t="s">
        <v>457</v>
      </c>
      <c r="C2465" s="3">
        <v>109</v>
      </c>
      <c r="D2465" s="3" t="s">
        <v>489</v>
      </c>
      <c r="E2465" s="3" t="s">
        <v>7618</v>
      </c>
      <c r="F2465" s="3" t="s">
        <v>7650</v>
      </c>
      <c r="G2465" s="3" t="s">
        <v>7617</v>
      </c>
    </row>
    <row r="2466" spans="1:7">
      <c r="A2466" s="2">
        <v>97</v>
      </c>
      <c r="B2466" s="2" t="s">
        <v>457</v>
      </c>
      <c r="C2466" s="2">
        <v>110</v>
      </c>
      <c r="D2466" s="2" t="s">
        <v>363</v>
      </c>
      <c r="E2466" s="2" t="s">
        <v>7620</v>
      </c>
      <c r="F2466" s="2" t="s">
        <v>7650</v>
      </c>
      <c r="G2466" s="2" t="s">
        <v>7625</v>
      </c>
    </row>
    <row r="2467" spans="1:7">
      <c r="A2467" s="3">
        <v>97</v>
      </c>
      <c r="B2467" s="3" t="s">
        <v>457</v>
      </c>
      <c r="C2467" s="3">
        <v>111</v>
      </c>
      <c r="D2467" s="3" t="s">
        <v>407</v>
      </c>
      <c r="E2467" s="3" t="s">
        <v>7618</v>
      </c>
      <c r="F2467" s="3" t="s">
        <v>7650</v>
      </c>
      <c r="G2467" s="3" t="s">
        <v>7639</v>
      </c>
    </row>
    <row r="2468" spans="1:7">
      <c r="A2468" s="2">
        <v>97</v>
      </c>
      <c r="B2468" s="2" t="s">
        <v>457</v>
      </c>
      <c r="C2468" s="2">
        <v>112</v>
      </c>
      <c r="D2468" s="2" t="s">
        <v>517</v>
      </c>
      <c r="E2468" s="2" t="s">
        <v>7620</v>
      </c>
      <c r="F2468" s="2" t="s">
        <v>7659</v>
      </c>
      <c r="G2468" s="2" t="s">
        <v>7619</v>
      </c>
    </row>
    <row r="2469" spans="1:7">
      <c r="A2469" s="3">
        <v>97</v>
      </c>
      <c r="B2469" s="3" t="s">
        <v>457</v>
      </c>
      <c r="C2469" s="3">
        <v>113</v>
      </c>
      <c r="D2469" s="3" t="s">
        <v>595</v>
      </c>
      <c r="E2469" s="3" t="s">
        <v>7620</v>
      </c>
      <c r="F2469" s="3" t="s">
        <v>7611</v>
      </c>
      <c r="G2469" s="3" t="s">
        <v>7621</v>
      </c>
    </row>
    <row r="2470" spans="1:7">
      <c r="A2470" s="2">
        <v>97</v>
      </c>
      <c r="B2470" s="2" t="s">
        <v>457</v>
      </c>
      <c r="C2470" s="2">
        <v>114</v>
      </c>
      <c r="D2470" s="2" t="s">
        <v>461</v>
      </c>
      <c r="E2470" s="2" t="s">
        <v>7620</v>
      </c>
      <c r="F2470" s="2" t="s">
        <v>7649</v>
      </c>
      <c r="G2470" s="2" t="s">
        <v>7622</v>
      </c>
    </row>
    <row r="2471" spans="1:7">
      <c r="A2471" s="3">
        <v>97</v>
      </c>
      <c r="B2471" s="3" t="s">
        <v>457</v>
      </c>
      <c r="C2471" s="3">
        <v>115</v>
      </c>
      <c r="D2471" s="3" t="s">
        <v>476</v>
      </c>
      <c r="E2471" s="3" t="s">
        <v>7620</v>
      </c>
      <c r="F2471" s="3" t="s">
        <v>7611</v>
      </c>
      <c r="G2471" s="3" t="s">
        <v>7622</v>
      </c>
    </row>
    <row r="2472" spans="1:7">
      <c r="A2472" s="2">
        <v>97</v>
      </c>
      <c r="B2472" s="2" t="s">
        <v>457</v>
      </c>
      <c r="C2472" s="2">
        <v>116</v>
      </c>
      <c r="D2472" s="2" t="s">
        <v>584</v>
      </c>
      <c r="E2472" s="2" t="s">
        <v>7620</v>
      </c>
      <c r="F2472" s="2" t="s">
        <v>7721</v>
      </c>
      <c r="G2472" s="2" t="s">
        <v>7622</v>
      </c>
    </row>
    <row r="2473" spans="1:7">
      <c r="A2473" s="3">
        <v>97</v>
      </c>
      <c r="B2473" s="3" t="s">
        <v>457</v>
      </c>
      <c r="C2473" s="3">
        <v>117</v>
      </c>
      <c r="D2473" s="3" t="s">
        <v>528</v>
      </c>
      <c r="E2473" s="3" t="s">
        <v>7620</v>
      </c>
      <c r="F2473" s="3" t="s">
        <v>7611</v>
      </c>
      <c r="G2473" s="3" t="s">
        <v>7622</v>
      </c>
    </row>
    <row r="2474" spans="1:7">
      <c r="A2474" s="2">
        <v>97</v>
      </c>
      <c r="B2474" s="2" t="s">
        <v>457</v>
      </c>
      <c r="C2474" s="2">
        <v>118</v>
      </c>
      <c r="D2474" s="2" t="s">
        <v>514</v>
      </c>
      <c r="E2474" s="2" t="s">
        <v>7620</v>
      </c>
      <c r="F2474" s="2" t="s">
        <v>7611</v>
      </c>
      <c r="G2474" s="2" t="s">
        <v>7622</v>
      </c>
    </row>
    <row r="2475" spans="1:7">
      <c r="A2475" s="3">
        <v>97</v>
      </c>
      <c r="B2475" s="3" t="s">
        <v>457</v>
      </c>
      <c r="C2475" s="3">
        <v>119</v>
      </c>
      <c r="D2475" s="3" t="s">
        <v>367</v>
      </c>
      <c r="E2475" s="3" t="s">
        <v>7620</v>
      </c>
      <c r="F2475" s="3" t="s">
        <v>7659</v>
      </c>
      <c r="G2475" s="3" t="s">
        <v>7636</v>
      </c>
    </row>
    <row r="2476" spans="1:7">
      <c r="A2476" s="2">
        <v>97</v>
      </c>
      <c r="B2476" s="2" t="s">
        <v>457</v>
      </c>
      <c r="C2476" s="2">
        <v>120</v>
      </c>
      <c r="D2476" s="2" t="s">
        <v>465</v>
      </c>
      <c r="E2476" s="2" t="s">
        <v>7620</v>
      </c>
      <c r="F2476" s="2" t="s">
        <v>7649</v>
      </c>
      <c r="G2476" s="2" t="s">
        <v>7633</v>
      </c>
    </row>
    <row r="2477" spans="1:7">
      <c r="A2477" s="3">
        <v>97</v>
      </c>
      <c r="B2477" s="3" t="s">
        <v>457</v>
      </c>
      <c r="C2477" s="3">
        <v>121</v>
      </c>
      <c r="D2477" s="3" t="s">
        <v>510</v>
      </c>
      <c r="E2477" s="3" t="s">
        <v>7620</v>
      </c>
      <c r="F2477" s="3" t="s">
        <v>7611</v>
      </c>
      <c r="G2477" s="3" t="s">
        <v>7622</v>
      </c>
    </row>
    <row r="2478" spans="1:7">
      <c r="A2478" s="2">
        <v>97</v>
      </c>
      <c r="B2478" s="2" t="s">
        <v>457</v>
      </c>
      <c r="C2478" s="2">
        <v>122</v>
      </c>
      <c r="D2478" s="2" t="s">
        <v>391</v>
      </c>
      <c r="E2478" s="2" t="s">
        <v>7618</v>
      </c>
      <c r="F2478" s="2" t="s">
        <v>7649</v>
      </c>
      <c r="G2478" s="2" t="s">
        <v>7634</v>
      </c>
    </row>
    <row r="2479" spans="1:7">
      <c r="A2479" s="3">
        <v>97</v>
      </c>
      <c r="B2479" s="3" t="s">
        <v>457</v>
      </c>
      <c r="C2479" s="3">
        <v>123</v>
      </c>
      <c r="D2479" s="3" t="s">
        <v>571</v>
      </c>
      <c r="E2479" s="3" t="s">
        <v>7620</v>
      </c>
      <c r="F2479" s="3" t="s">
        <v>7628</v>
      </c>
      <c r="G2479" s="3" t="s">
        <v>7622</v>
      </c>
    </row>
    <row r="2480" spans="1:7">
      <c r="A2480" s="2">
        <v>97</v>
      </c>
      <c r="B2480" s="2" t="s">
        <v>457</v>
      </c>
      <c r="C2480" s="2">
        <v>124</v>
      </c>
      <c r="D2480" s="2" t="s">
        <v>524</v>
      </c>
      <c r="E2480" s="2" t="s">
        <v>7620</v>
      </c>
      <c r="F2480" s="2" t="s">
        <v>7611</v>
      </c>
      <c r="G2480" s="2" t="s">
        <v>7622</v>
      </c>
    </row>
    <row r="2481" spans="1:7">
      <c r="A2481" s="3">
        <v>97</v>
      </c>
      <c r="B2481" s="3" t="s">
        <v>457</v>
      </c>
      <c r="C2481" s="3">
        <v>125</v>
      </c>
      <c r="D2481" s="3" t="s">
        <v>565</v>
      </c>
      <c r="E2481" s="3" t="s">
        <v>7620</v>
      </c>
      <c r="F2481" s="3" t="s">
        <v>7611</v>
      </c>
      <c r="G2481" s="3" t="s">
        <v>7633</v>
      </c>
    </row>
    <row r="2482" spans="1:7">
      <c r="A2482" s="2">
        <v>97</v>
      </c>
      <c r="B2482" s="2" t="s">
        <v>457</v>
      </c>
      <c r="C2482" s="2">
        <v>126</v>
      </c>
      <c r="D2482" s="2" t="s">
        <v>410</v>
      </c>
      <c r="E2482" s="2" t="s">
        <v>7620</v>
      </c>
      <c r="F2482" s="2" t="s">
        <v>7608</v>
      </c>
      <c r="G2482" s="2" t="s">
        <v>7625</v>
      </c>
    </row>
    <row r="2483" spans="1:7">
      <c r="A2483" s="3">
        <v>97</v>
      </c>
      <c r="B2483" s="3" t="s">
        <v>457</v>
      </c>
      <c r="C2483" s="3">
        <v>127</v>
      </c>
      <c r="D2483" s="3" t="s">
        <v>575</v>
      </c>
      <c r="E2483" s="3" t="s">
        <v>7620</v>
      </c>
      <c r="F2483" s="3" t="s">
        <v>7721</v>
      </c>
      <c r="G2483" s="3" t="s">
        <v>7622</v>
      </c>
    </row>
    <row r="2484" spans="1:7">
      <c r="A2484" s="2">
        <v>97</v>
      </c>
      <c r="B2484" s="2" t="s">
        <v>457</v>
      </c>
      <c r="C2484" s="2">
        <v>128</v>
      </c>
      <c r="D2484" s="2" t="s">
        <v>355</v>
      </c>
      <c r="E2484" s="2" t="s">
        <v>7620</v>
      </c>
      <c r="F2484" s="2" t="s">
        <v>7611</v>
      </c>
      <c r="G2484" s="2" t="s">
        <v>7621</v>
      </c>
    </row>
    <row r="2485" spans="1:7">
      <c r="A2485" s="3">
        <v>97</v>
      </c>
      <c r="B2485" s="3" t="s">
        <v>457</v>
      </c>
      <c r="C2485" s="3">
        <v>129</v>
      </c>
      <c r="D2485" s="3" t="s">
        <v>499</v>
      </c>
      <c r="E2485" s="3" t="s">
        <v>7620</v>
      </c>
      <c r="F2485" s="3" t="s">
        <v>7611</v>
      </c>
      <c r="G2485" s="3" t="s">
        <v>7625</v>
      </c>
    </row>
    <row r="2486" spans="1:7">
      <c r="A2486" s="2">
        <v>97</v>
      </c>
      <c r="B2486" s="2" t="s">
        <v>457</v>
      </c>
      <c r="C2486" s="2">
        <v>130</v>
      </c>
      <c r="D2486" s="2" t="s">
        <v>504</v>
      </c>
      <c r="E2486" s="2" t="s">
        <v>7618</v>
      </c>
      <c r="F2486" s="2" t="s">
        <v>7721</v>
      </c>
      <c r="G2486" s="2" t="s">
        <v>7632</v>
      </c>
    </row>
    <row r="2487" spans="1:7">
      <c r="A2487" s="3">
        <v>97</v>
      </c>
      <c r="B2487" s="3" t="s">
        <v>457</v>
      </c>
      <c r="C2487" s="3">
        <v>131</v>
      </c>
      <c r="D2487" s="3" t="s">
        <v>577</v>
      </c>
      <c r="E2487" s="3" t="s">
        <v>7620</v>
      </c>
      <c r="F2487" s="3" t="s">
        <v>7721</v>
      </c>
      <c r="G2487" s="3" t="s">
        <v>7622</v>
      </c>
    </row>
    <row r="2488" spans="1:7">
      <c r="A2488" s="2">
        <v>97</v>
      </c>
      <c r="B2488" s="2" t="s">
        <v>457</v>
      </c>
      <c r="C2488" s="2">
        <v>133</v>
      </c>
      <c r="D2488" s="2" t="s">
        <v>212</v>
      </c>
      <c r="E2488" s="2" t="s">
        <v>7618</v>
      </c>
      <c r="F2488" s="2" t="s">
        <v>7608</v>
      </c>
      <c r="G2488" s="2" t="s">
        <v>7633</v>
      </c>
    </row>
    <row r="2489" spans="1:7">
      <c r="A2489" s="3">
        <v>97</v>
      </c>
      <c r="B2489" s="3" t="s">
        <v>457</v>
      </c>
      <c r="C2489" s="3">
        <v>134</v>
      </c>
      <c r="D2489" s="3" t="s">
        <v>591</v>
      </c>
      <c r="E2489" s="3" t="s">
        <v>7618</v>
      </c>
      <c r="F2489" s="3" t="s">
        <v>7611</v>
      </c>
      <c r="G2489" s="3" t="s">
        <v>7619</v>
      </c>
    </row>
    <row r="2490" spans="1:7">
      <c r="A2490" s="2">
        <v>97</v>
      </c>
      <c r="B2490" s="2" t="s">
        <v>457</v>
      </c>
      <c r="C2490" s="2">
        <v>135</v>
      </c>
      <c r="D2490" s="2" t="s">
        <v>469</v>
      </c>
      <c r="E2490" s="2" t="s">
        <v>7620</v>
      </c>
      <c r="F2490" s="2" t="s">
        <v>7611</v>
      </c>
      <c r="G2490" s="2" t="s">
        <v>7622</v>
      </c>
    </row>
    <row r="2491" spans="1:7">
      <c r="A2491" s="3">
        <v>97</v>
      </c>
      <c r="B2491" s="3" t="s">
        <v>457</v>
      </c>
      <c r="C2491" s="3">
        <v>136</v>
      </c>
      <c r="D2491" s="3" t="s">
        <v>413</v>
      </c>
      <c r="E2491" s="3" t="s">
        <v>7618</v>
      </c>
      <c r="F2491" s="3" t="s">
        <v>7721</v>
      </c>
      <c r="G2491" s="3" t="s">
        <v>7619</v>
      </c>
    </row>
    <row r="2492" spans="1:7">
      <c r="A2492" s="2">
        <v>97</v>
      </c>
      <c r="B2492" s="2" t="s">
        <v>457</v>
      </c>
      <c r="C2492" s="2">
        <v>137</v>
      </c>
      <c r="D2492" s="2" t="s">
        <v>546</v>
      </c>
      <c r="E2492" s="2" t="s">
        <v>7620</v>
      </c>
      <c r="F2492" s="2" t="s">
        <v>7611</v>
      </c>
      <c r="G2492" s="2" t="s">
        <v>7625</v>
      </c>
    </row>
    <row r="2493" spans="1:7">
      <c r="A2493" s="3">
        <v>97</v>
      </c>
      <c r="B2493" s="3" t="s">
        <v>457</v>
      </c>
      <c r="C2493" s="3">
        <v>138</v>
      </c>
      <c r="D2493" s="3" t="s">
        <v>561</v>
      </c>
      <c r="E2493" s="3" t="s">
        <v>7620</v>
      </c>
      <c r="F2493" s="3" t="s">
        <v>7611</v>
      </c>
      <c r="G2493" s="3" t="s">
        <v>7621</v>
      </c>
    </row>
    <row r="2494" spans="1:7">
      <c r="A2494" s="2">
        <v>97</v>
      </c>
      <c r="B2494" s="2" t="s">
        <v>457</v>
      </c>
      <c r="C2494" s="2">
        <v>139</v>
      </c>
      <c r="D2494" s="2" t="s">
        <v>531</v>
      </c>
      <c r="E2494" s="2" t="s">
        <v>7618</v>
      </c>
      <c r="F2494" s="2" t="s">
        <v>7611</v>
      </c>
      <c r="G2494" s="2" t="s">
        <v>7619</v>
      </c>
    </row>
    <row r="2495" spans="1:7">
      <c r="A2495" s="3">
        <v>97</v>
      </c>
      <c r="B2495" s="3" t="s">
        <v>457</v>
      </c>
      <c r="C2495" s="3">
        <v>140</v>
      </c>
      <c r="D2495" s="3" t="s">
        <v>580</v>
      </c>
      <c r="E2495" s="3" t="s">
        <v>7620</v>
      </c>
      <c r="F2495" s="3" t="s">
        <v>7611</v>
      </c>
      <c r="G2495" s="3" t="s">
        <v>7625</v>
      </c>
    </row>
    <row r="2496" spans="1:7">
      <c r="A2496" s="2">
        <v>97</v>
      </c>
      <c r="B2496" s="2" t="s">
        <v>457</v>
      </c>
      <c r="C2496" s="2">
        <v>141</v>
      </c>
      <c r="D2496" s="2" t="s">
        <v>480</v>
      </c>
      <c r="E2496" s="2" t="s">
        <v>7620</v>
      </c>
      <c r="F2496" s="2" t="s">
        <v>7611</v>
      </c>
      <c r="G2496" s="2" t="s">
        <v>7621</v>
      </c>
    </row>
    <row r="2497" spans="1:7">
      <c r="A2497" s="3">
        <v>97</v>
      </c>
      <c r="B2497" s="3" t="s">
        <v>457</v>
      </c>
      <c r="C2497" s="3">
        <v>142</v>
      </c>
      <c r="D2497" s="3" t="s">
        <v>543</v>
      </c>
      <c r="E2497" s="3" t="s">
        <v>7620</v>
      </c>
      <c r="F2497" s="3" t="s">
        <v>7611</v>
      </c>
      <c r="G2497" s="3" t="s">
        <v>7622</v>
      </c>
    </row>
    <row r="2498" spans="1:7">
      <c r="A2498" s="2">
        <v>97</v>
      </c>
      <c r="B2498" s="2" t="s">
        <v>457</v>
      </c>
      <c r="C2498" s="2">
        <v>143</v>
      </c>
      <c r="D2498" s="2" t="s">
        <v>371</v>
      </c>
      <c r="E2498" s="2" t="s">
        <v>7618</v>
      </c>
      <c r="F2498" s="2" t="s">
        <v>7649</v>
      </c>
      <c r="G2498" s="2" t="s">
        <v>7639</v>
      </c>
    </row>
    <row r="2499" spans="1:7">
      <c r="A2499" s="3">
        <v>97</v>
      </c>
      <c r="B2499" s="3" t="s">
        <v>457</v>
      </c>
      <c r="C2499" s="3">
        <v>144</v>
      </c>
      <c r="D2499" s="3" t="s">
        <v>375</v>
      </c>
      <c r="E2499" s="3" t="s">
        <v>7618</v>
      </c>
      <c r="F2499" s="3" t="s">
        <v>7649</v>
      </c>
      <c r="G2499" s="3" t="s">
        <v>7619</v>
      </c>
    </row>
    <row r="2500" spans="1:7">
      <c r="A2500" s="2">
        <v>97</v>
      </c>
      <c r="B2500" s="2" t="s">
        <v>457</v>
      </c>
      <c r="C2500" s="2">
        <v>145</v>
      </c>
      <c r="D2500" s="2" t="s">
        <v>431</v>
      </c>
      <c r="E2500" s="2" t="s">
        <v>7618</v>
      </c>
      <c r="F2500" s="2" t="s">
        <v>7650</v>
      </c>
      <c r="G2500" s="2" t="s">
        <v>7619</v>
      </c>
    </row>
    <row r="2501" spans="1:7">
      <c r="A2501" s="3">
        <v>97</v>
      </c>
      <c r="B2501" s="3" t="s">
        <v>457</v>
      </c>
      <c r="C2501" s="3">
        <v>146</v>
      </c>
      <c r="D2501" s="3" t="s">
        <v>416</v>
      </c>
      <c r="E2501" s="3" t="s">
        <v>7620</v>
      </c>
      <c r="F2501" s="3" t="s">
        <v>7721</v>
      </c>
      <c r="G2501" s="3" t="s">
        <v>7633</v>
      </c>
    </row>
    <row r="2502" spans="1:7">
      <c r="A2502" s="2">
        <v>97</v>
      </c>
      <c r="B2502" s="2" t="s">
        <v>457</v>
      </c>
      <c r="C2502" s="2">
        <v>147</v>
      </c>
      <c r="D2502" s="2" t="s">
        <v>454</v>
      </c>
      <c r="E2502" s="2" t="s">
        <v>7618</v>
      </c>
      <c r="F2502" s="2" t="s">
        <v>7608</v>
      </c>
      <c r="G2502" s="2" t="s">
        <v>7633</v>
      </c>
    </row>
    <row r="2503" spans="1:7">
      <c r="A2503" s="3">
        <v>97</v>
      </c>
      <c r="B2503" s="3" t="s">
        <v>457</v>
      </c>
      <c r="C2503" s="3">
        <v>148</v>
      </c>
      <c r="D2503" s="3" t="s">
        <v>420</v>
      </c>
      <c r="E2503" s="3" t="s">
        <v>7618</v>
      </c>
      <c r="F2503" s="3" t="s">
        <v>7611</v>
      </c>
      <c r="G2503" s="3" t="s">
        <v>7619</v>
      </c>
    </row>
    <row r="2504" spans="1:7">
      <c r="A2504" s="2">
        <v>97</v>
      </c>
      <c r="B2504" s="2" t="s">
        <v>457</v>
      </c>
      <c r="C2504" s="2">
        <v>149</v>
      </c>
      <c r="D2504" s="2" t="s">
        <v>443</v>
      </c>
      <c r="E2504" s="2" t="s">
        <v>7620</v>
      </c>
      <c r="F2504" s="2" t="s">
        <v>7649</v>
      </c>
      <c r="G2504" s="2" t="s">
        <v>7622</v>
      </c>
    </row>
    <row r="2505" spans="1:7">
      <c r="A2505" s="3">
        <v>97</v>
      </c>
      <c r="B2505" s="3" t="s">
        <v>457</v>
      </c>
      <c r="C2505" s="3">
        <v>150</v>
      </c>
      <c r="D2505" s="3" t="s">
        <v>379</v>
      </c>
      <c r="E2505" s="3" t="s">
        <v>7618</v>
      </c>
      <c r="F2505" s="3" t="s">
        <v>7649</v>
      </c>
      <c r="G2505" s="3" t="s">
        <v>7639</v>
      </c>
    </row>
    <row r="2506" spans="1:7">
      <c r="A2506" s="2">
        <v>97</v>
      </c>
      <c r="B2506" s="2" t="s">
        <v>457</v>
      </c>
      <c r="C2506" s="2">
        <v>151</v>
      </c>
      <c r="D2506" s="2" t="s">
        <v>601</v>
      </c>
      <c r="E2506" s="2" t="s">
        <v>7620</v>
      </c>
      <c r="F2506" s="2" t="s">
        <v>7732</v>
      </c>
      <c r="G2506" s="2" t="s">
        <v>7625</v>
      </c>
    </row>
    <row r="2507" spans="1:7">
      <c r="A2507" s="3">
        <v>97</v>
      </c>
      <c r="B2507" s="3" t="s">
        <v>457</v>
      </c>
      <c r="C2507" s="3">
        <v>152</v>
      </c>
      <c r="D2507" s="3" t="s">
        <v>508</v>
      </c>
      <c r="E2507" s="3" t="s">
        <v>7620</v>
      </c>
      <c r="F2507" s="3" t="s">
        <v>7611</v>
      </c>
      <c r="G2507" s="3" t="s">
        <v>7622</v>
      </c>
    </row>
    <row r="2508" spans="1:7">
      <c r="A2508" s="2">
        <v>97</v>
      </c>
      <c r="B2508" s="2" t="s">
        <v>457</v>
      </c>
      <c r="C2508" s="2">
        <v>153</v>
      </c>
      <c r="D2508" s="2" t="s">
        <v>435</v>
      </c>
      <c r="E2508" s="2" t="s">
        <v>7620</v>
      </c>
      <c r="F2508" s="2" t="s">
        <v>7721</v>
      </c>
      <c r="G2508" s="2" t="s">
        <v>7609</v>
      </c>
    </row>
    <row r="2509" spans="1:7">
      <c r="A2509" s="3">
        <v>97</v>
      </c>
      <c r="B2509" s="3" t="s">
        <v>457</v>
      </c>
      <c r="C2509" s="3">
        <v>154</v>
      </c>
      <c r="D2509" s="3" t="s">
        <v>589</v>
      </c>
      <c r="E2509" s="3" t="s">
        <v>7620</v>
      </c>
      <c r="F2509" s="3" t="s">
        <v>7721</v>
      </c>
      <c r="G2509" s="3" t="s">
        <v>7622</v>
      </c>
    </row>
    <row r="2510" spans="1:7">
      <c r="A2510" s="2">
        <v>97</v>
      </c>
      <c r="B2510" s="2" t="s">
        <v>457</v>
      </c>
      <c r="C2510" s="2">
        <v>155</v>
      </c>
      <c r="D2510" s="2" t="s">
        <v>400</v>
      </c>
      <c r="E2510" s="2" t="s">
        <v>7618</v>
      </c>
      <c r="F2510" s="2" t="s">
        <v>7628</v>
      </c>
      <c r="G2510" s="2" t="s">
        <v>7639</v>
      </c>
    </row>
    <row r="2511" spans="1:7">
      <c r="A2511" s="3">
        <v>97</v>
      </c>
      <c r="B2511" s="3" t="s">
        <v>457</v>
      </c>
      <c r="C2511" s="3">
        <v>156</v>
      </c>
      <c r="D2511" s="3" t="s">
        <v>560</v>
      </c>
      <c r="E2511" s="3" t="s">
        <v>7618</v>
      </c>
      <c r="F2511" s="3" t="s">
        <v>7611</v>
      </c>
      <c r="G2511" s="3" t="s">
        <v>7634</v>
      </c>
    </row>
    <row r="2512" spans="1:7">
      <c r="A2512" s="2">
        <v>97</v>
      </c>
      <c r="B2512" s="2" t="s">
        <v>457</v>
      </c>
      <c r="C2512" s="2">
        <v>157</v>
      </c>
      <c r="D2512" s="2" t="s">
        <v>556</v>
      </c>
      <c r="E2512" s="2" t="s">
        <v>7618</v>
      </c>
      <c r="F2512" s="2" t="s">
        <v>7611</v>
      </c>
      <c r="G2512" s="2" t="s">
        <v>7634</v>
      </c>
    </row>
    <row r="2513" spans="1:7">
      <c r="A2513" s="3">
        <v>97</v>
      </c>
      <c r="B2513" s="3" t="s">
        <v>457</v>
      </c>
      <c r="C2513" s="3">
        <v>158</v>
      </c>
      <c r="D2513" s="3" t="s">
        <v>521</v>
      </c>
      <c r="E2513" s="3" t="s">
        <v>7618</v>
      </c>
      <c r="F2513" s="3" t="s">
        <v>7611</v>
      </c>
      <c r="G2513" s="3" t="s">
        <v>7619</v>
      </c>
    </row>
    <row r="2514" spans="1:7">
      <c r="A2514" s="2">
        <v>97</v>
      </c>
      <c r="B2514" s="2" t="s">
        <v>457</v>
      </c>
      <c r="C2514" s="2">
        <v>159</v>
      </c>
      <c r="D2514" s="2" t="s">
        <v>598</v>
      </c>
      <c r="E2514" s="2" t="s">
        <v>7620</v>
      </c>
      <c r="F2514" s="2" t="s">
        <v>7611</v>
      </c>
      <c r="G2514" s="2" t="s">
        <v>7622</v>
      </c>
    </row>
    <row r="2515" spans="1:7">
      <c r="A2515" s="3">
        <v>97</v>
      </c>
      <c r="B2515" s="3" t="s">
        <v>457</v>
      </c>
      <c r="C2515" s="3">
        <v>160</v>
      </c>
      <c r="D2515" s="3" t="s">
        <v>425</v>
      </c>
      <c r="E2515" s="3" t="s">
        <v>7618</v>
      </c>
      <c r="F2515" s="3" t="s">
        <v>7712</v>
      </c>
      <c r="G2515" s="3" t="s">
        <v>7641</v>
      </c>
    </row>
    <row r="2516" spans="1:7">
      <c r="A2516" s="2">
        <v>97</v>
      </c>
      <c r="B2516" s="2" t="s">
        <v>457</v>
      </c>
      <c r="C2516" s="2">
        <v>162</v>
      </c>
      <c r="D2516" s="2" t="s">
        <v>473</v>
      </c>
      <c r="E2516" s="2" t="s">
        <v>7620</v>
      </c>
      <c r="F2516" s="2" t="s">
        <v>7611</v>
      </c>
      <c r="G2516" s="2" t="s">
        <v>7622</v>
      </c>
    </row>
    <row r="2517" spans="1:7">
      <c r="A2517" s="3">
        <v>97</v>
      </c>
      <c r="B2517" s="3" t="s">
        <v>457</v>
      </c>
      <c r="C2517" s="3">
        <v>163</v>
      </c>
      <c r="D2517" s="3" t="s">
        <v>587</v>
      </c>
      <c r="E2517" s="3" t="s">
        <v>7620</v>
      </c>
      <c r="F2517" s="3" t="s">
        <v>7611</v>
      </c>
      <c r="G2517" s="3" t="s">
        <v>7625</v>
      </c>
    </row>
    <row r="2518" spans="1:7">
      <c r="A2518" s="2">
        <v>97</v>
      </c>
      <c r="B2518" s="2" t="s">
        <v>457</v>
      </c>
      <c r="C2518" s="2">
        <v>164</v>
      </c>
      <c r="D2518" s="2" t="s">
        <v>552</v>
      </c>
      <c r="E2518" s="2" t="s">
        <v>7620</v>
      </c>
      <c r="F2518" s="2" t="s">
        <v>7611</v>
      </c>
      <c r="G2518" s="2" t="s">
        <v>7621</v>
      </c>
    </row>
    <row r="2519" spans="1:7">
      <c r="A2519" s="3">
        <v>97</v>
      </c>
      <c r="B2519" s="3" t="s">
        <v>457</v>
      </c>
      <c r="C2519" s="3">
        <v>165</v>
      </c>
      <c r="D2519" s="3" t="s">
        <v>568</v>
      </c>
      <c r="E2519" s="3" t="s">
        <v>7618</v>
      </c>
      <c r="F2519" s="3" t="s">
        <v>7731</v>
      </c>
      <c r="G2519" s="3" t="s">
        <v>7634</v>
      </c>
    </row>
    <row r="2520" spans="1:7">
      <c r="A2520" s="2">
        <v>97</v>
      </c>
      <c r="B2520" s="2" t="s">
        <v>457</v>
      </c>
      <c r="C2520" s="2">
        <v>166</v>
      </c>
      <c r="D2520" s="2" t="s">
        <v>483</v>
      </c>
      <c r="E2520" s="2" t="s">
        <v>7618</v>
      </c>
      <c r="F2520" s="2" t="s">
        <v>7611</v>
      </c>
      <c r="G2520" s="2" t="s">
        <v>7636</v>
      </c>
    </row>
    <row r="2521" spans="1:7">
      <c r="A2521" s="3">
        <v>97</v>
      </c>
      <c r="B2521" s="3" t="s">
        <v>457</v>
      </c>
      <c r="C2521" s="3">
        <v>167</v>
      </c>
      <c r="D2521" s="3" t="s">
        <v>469</v>
      </c>
      <c r="E2521" s="3" t="s">
        <v>7620</v>
      </c>
      <c r="F2521" s="3" t="s">
        <v>7611</v>
      </c>
      <c r="G2521" s="3" t="s">
        <v>7622</v>
      </c>
    </row>
    <row r="2522" spans="1:7">
      <c r="A2522" s="2">
        <v>97</v>
      </c>
      <c r="B2522" s="2" t="s">
        <v>457</v>
      </c>
      <c r="C2522" s="2">
        <v>168</v>
      </c>
      <c r="D2522" s="2" t="s">
        <v>626</v>
      </c>
      <c r="E2522" s="2" t="s">
        <v>7618</v>
      </c>
      <c r="F2522" s="2" t="s">
        <v>7611</v>
      </c>
      <c r="G2522" s="2" t="s">
        <v>7619</v>
      </c>
    </row>
    <row r="2523" spans="1:7">
      <c r="A2523" s="3">
        <v>97</v>
      </c>
      <c r="B2523" s="3" t="s">
        <v>457</v>
      </c>
      <c r="C2523" s="3">
        <v>169</v>
      </c>
      <c r="D2523" s="3" t="s">
        <v>616</v>
      </c>
      <c r="E2523" s="3" t="s">
        <v>7645</v>
      </c>
      <c r="F2523" s="3" t="s">
        <v>7611</v>
      </c>
      <c r="G2523" s="3" t="s">
        <v>7625</v>
      </c>
    </row>
    <row r="2524" spans="1:7">
      <c r="A2524" s="2">
        <v>97</v>
      </c>
      <c r="B2524" s="2" t="s">
        <v>457</v>
      </c>
      <c r="C2524" s="2">
        <v>170</v>
      </c>
      <c r="D2524" s="2" t="s">
        <v>619</v>
      </c>
      <c r="E2524" s="2" t="s">
        <v>7645</v>
      </c>
      <c r="F2524" s="2" t="s">
        <v>7732</v>
      </c>
      <c r="G2524" s="2" t="s">
        <v>7621</v>
      </c>
    </row>
    <row r="2525" spans="1:7">
      <c r="A2525" s="3">
        <v>97</v>
      </c>
      <c r="B2525" s="3" t="s">
        <v>457</v>
      </c>
      <c r="C2525" s="3">
        <v>171</v>
      </c>
      <c r="D2525" s="3" t="s">
        <v>622</v>
      </c>
      <c r="E2525" s="3" t="s">
        <v>7645</v>
      </c>
      <c r="F2525" s="3" t="s">
        <v>7611</v>
      </c>
      <c r="G2525" s="3" t="s">
        <v>7625</v>
      </c>
    </row>
    <row r="2526" spans="1:7">
      <c r="A2526" s="2">
        <v>97</v>
      </c>
      <c r="B2526" s="2" t="s">
        <v>457</v>
      </c>
      <c r="C2526" s="2">
        <v>172</v>
      </c>
      <c r="D2526" s="2" t="s">
        <v>630</v>
      </c>
      <c r="E2526" s="2" t="s">
        <v>7645</v>
      </c>
      <c r="F2526" s="2" t="s">
        <v>7721</v>
      </c>
      <c r="G2526" s="2" t="s">
        <v>7622</v>
      </c>
    </row>
    <row r="2527" spans="1:7">
      <c r="A2527" s="3">
        <v>97</v>
      </c>
      <c r="B2527" s="3" t="s">
        <v>457</v>
      </c>
      <c r="C2527" s="3">
        <v>173</v>
      </c>
      <c r="D2527" s="3" t="s">
        <v>633</v>
      </c>
      <c r="E2527" s="3" t="s">
        <v>7645</v>
      </c>
      <c r="F2527" s="3" t="s">
        <v>7611</v>
      </c>
      <c r="G2527" s="3" t="s">
        <v>7625</v>
      </c>
    </row>
    <row r="2528" spans="1:7">
      <c r="A2528" s="2">
        <v>97</v>
      </c>
      <c r="B2528" s="2" t="s">
        <v>457</v>
      </c>
      <c r="C2528" s="2">
        <v>175</v>
      </c>
      <c r="D2528" s="2" t="s">
        <v>636</v>
      </c>
      <c r="E2528" s="2" t="s">
        <v>7645</v>
      </c>
      <c r="F2528" s="2" t="s">
        <v>7659</v>
      </c>
      <c r="G2528" s="2" t="s">
        <v>7609</v>
      </c>
    </row>
    <row r="2529" spans="1:7">
      <c r="A2529" s="3">
        <v>97</v>
      </c>
      <c r="B2529" s="3" t="s">
        <v>457</v>
      </c>
      <c r="C2529" s="3">
        <v>176</v>
      </c>
      <c r="D2529" s="3" t="s">
        <v>609</v>
      </c>
      <c r="E2529" s="3" t="s">
        <v>7645</v>
      </c>
      <c r="F2529" s="3" t="s">
        <v>7631</v>
      </c>
      <c r="G2529" s="3" t="s">
        <v>7609</v>
      </c>
    </row>
    <row r="2530" spans="1:7">
      <c r="A2530" s="2">
        <v>97</v>
      </c>
      <c r="B2530" s="2" t="s">
        <v>457</v>
      </c>
      <c r="C2530" s="2">
        <v>177</v>
      </c>
      <c r="D2530" s="2" t="s">
        <v>605</v>
      </c>
      <c r="E2530" s="2" t="s">
        <v>7645</v>
      </c>
      <c r="F2530" s="2" t="s">
        <v>7650</v>
      </c>
      <c r="G2530" s="2" t="s">
        <v>7621</v>
      </c>
    </row>
    <row r="2531" spans="1:7">
      <c r="A2531" s="3">
        <v>97</v>
      </c>
      <c r="B2531" s="3" t="s">
        <v>457</v>
      </c>
      <c r="C2531" s="3">
        <v>178</v>
      </c>
      <c r="D2531" s="3" t="s">
        <v>640</v>
      </c>
      <c r="E2531" s="3" t="s">
        <v>7630</v>
      </c>
      <c r="F2531" s="3" t="s">
        <v>7611</v>
      </c>
      <c r="G2531" s="3" t="s">
        <v>7636</v>
      </c>
    </row>
    <row r="2532" spans="1:7">
      <c r="A2532" s="2">
        <v>97</v>
      </c>
      <c r="B2532" s="2" t="s">
        <v>457</v>
      </c>
      <c r="C2532" s="2">
        <v>179</v>
      </c>
      <c r="D2532" s="2" t="s">
        <v>603</v>
      </c>
      <c r="E2532" s="2" t="s">
        <v>7645</v>
      </c>
      <c r="F2532" s="2" t="s">
        <v>7608</v>
      </c>
      <c r="G2532" s="2" t="s">
        <v>7625</v>
      </c>
    </row>
    <row r="2533" spans="1:7">
      <c r="A2533" s="3">
        <v>97</v>
      </c>
      <c r="B2533" s="3" t="s">
        <v>457</v>
      </c>
      <c r="C2533" s="3">
        <v>181</v>
      </c>
      <c r="D2533" s="3" t="s">
        <v>653</v>
      </c>
      <c r="E2533" s="3" t="s">
        <v>7724</v>
      </c>
      <c r="F2533" s="3" t="s">
        <v>7713</v>
      </c>
      <c r="G2533" s="3" t="s">
        <v>7644</v>
      </c>
    </row>
    <row r="2534" spans="1:7">
      <c r="A2534" s="2">
        <v>97</v>
      </c>
      <c r="B2534" s="2" t="s">
        <v>457</v>
      </c>
      <c r="C2534" s="2">
        <v>183</v>
      </c>
      <c r="D2534" s="2" t="s">
        <v>660</v>
      </c>
      <c r="E2534" s="2" t="s">
        <v>7618</v>
      </c>
      <c r="F2534" s="2" t="s">
        <v>7721</v>
      </c>
      <c r="G2534" s="2" t="s">
        <v>7639</v>
      </c>
    </row>
    <row r="2535" spans="1:7">
      <c r="A2535" s="3">
        <v>97</v>
      </c>
      <c r="B2535" s="3" t="s">
        <v>457</v>
      </c>
      <c r="C2535" s="3">
        <v>184</v>
      </c>
      <c r="D2535" s="3" t="s">
        <v>662</v>
      </c>
      <c r="E2535" s="3" t="s">
        <v>7618</v>
      </c>
      <c r="F2535" s="3" t="s">
        <v>7649</v>
      </c>
      <c r="G2535" s="3" t="s">
        <v>7634</v>
      </c>
    </row>
    <row r="2536" spans="1:7">
      <c r="A2536" s="2">
        <v>97</v>
      </c>
      <c r="B2536" s="2" t="s">
        <v>457</v>
      </c>
      <c r="C2536" s="2">
        <v>185</v>
      </c>
      <c r="D2536" s="2" t="s">
        <v>667</v>
      </c>
      <c r="E2536" s="2" t="s">
        <v>7618</v>
      </c>
      <c r="F2536" s="2" t="s">
        <v>7611</v>
      </c>
      <c r="G2536" s="2" t="s">
        <v>7634</v>
      </c>
    </row>
    <row r="2537" spans="1:7">
      <c r="A2537" s="3">
        <v>97</v>
      </c>
      <c r="B2537" s="3" t="s">
        <v>457</v>
      </c>
      <c r="C2537" s="3">
        <v>186</v>
      </c>
      <c r="D2537" s="3" t="s">
        <v>469</v>
      </c>
      <c r="E2537" s="3" t="s">
        <v>7620</v>
      </c>
      <c r="F2537" s="3" t="s">
        <v>7611</v>
      </c>
      <c r="G2537" s="3" t="s">
        <v>7622</v>
      </c>
    </row>
    <row r="2538" spans="1:7">
      <c r="A2538" s="2">
        <v>97</v>
      </c>
      <c r="B2538" s="2" t="s">
        <v>457</v>
      </c>
      <c r="C2538" s="2">
        <v>189</v>
      </c>
      <c r="D2538" s="2" t="s">
        <v>742</v>
      </c>
      <c r="E2538" s="2" t="s">
        <v>7635</v>
      </c>
      <c r="F2538" s="2" t="s">
        <v>7608</v>
      </c>
      <c r="G2538" s="2" t="s">
        <v>7621</v>
      </c>
    </row>
    <row r="2539" spans="1:7">
      <c r="A2539" s="3">
        <v>97</v>
      </c>
      <c r="B2539" s="3" t="s">
        <v>457</v>
      </c>
      <c r="C2539" s="3">
        <v>191</v>
      </c>
      <c r="D2539" s="3" t="s">
        <v>719</v>
      </c>
      <c r="E2539" s="3" t="s">
        <v>7693</v>
      </c>
      <c r="F2539" s="3" t="s">
        <v>7659</v>
      </c>
      <c r="G2539" s="3" t="s">
        <v>7642</v>
      </c>
    </row>
    <row r="2540" spans="1:7">
      <c r="A2540" s="2">
        <v>97</v>
      </c>
      <c r="B2540" s="2" t="s">
        <v>457</v>
      </c>
      <c r="C2540" s="2">
        <v>192</v>
      </c>
      <c r="D2540" s="2" t="s">
        <v>727</v>
      </c>
      <c r="E2540" s="2" t="s">
        <v>7724</v>
      </c>
      <c r="F2540" s="2" t="s">
        <v>7652</v>
      </c>
      <c r="G2540" s="2" t="s">
        <v>7634</v>
      </c>
    </row>
    <row r="2541" spans="1:7">
      <c r="A2541" s="3">
        <v>97</v>
      </c>
      <c r="B2541" s="3" t="s">
        <v>457</v>
      </c>
      <c r="C2541" s="3">
        <v>194</v>
      </c>
      <c r="D2541" s="3" t="s">
        <v>739</v>
      </c>
      <c r="E2541" s="3" t="s">
        <v>7635</v>
      </c>
      <c r="F2541" s="3" t="s">
        <v>7732</v>
      </c>
      <c r="G2541" s="3" t="s">
        <v>7625</v>
      </c>
    </row>
    <row r="2542" spans="1:7">
      <c r="A2542" s="2">
        <v>97</v>
      </c>
      <c r="B2542" s="2" t="s">
        <v>457</v>
      </c>
      <c r="C2542" s="2">
        <v>195</v>
      </c>
      <c r="D2542" s="2" t="s">
        <v>734</v>
      </c>
      <c r="E2542" s="2" t="s">
        <v>7693</v>
      </c>
      <c r="F2542" s="2" t="s">
        <v>7659</v>
      </c>
      <c r="G2542" s="2" t="s">
        <v>7642</v>
      </c>
    </row>
    <row r="2543" spans="1:7">
      <c r="A2543" s="3">
        <v>97</v>
      </c>
      <c r="B2543" s="3" t="s">
        <v>457</v>
      </c>
      <c r="C2543" s="3">
        <v>196</v>
      </c>
      <c r="D2543" s="3" t="s">
        <v>736</v>
      </c>
      <c r="E2543" s="3" t="s">
        <v>7635</v>
      </c>
      <c r="F2543" s="3" t="s">
        <v>7652</v>
      </c>
      <c r="G2543" s="3" t="s">
        <v>7609</v>
      </c>
    </row>
    <row r="2544" spans="1:7">
      <c r="A2544" s="2">
        <v>97</v>
      </c>
      <c r="B2544" s="2" t="s">
        <v>457</v>
      </c>
      <c r="C2544" s="2">
        <v>197</v>
      </c>
      <c r="D2544" s="2" t="s">
        <v>690</v>
      </c>
      <c r="E2544" s="2" t="s">
        <v>7724</v>
      </c>
      <c r="F2544" s="2" t="s">
        <v>7652</v>
      </c>
      <c r="G2544" s="2" t="s">
        <v>7639</v>
      </c>
    </row>
    <row r="2545" spans="1:7">
      <c r="A2545" s="3">
        <v>97</v>
      </c>
      <c r="B2545" s="3" t="s">
        <v>457</v>
      </c>
      <c r="C2545" s="3">
        <v>198</v>
      </c>
      <c r="D2545" s="3" t="s">
        <v>698</v>
      </c>
      <c r="E2545" s="3" t="s">
        <v>7723</v>
      </c>
      <c r="F2545" s="3" t="s">
        <v>7659</v>
      </c>
      <c r="G2545" s="3" t="s">
        <v>7642</v>
      </c>
    </row>
    <row r="2546" spans="1:7">
      <c r="A2546" s="2">
        <v>97</v>
      </c>
      <c r="B2546" s="2" t="s">
        <v>457</v>
      </c>
      <c r="C2546" s="2">
        <v>199</v>
      </c>
      <c r="D2546" s="2" t="s">
        <v>702</v>
      </c>
      <c r="E2546" s="2" t="s">
        <v>7693</v>
      </c>
      <c r="F2546" s="2" t="s">
        <v>7659</v>
      </c>
      <c r="G2546" s="2" t="s">
        <v>7637</v>
      </c>
    </row>
    <row r="2547" spans="1:7">
      <c r="A2547" s="3">
        <v>97</v>
      </c>
      <c r="B2547" s="3" t="s">
        <v>457</v>
      </c>
      <c r="C2547" s="3">
        <v>200</v>
      </c>
      <c r="D2547" s="3" t="s">
        <v>707</v>
      </c>
      <c r="E2547" s="3" t="s">
        <v>7733</v>
      </c>
      <c r="F2547" s="3" t="s">
        <v>7659</v>
      </c>
      <c r="G2547" s="3" t="s">
        <v>7637</v>
      </c>
    </row>
    <row r="2548" spans="1:7">
      <c r="A2548" s="2">
        <v>97</v>
      </c>
      <c r="B2548" s="2" t="s">
        <v>457</v>
      </c>
      <c r="C2548" s="2">
        <v>201</v>
      </c>
      <c r="D2548" s="2" t="s">
        <v>695</v>
      </c>
      <c r="E2548" s="2" t="s">
        <v>7724</v>
      </c>
      <c r="F2548" s="2" t="s">
        <v>7659</v>
      </c>
      <c r="G2548" s="2" t="s">
        <v>7624</v>
      </c>
    </row>
    <row r="2549" spans="1:7">
      <c r="A2549" s="3">
        <v>97</v>
      </c>
      <c r="B2549" s="3" t="s">
        <v>457</v>
      </c>
      <c r="C2549" s="3">
        <v>202</v>
      </c>
      <c r="D2549" s="3" t="s">
        <v>712</v>
      </c>
      <c r="E2549" s="3" t="s">
        <v>7724</v>
      </c>
      <c r="F2549" s="3" t="s">
        <v>7652</v>
      </c>
      <c r="G2549" s="3" t="s">
        <v>7634</v>
      </c>
    </row>
    <row r="2550" spans="1:7">
      <c r="A2550" s="2">
        <v>97</v>
      </c>
      <c r="B2550" s="2" t="s">
        <v>457</v>
      </c>
      <c r="C2550" s="2">
        <v>203</v>
      </c>
      <c r="D2550" s="2" t="s">
        <v>681</v>
      </c>
      <c r="E2550" s="2" t="s">
        <v>7635</v>
      </c>
      <c r="F2550" s="2" t="s">
        <v>7652</v>
      </c>
      <c r="G2550" s="2" t="s">
        <v>7609</v>
      </c>
    </row>
    <row r="2551" spans="1:7">
      <c r="A2551" s="3">
        <v>97</v>
      </c>
      <c r="B2551" s="3" t="s">
        <v>457</v>
      </c>
      <c r="C2551" s="3">
        <v>204</v>
      </c>
      <c r="D2551" s="3" t="s">
        <v>685</v>
      </c>
      <c r="E2551" s="3" t="s">
        <v>7724</v>
      </c>
      <c r="F2551" s="3" t="s">
        <v>7659</v>
      </c>
      <c r="G2551" s="3" t="s">
        <v>7624</v>
      </c>
    </row>
    <row r="2552" spans="1:7">
      <c r="A2552" s="2">
        <v>97</v>
      </c>
      <c r="B2552" s="2" t="s">
        <v>457</v>
      </c>
      <c r="C2552" s="2">
        <v>205</v>
      </c>
      <c r="D2552" s="2" t="s">
        <v>746</v>
      </c>
      <c r="E2552" s="2" t="s">
        <v>7694</v>
      </c>
      <c r="F2552" s="2" t="s">
        <v>7628</v>
      </c>
      <c r="G2552" s="2" t="s">
        <v>7639</v>
      </c>
    </row>
    <row r="2553" spans="1:7">
      <c r="A2553" s="3">
        <v>97</v>
      </c>
      <c r="B2553" s="3" t="s">
        <v>457</v>
      </c>
      <c r="C2553" s="3">
        <v>206</v>
      </c>
      <c r="D2553" s="3" t="s">
        <v>723</v>
      </c>
      <c r="E2553" s="3" t="s">
        <v>7635</v>
      </c>
      <c r="F2553" s="3" t="s">
        <v>7635</v>
      </c>
      <c r="G2553" s="3" t="s">
        <v>7625</v>
      </c>
    </row>
    <row r="2554" spans="1:7">
      <c r="A2554" s="2">
        <v>97</v>
      </c>
      <c r="B2554" s="2" t="s">
        <v>457</v>
      </c>
      <c r="C2554" s="2">
        <v>207</v>
      </c>
      <c r="D2554" s="2" t="s">
        <v>749</v>
      </c>
      <c r="E2554" s="2" t="s">
        <v>7693</v>
      </c>
      <c r="F2554" s="2" t="s">
        <v>7611</v>
      </c>
      <c r="G2554" s="2" t="s">
        <v>7639</v>
      </c>
    </row>
    <row r="2555" spans="1:7">
      <c r="A2555" s="3">
        <v>97</v>
      </c>
      <c r="B2555" s="3" t="s">
        <v>457</v>
      </c>
      <c r="C2555" s="3">
        <v>208</v>
      </c>
      <c r="D2555" s="3" t="s">
        <v>754</v>
      </c>
      <c r="E2555" s="3" t="s">
        <v>7694</v>
      </c>
      <c r="F2555" s="3" t="s">
        <v>7628</v>
      </c>
      <c r="G2555" s="3" t="s">
        <v>7619</v>
      </c>
    </row>
    <row r="2556" spans="1:7">
      <c r="A2556" s="2">
        <v>97</v>
      </c>
      <c r="B2556" s="2" t="s">
        <v>457</v>
      </c>
      <c r="C2556" s="2">
        <v>209</v>
      </c>
      <c r="D2556" s="2" t="s">
        <v>758</v>
      </c>
      <c r="E2556" s="2" t="s">
        <v>7734</v>
      </c>
      <c r="F2556" s="2" t="s">
        <v>7652</v>
      </c>
      <c r="G2556" s="2" t="s">
        <v>7626</v>
      </c>
    </row>
    <row r="2557" spans="1:7">
      <c r="A2557" s="3">
        <v>97</v>
      </c>
      <c r="B2557" s="3" t="s">
        <v>457</v>
      </c>
      <c r="C2557" s="3">
        <v>214</v>
      </c>
      <c r="D2557" s="3" t="s">
        <v>870</v>
      </c>
      <c r="E2557" s="3" t="s">
        <v>7620</v>
      </c>
      <c r="F2557" s="3" t="s">
        <v>7611</v>
      </c>
      <c r="G2557" s="3" t="s">
        <v>7621</v>
      </c>
    </row>
    <row r="2558" spans="1:7">
      <c r="A2558" s="2">
        <v>97</v>
      </c>
      <c r="B2558" s="2" t="s">
        <v>457</v>
      </c>
      <c r="C2558" s="2">
        <v>215</v>
      </c>
      <c r="D2558" s="2" t="s">
        <v>844</v>
      </c>
      <c r="E2558" s="2" t="s">
        <v>7630</v>
      </c>
      <c r="F2558" s="2" t="s">
        <v>7649</v>
      </c>
      <c r="G2558" s="2" t="s">
        <v>7634</v>
      </c>
    </row>
    <row r="2559" spans="1:7">
      <c r="A2559" s="3">
        <v>97</v>
      </c>
      <c r="B2559" s="3" t="s">
        <v>457</v>
      </c>
      <c r="C2559" s="3">
        <v>216</v>
      </c>
      <c r="D2559" s="3"/>
      <c r="E2559" s="3" t="s">
        <v>7630</v>
      </c>
      <c r="F2559" s="3" t="s">
        <v>7611</v>
      </c>
      <c r="G2559" s="3" t="s">
        <v>7636</v>
      </c>
    </row>
    <row r="2560" spans="1:7">
      <c r="A2560" s="2">
        <v>97</v>
      </c>
      <c r="B2560" s="2" t="s">
        <v>457</v>
      </c>
      <c r="C2560" s="2">
        <v>217</v>
      </c>
      <c r="D2560" s="2" t="s">
        <v>795</v>
      </c>
      <c r="E2560" s="2" t="s">
        <v>7618</v>
      </c>
      <c r="F2560" s="2" t="s">
        <v>7649</v>
      </c>
      <c r="G2560" s="2" t="s">
        <v>7619</v>
      </c>
    </row>
    <row r="2561" spans="1:7">
      <c r="A2561" s="3">
        <v>97</v>
      </c>
      <c r="B2561" s="3" t="s">
        <v>457</v>
      </c>
      <c r="C2561" s="3">
        <v>218</v>
      </c>
      <c r="D2561" s="3" t="s">
        <v>789</v>
      </c>
      <c r="E2561" s="3" t="s">
        <v>7630</v>
      </c>
      <c r="F2561" s="3" t="s">
        <v>7611</v>
      </c>
      <c r="G2561" s="3" t="s">
        <v>7636</v>
      </c>
    </row>
    <row r="2562" spans="1:7">
      <c r="A2562" s="2">
        <v>97</v>
      </c>
      <c r="B2562" s="2" t="s">
        <v>457</v>
      </c>
      <c r="C2562" s="2">
        <v>219</v>
      </c>
      <c r="D2562" s="2" t="s">
        <v>822</v>
      </c>
      <c r="E2562" s="2" t="s">
        <v>7618</v>
      </c>
      <c r="F2562" s="2" t="s">
        <v>7659</v>
      </c>
      <c r="G2562" s="2" t="s">
        <v>7624</v>
      </c>
    </row>
    <row r="2563" spans="1:7">
      <c r="A2563" s="3">
        <v>97</v>
      </c>
      <c r="B2563" s="3" t="s">
        <v>457</v>
      </c>
      <c r="C2563" s="3">
        <v>220</v>
      </c>
      <c r="D2563" s="3" t="s">
        <v>810</v>
      </c>
      <c r="E2563" s="3" t="s">
        <v>7618</v>
      </c>
      <c r="F2563" s="3" t="s">
        <v>7659</v>
      </c>
      <c r="G2563" s="3" t="s">
        <v>7634</v>
      </c>
    </row>
    <row r="2564" spans="1:7">
      <c r="A2564" s="2">
        <v>97</v>
      </c>
      <c r="B2564" s="2" t="s">
        <v>457</v>
      </c>
      <c r="C2564" s="2">
        <v>221</v>
      </c>
      <c r="D2564" s="2" t="s">
        <v>813</v>
      </c>
      <c r="E2564" s="2" t="s">
        <v>7734</v>
      </c>
      <c r="F2564" s="2" t="s">
        <v>7649</v>
      </c>
      <c r="G2564" s="2" t="s">
        <v>7612</v>
      </c>
    </row>
    <row r="2565" spans="1:7">
      <c r="A2565" s="3">
        <v>97</v>
      </c>
      <c r="B2565" s="3" t="s">
        <v>457</v>
      </c>
      <c r="C2565" s="3">
        <v>222</v>
      </c>
      <c r="D2565" s="3" t="s">
        <v>864</v>
      </c>
      <c r="E2565" s="3" t="s">
        <v>7620</v>
      </c>
      <c r="F2565" s="3" t="s">
        <v>7611</v>
      </c>
      <c r="G2565" s="3" t="s">
        <v>7609</v>
      </c>
    </row>
    <row r="2566" spans="1:7">
      <c r="A2566" s="2">
        <v>97</v>
      </c>
      <c r="B2566" s="2" t="s">
        <v>457</v>
      </c>
      <c r="C2566" s="2">
        <v>230</v>
      </c>
      <c r="D2566" s="2" t="s">
        <v>920</v>
      </c>
      <c r="E2566" s="2" t="s">
        <v>7620</v>
      </c>
      <c r="F2566" s="2" t="s">
        <v>7650</v>
      </c>
      <c r="G2566" s="2" t="s">
        <v>7622</v>
      </c>
    </row>
    <row r="2567" spans="1:7">
      <c r="A2567" s="3">
        <v>97</v>
      </c>
      <c r="B2567" s="3" t="s">
        <v>457</v>
      </c>
      <c r="C2567" s="3">
        <v>231</v>
      </c>
      <c r="D2567" s="3" t="s">
        <v>923</v>
      </c>
      <c r="E2567" s="3" t="s">
        <v>7618</v>
      </c>
      <c r="F2567" s="3" t="s">
        <v>7611</v>
      </c>
      <c r="G2567" s="3" t="s">
        <v>7636</v>
      </c>
    </row>
    <row r="2568" spans="1:7">
      <c r="A2568" s="2">
        <v>97</v>
      </c>
      <c r="B2568" s="2" t="s">
        <v>457</v>
      </c>
      <c r="C2568" s="2">
        <v>232</v>
      </c>
      <c r="D2568" s="2" t="s">
        <v>933</v>
      </c>
      <c r="E2568" s="2" t="s">
        <v>7618</v>
      </c>
      <c r="F2568" s="2" t="s">
        <v>7608</v>
      </c>
      <c r="G2568" s="2" t="s">
        <v>7617</v>
      </c>
    </row>
    <row r="2569" spans="1:7">
      <c r="A2569" s="3">
        <v>97</v>
      </c>
      <c r="B2569" s="3" t="s">
        <v>457</v>
      </c>
      <c r="C2569" s="3">
        <v>233</v>
      </c>
      <c r="D2569" s="3" t="s">
        <v>937</v>
      </c>
      <c r="E2569" s="3" t="s">
        <v>7620</v>
      </c>
      <c r="F2569" s="3" t="s">
        <v>7611</v>
      </c>
      <c r="G2569" s="3" t="s">
        <v>7625</v>
      </c>
    </row>
    <row r="2570" spans="1:7">
      <c r="A2570" s="2">
        <v>97</v>
      </c>
      <c r="B2570" s="2" t="s">
        <v>457</v>
      </c>
      <c r="C2570" s="2">
        <v>234</v>
      </c>
      <c r="D2570" s="2" t="s">
        <v>936</v>
      </c>
      <c r="E2570" s="2" t="s">
        <v>7620</v>
      </c>
      <c r="F2570" s="2" t="s">
        <v>7608</v>
      </c>
      <c r="G2570" s="2" t="s">
        <v>7625</v>
      </c>
    </row>
    <row r="2571" spans="1:7">
      <c r="A2571" s="3">
        <v>97</v>
      </c>
      <c r="B2571" s="3" t="s">
        <v>457</v>
      </c>
      <c r="C2571" s="3">
        <v>236</v>
      </c>
      <c r="D2571" s="3" t="s">
        <v>928</v>
      </c>
      <c r="E2571" s="3" t="s">
        <v>7620</v>
      </c>
      <c r="F2571" s="3" t="s">
        <v>7608</v>
      </c>
      <c r="G2571" s="3" t="s">
        <v>7625</v>
      </c>
    </row>
    <row r="2572" spans="1:7">
      <c r="A2572" s="2">
        <v>97</v>
      </c>
      <c r="B2572" s="2" t="s">
        <v>457</v>
      </c>
      <c r="C2572" s="2">
        <v>243</v>
      </c>
      <c r="D2572" s="2" t="s">
        <v>941</v>
      </c>
      <c r="E2572" s="2" t="s">
        <v>7618</v>
      </c>
      <c r="F2572" s="2" t="s">
        <v>7608</v>
      </c>
      <c r="G2572" s="2" t="s">
        <v>7633</v>
      </c>
    </row>
    <row r="2573" spans="1:7">
      <c r="A2573" s="3">
        <v>97</v>
      </c>
      <c r="B2573" s="3" t="s">
        <v>457</v>
      </c>
      <c r="C2573" s="3">
        <v>251</v>
      </c>
      <c r="D2573" s="3" t="s">
        <v>819</v>
      </c>
      <c r="E2573" s="3" t="s">
        <v>7620</v>
      </c>
      <c r="F2573" s="3" t="s">
        <v>7721</v>
      </c>
      <c r="G2573" s="3" t="s">
        <v>7622</v>
      </c>
    </row>
    <row r="2574" spans="1:7">
      <c r="A2574" s="2">
        <v>97</v>
      </c>
      <c r="B2574" s="2" t="s">
        <v>457</v>
      </c>
      <c r="C2574" s="2">
        <v>254</v>
      </c>
      <c r="D2574" s="2" t="s">
        <v>837</v>
      </c>
      <c r="E2574" s="2" t="s">
        <v>7630</v>
      </c>
      <c r="F2574" s="2" t="s">
        <v>7649</v>
      </c>
      <c r="G2574" s="2" t="s">
        <v>7634</v>
      </c>
    </row>
    <row r="2575" spans="1:7">
      <c r="A2575" s="3">
        <v>97</v>
      </c>
      <c r="B2575" s="3" t="s">
        <v>457</v>
      </c>
      <c r="C2575" s="3">
        <v>256</v>
      </c>
      <c r="D2575" s="3" t="s">
        <v>785</v>
      </c>
      <c r="E2575" s="3" t="s">
        <v>7618</v>
      </c>
      <c r="F2575" s="3" t="s">
        <v>7611</v>
      </c>
      <c r="G2575" s="3" t="s">
        <v>7617</v>
      </c>
    </row>
    <row r="2576" spans="1:7">
      <c r="A2576" s="2">
        <v>97</v>
      </c>
      <c r="B2576" s="2" t="s">
        <v>457</v>
      </c>
      <c r="C2576" s="2">
        <v>257</v>
      </c>
      <c r="D2576" s="2" t="s">
        <v>876</v>
      </c>
      <c r="E2576" s="2" t="s">
        <v>7620</v>
      </c>
      <c r="F2576" s="2" t="s">
        <v>7611</v>
      </c>
      <c r="G2576" s="2" t="s">
        <v>7625</v>
      </c>
    </row>
    <row r="2577" spans="1:7">
      <c r="A2577" s="3">
        <v>97</v>
      </c>
      <c r="B2577" s="3" t="s">
        <v>457</v>
      </c>
      <c r="C2577" s="3">
        <v>258</v>
      </c>
      <c r="D2577" s="3" t="s">
        <v>882</v>
      </c>
      <c r="E2577" s="3" t="s">
        <v>7618</v>
      </c>
      <c r="F2577" s="3" t="s">
        <v>7608</v>
      </c>
      <c r="G2577" s="3" t="s">
        <v>7619</v>
      </c>
    </row>
    <row r="2578" spans="1:7">
      <c r="A2578" s="2">
        <v>97</v>
      </c>
      <c r="B2578" s="2" t="s">
        <v>457</v>
      </c>
      <c r="C2578" s="2">
        <v>259</v>
      </c>
      <c r="D2578" s="2" t="s">
        <v>924</v>
      </c>
      <c r="E2578" s="2" t="s">
        <v>7620</v>
      </c>
      <c r="F2578" s="2" t="s">
        <v>7608</v>
      </c>
      <c r="G2578" s="2" t="s">
        <v>7625</v>
      </c>
    </row>
    <row r="2579" spans="1:7">
      <c r="A2579" s="3">
        <v>97</v>
      </c>
      <c r="B2579" s="3" t="s">
        <v>457</v>
      </c>
      <c r="C2579" s="3">
        <v>262</v>
      </c>
      <c r="D2579" s="3" t="s">
        <v>355</v>
      </c>
      <c r="E2579" s="3" t="s">
        <v>7630</v>
      </c>
      <c r="F2579" s="3" t="s">
        <v>7721</v>
      </c>
      <c r="G2579" s="3" t="s">
        <v>7624</v>
      </c>
    </row>
    <row r="2580" spans="1:7">
      <c r="A2580" s="2">
        <v>97</v>
      </c>
      <c r="B2580" s="2" t="s">
        <v>457</v>
      </c>
      <c r="C2580" s="2">
        <v>264</v>
      </c>
      <c r="D2580" s="2" t="s">
        <v>775</v>
      </c>
      <c r="E2580" s="2" t="s">
        <v>7693</v>
      </c>
      <c r="F2580" s="2" t="s">
        <v>7659</v>
      </c>
      <c r="G2580" s="2" t="s">
        <v>7626</v>
      </c>
    </row>
    <row r="2581" spans="1:7">
      <c r="A2581" s="3">
        <v>97</v>
      </c>
      <c r="B2581" s="3" t="s">
        <v>457</v>
      </c>
      <c r="C2581" s="3">
        <v>265</v>
      </c>
      <c r="D2581" s="3" t="s">
        <v>860</v>
      </c>
      <c r="E2581" s="3" t="s">
        <v>7620</v>
      </c>
      <c r="F2581" s="3" t="s">
        <v>7611</v>
      </c>
      <c r="G2581" s="3" t="s">
        <v>7622</v>
      </c>
    </row>
    <row r="2582" spans="1:7">
      <c r="A2582" s="2">
        <v>97</v>
      </c>
      <c r="B2582" s="2" t="s">
        <v>457</v>
      </c>
      <c r="C2582" s="2">
        <v>266</v>
      </c>
      <c r="D2582" s="2" t="s">
        <v>826</v>
      </c>
      <c r="E2582" s="2" t="s">
        <v>7618</v>
      </c>
      <c r="F2582" s="2" t="s">
        <v>7659</v>
      </c>
      <c r="G2582" s="2" t="s">
        <v>7632</v>
      </c>
    </row>
    <row r="2583" spans="1:7">
      <c r="A2583" s="3">
        <v>97</v>
      </c>
      <c r="B2583" s="3" t="s">
        <v>457</v>
      </c>
      <c r="C2583" s="3">
        <v>267</v>
      </c>
      <c r="D2583" s="3" t="s">
        <v>801</v>
      </c>
      <c r="E2583" s="3" t="s">
        <v>7618</v>
      </c>
      <c r="F2583" s="3" t="s">
        <v>7717</v>
      </c>
      <c r="G2583" s="3" t="s">
        <v>7644</v>
      </c>
    </row>
    <row r="2584" spans="1:7">
      <c r="A2584" s="2">
        <v>97</v>
      </c>
      <c r="B2584" s="2" t="s">
        <v>457</v>
      </c>
      <c r="C2584" s="2">
        <v>268</v>
      </c>
      <c r="D2584" s="2" t="s">
        <v>934</v>
      </c>
      <c r="E2584" s="2" t="s">
        <v>7620</v>
      </c>
      <c r="F2584" s="2" t="s">
        <v>7608</v>
      </c>
      <c r="G2584" s="2" t="s">
        <v>7621</v>
      </c>
    </row>
    <row r="2585" spans="1:7">
      <c r="A2585" s="3">
        <v>97</v>
      </c>
      <c r="B2585" s="3" t="s">
        <v>457</v>
      </c>
      <c r="C2585" s="3">
        <v>269</v>
      </c>
      <c r="D2585" s="3" t="s">
        <v>825</v>
      </c>
      <c r="E2585" s="3" t="s">
        <v>7618</v>
      </c>
      <c r="F2585" s="3" t="s">
        <v>7649</v>
      </c>
      <c r="G2585" s="3" t="s">
        <v>7639</v>
      </c>
    </row>
    <row r="2586" spans="1:7">
      <c r="A2586" s="2">
        <v>97</v>
      </c>
      <c r="B2586" s="2" t="s">
        <v>457</v>
      </c>
      <c r="C2586" s="2">
        <v>270</v>
      </c>
      <c r="D2586" s="2" t="s">
        <v>769</v>
      </c>
      <c r="E2586" s="2" t="s">
        <v>7620</v>
      </c>
      <c r="F2586" s="2" t="s">
        <v>7721</v>
      </c>
      <c r="G2586" s="2" t="s">
        <v>7636</v>
      </c>
    </row>
    <row r="2587" spans="1:7">
      <c r="A2587" s="3">
        <v>97</v>
      </c>
      <c r="B2587" s="3" t="s">
        <v>457</v>
      </c>
      <c r="C2587" s="3">
        <v>271</v>
      </c>
      <c r="D2587" s="3" t="s">
        <v>935</v>
      </c>
      <c r="E2587" s="3" t="s">
        <v>7620</v>
      </c>
      <c r="F2587" s="3" t="s">
        <v>7608</v>
      </c>
      <c r="G2587" s="3" t="s">
        <v>7625</v>
      </c>
    </row>
    <row r="2588" spans="1:7">
      <c r="A2588" s="2">
        <v>97</v>
      </c>
      <c r="B2588" s="2" t="s">
        <v>457</v>
      </c>
      <c r="C2588" s="2">
        <v>272</v>
      </c>
      <c r="D2588" s="2" t="s">
        <v>873</v>
      </c>
      <c r="E2588" s="2" t="s">
        <v>7618</v>
      </c>
      <c r="F2588" s="2" t="s">
        <v>7631</v>
      </c>
      <c r="G2588" s="2" t="s">
        <v>7632</v>
      </c>
    </row>
    <row r="2589" spans="1:7">
      <c r="A2589" s="3">
        <v>97</v>
      </c>
      <c r="B2589" s="3" t="s">
        <v>457</v>
      </c>
      <c r="C2589" s="3">
        <v>273</v>
      </c>
      <c r="D2589" s="3" t="s">
        <v>816</v>
      </c>
      <c r="E2589" s="3" t="s">
        <v>7620</v>
      </c>
      <c r="F2589" s="3" t="s">
        <v>7650</v>
      </c>
      <c r="G2589" s="3" t="s">
        <v>7622</v>
      </c>
    </row>
    <row r="2590" spans="1:7">
      <c r="A2590" s="2">
        <v>97</v>
      </c>
      <c r="B2590" s="2" t="s">
        <v>457</v>
      </c>
      <c r="C2590" s="2">
        <v>275</v>
      </c>
      <c r="D2590" s="2" t="s">
        <v>781</v>
      </c>
      <c r="E2590" s="2" t="s">
        <v>7630</v>
      </c>
      <c r="F2590" s="2" t="s">
        <v>7649</v>
      </c>
      <c r="G2590" s="2" t="s">
        <v>7634</v>
      </c>
    </row>
    <row r="2591" spans="1:7">
      <c r="A2591" s="3">
        <v>97</v>
      </c>
      <c r="B2591" s="3" t="s">
        <v>457</v>
      </c>
      <c r="C2591" s="3">
        <v>276</v>
      </c>
      <c r="D2591" s="3" t="s">
        <v>842</v>
      </c>
      <c r="E2591" s="3" t="s">
        <v>7618</v>
      </c>
      <c r="F2591" s="3" t="s">
        <v>7611</v>
      </c>
      <c r="G2591" s="3" t="s">
        <v>7634</v>
      </c>
    </row>
    <row r="2592" spans="1:7">
      <c r="A2592" s="2">
        <v>97</v>
      </c>
      <c r="B2592" s="2" t="s">
        <v>457</v>
      </c>
      <c r="C2592" s="2">
        <v>277</v>
      </c>
      <c r="D2592" s="2" t="s">
        <v>796</v>
      </c>
      <c r="E2592" s="2" t="s">
        <v>7620</v>
      </c>
      <c r="F2592" s="2" t="s">
        <v>7650</v>
      </c>
      <c r="G2592" s="2" t="s">
        <v>7625</v>
      </c>
    </row>
    <row r="2593" spans="1:7">
      <c r="A2593" s="3">
        <v>97</v>
      </c>
      <c r="B2593" s="3" t="s">
        <v>457</v>
      </c>
      <c r="C2593" s="3">
        <v>278</v>
      </c>
      <c r="D2593" s="3" t="s">
        <v>800</v>
      </c>
      <c r="E2593" s="3" t="s">
        <v>7608</v>
      </c>
      <c r="F2593" s="3" t="s">
        <v>7731</v>
      </c>
      <c r="G2593" s="3" t="s">
        <v>7621</v>
      </c>
    </row>
    <row r="2594" spans="1:7">
      <c r="A2594" s="2">
        <v>97</v>
      </c>
      <c r="B2594" s="2" t="s">
        <v>457</v>
      </c>
      <c r="C2594" s="2">
        <v>280</v>
      </c>
      <c r="D2594" s="2" t="s">
        <v>847</v>
      </c>
      <c r="E2594" s="2" t="s">
        <v>7645</v>
      </c>
      <c r="F2594" s="2" t="s">
        <v>7721</v>
      </c>
      <c r="G2594" s="2" t="s">
        <v>7617</v>
      </c>
    </row>
    <row r="2595" spans="1:7">
      <c r="A2595" s="3">
        <v>97</v>
      </c>
      <c r="B2595" s="3" t="s">
        <v>457</v>
      </c>
      <c r="C2595" s="3">
        <v>281</v>
      </c>
      <c r="D2595" s="3" t="s">
        <v>856</v>
      </c>
      <c r="E2595" s="3" t="s">
        <v>7618</v>
      </c>
      <c r="F2595" s="3" t="s">
        <v>7659</v>
      </c>
      <c r="G2595" s="3" t="s">
        <v>7632</v>
      </c>
    </row>
    <row r="2596" spans="1:7">
      <c r="A2596" s="2">
        <v>97</v>
      </c>
      <c r="B2596" s="2" t="s">
        <v>457</v>
      </c>
      <c r="C2596" s="2">
        <v>282</v>
      </c>
      <c r="D2596" s="2" t="s">
        <v>885</v>
      </c>
      <c r="E2596" s="2" t="s">
        <v>7630</v>
      </c>
      <c r="F2596" s="2" t="s">
        <v>7649</v>
      </c>
      <c r="G2596" s="2" t="s">
        <v>7639</v>
      </c>
    </row>
    <row r="2597" spans="1:7">
      <c r="A2597" s="3">
        <v>97</v>
      </c>
      <c r="B2597" s="3" t="s">
        <v>457</v>
      </c>
      <c r="C2597" s="3">
        <v>284</v>
      </c>
      <c r="D2597" s="3" t="s">
        <v>854</v>
      </c>
      <c r="E2597" s="3" t="s">
        <v>7618</v>
      </c>
      <c r="F2597" s="3" t="s">
        <v>7628</v>
      </c>
      <c r="G2597" s="3" t="s">
        <v>7644</v>
      </c>
    </row>
    <row r="2598" spans="1:7">
      <c r="A2598" s="2">
        <v>97</v>
      </c>
      <c r="B2598" s="2" t="s">
        <v>457</v>
      </c>
      <c r="C2598" s="2">
        <v>285</v>
      </c>
      <c r="D2598" s="2" t="s">
        <v>854</v>
      </c>
      <c r="E2598" s="2" t="s">
        <v>7620</v>
      </c>
      <c r="F2598" s="2" t="s">
        <v>7611</v>
      </c>
      <c r="G2598" s="2" t="s">
        <v>7633</v>
      </c>
    </row>
    <row r="2599" spans="1:7">
      <c r="A2599" s="3">
        <v>97</v>
      </c>
      <c r="B2599" s="3" t="s">
        <v>457</v>
      </c>
      <c r="C2599" s="3">
        <v>286</v>
      </c>
      <c r="D2599" s="3" t="s">
        <v>807</v>
      </c>
      <c r="E2599" s="3" t="s">
        <v>7620</v>
      </c>
      <c r="F2599" s="3" t="s">
        <v>7649</v>
      </c>
      <c r="G2599" s="3" t="s">
        <v>7633</v>
      </c>
    </row>
    <row r="2600" spans="1:7">
      <c r="A2600" s="2">
        <v>97</v>
      </c>
      <c r="B2600" s="2" t="s">
        <v>457</v>
      </c>
      <c r="C2600" s="2">
        <v>287</v>
      </c>
      <c r="D2600" s="2" t="s">
        <v>929</v>
      </c>
      <c r="E2600" s="2" t="s">
        <v>7630</v>
      </c>
      <c r="F2600" s="2" t="s">
        <v>7721</v>
      </c>
      <c r="G2600" s="2" t="s">
        <v>7634</v>
      </c>
    </row>
    <row r="2601" spans="1:7">
      <c r="A2601" s="3">
        <v>97</v>
      </c>
      <c r="B2601" s="3" t="s">
        <v>457</v>
      </c>
      <c r="C2601" s="3">
        <v>288</v>
      </c>
      <c r="D2601" s="3" t="s">
        <v>805</v>
      </c>
      <c r="E2601" s="3" t="s">
        <v>7618</v>
      </c>
      <c r="F2601" s="3" t="s">
        <v>7611</v>
      </c>
      <c r="G2601" s="3" t="s">
        <v>7636</v>
      </c>
    </row>
    <row r="2602" spans="1:7">
      <c r="A2602" s="2">
        <v>97</v>
      </c>
      <c r="B2602" s="2" t="s">
        <v>457</v>
      </c>
      <c r="C2602" s="2">
        <v>289</v>
      </c>
      <c r="D2602" s="2" t="s">
        <v>854</v>
      </c>
      <c r="E2602" s="2" t="s">
        <v>7620</v>
      </c>
      <c r="F2602" s="2" t="s">
        <v>7732</v>
      </c>
      <c r="G2602" s="2" t="s">
        <v>7609</v>
      </c>
    </row>
    <row r="2603" spans="1:7">
      <c r="A2603" s="3">
        <v>97</v>
      </c>
      <c r="B2603" s="3" t="s">
        <v>457</v>
      </c>
      <c r="C2603" s="3">
        <v>290</v>
      </c>
      <c r="D2603" s="3" t="s">
        <v>854</v>
      </c>
      <c r="E2603" s="3" t="s">
        <v>7620</v>
      </c>
      <c r="F2603" s="3" t="s">
        <v>7611</v>
      </c>
      <c r="G2603" s="3" t="s">
        <v>7625</v>
      </c>
    </row>
    <row r="2604" spans="1:7">
      <c r="A2604" s="2">
        <v>97</v>
      </c>
      <c r="B2604" s="2" t="s">
        <v>457</v>
      </c>
      <c r="C2604" s="2">
        <v>293</v>
      </c>
      <c r="D2604" s="2" t="s">
        <v>854</v>
      </c>
      <c r="E2604" s="2" t="s">
        <v>7618</v>
      </c>
      <c r="F2604" s="2" t="s">
        <v>7721</v>
      </c>
      <c r="G2604" s="2" t="s">
        <v>7634</v>
      </c>
    </row>
    <row r="2605" spans="1:7">
      <c r="A2605" s="3">
        <v>97</v>
      </c>
      <c r="B2605" s="3" t="s">
        <v>457</v>
      </c>
      <c r="C2605" s="3">
        <v>294</v>
      </c>
      <c r="D2605" s="3" t="s">
        <v>854</v>
      </c>
      <c r="E2605" s="3" t="s">
        <v>7618</v>
      </c>
      <c r="F2605" s="3" t="s">
        <v>7608</v>
      </c>
      <c r="G2605" s="3" t="s">
        <v>7619</v>
      </c>
    </row>
    <row r="2606" spans="1:7">
      <c r="A2606" s="2">
        <v>97</v>
      </c>
      <c r="B2606" s="2" t="s">
        <v>457</v>
      </c>
      <c r="C2606" s="2">
        <v>295</v>
      </c>
      <c r="D2606" s="2" t="s">
        <v>854</v>
      </c>
      <c r="E2606" s="2" t="s">
        <v>7620</v>
      </c>
      <c r="F2606" s="2" t="s">
        <v>7635</v>
      </c>
      <c r="G2606" s="2" t="s">
        <v>7622</v>
      </c>
    </row>
    <row r="2607" spans="1:7">
      <c r="A2607" s="3">
        <v>97</v>
      </c>
      <c r="B2607" s="3" t="s">
        <v>457</v>
      </c>
      <c r="C2607" s="3">
        <v>296</v>
      </c>
      <c r="D2607" s="3" t="s">
        <v>854</v>
      </c>
      <c r="E2607" s="3" t="s">
        <v>7620</v>
      </c>
      <c r="F2607" s="3" t="s">
        <v>7608</v>
      </c>
      <c r="G2607" s="3" t="s">
        <v>7625</v>
      </c>
    </row>
    <row r="2608" spans="1:7">
      <c r="A2608" s="2">
        <v>97</v>
      </c>
      <c r="B2608" s="2" t="s">
        <v>457</v>
      </c>
      <c r="C2608" s="2">
        <v>297</v>
      </c>
      <c r="D2608" s="2" t="s">
        <v>833</v>
      </c>
      <c r="E2608" s="2" t="s">
        <v>7618</v>
      </c>
      <c r="F2608" s="2" t="s">
        <v>7608</v>
      </c>
      <c r="G2608" s="2" t="s">
        <v>7633</v>
      </c>
    </row>
    <row r="2609" spans="1:7">
      <c r="A2609" s="3">
        <v>97</v>
      </c>
      <c r="B2609" s="3" t="s">
        <v>457</v>
      </c>
      <c r="C2609" s="3">
        <v>298</v>
      </c>
      <c r="D2609" s="3" t="s">
        <v>854</v>
      </c>
      <c r="E2609" s="3" t="s">
        <v>7620</v>
      </c>
      <c r="F2609" s="3" t="s">
        <v>7608</v>
      </c>
      <c r="G2609" s="3" t="s">
        <v>7621</v>
      </c>
    </row>
    <row r="2610" spans="1:7">
      <c r="A2610" s="2">
        <v>97</v>
      </c>
      <c r="B2610" s="2" t="s">
        <v>457</v>
      </c>
      <c r="C2610" s="2">
        <v>300</v>
      </c>
      <c r="D2610" s="2" t="s">
        <v>854</v>
      </c>
      <c r="E2610" s="2" t="s">
        <v>7620</v>
      </c>
      <c r="F2610" s="2" t="s">
        <v>7608</v>
      </c>
      <c r="G2610" s="2" t="s">
        <v>7621</v>
      </c>
    </row>
    <row r="2611" spans="1:7">
      <c r="A2611" s="3">
        <v>97</v>
      </c>
      <c r="B2611" s="3" t="s">
        <v>457</v>
      </c>
      <c r="C2611" s="3">
        <v>301</v>
      </c>
      <c r="D2611" s="3" t="s">
        <v>850</v>
      </c>
      <c r="E2611" s="3" t="s">
        <v>7620</v>
      </c>
      <c r="F2611" s="3" t="s">
        <v>7650</v>
      </c>
      <c r="G2611" s="3" t="s">
        <v>7621</v>
      </c>
    </row>
    <row r="2612" spans="1:7">
      <c r="A2612" s="2">
        <v>97</v>
      </c>
      <c r="B2612" s="2" t="s">
        <v>457</v>
      </c>
      <c r="C2612" s="2">
        <v>302</v>
      </c>
      <c r="D2612" s="2" t="s">
        <v>916</v>
      </c>
      <c r="E2612" s="2" t="s">
        <v>7620</v>
      </c>
      <c r="F2612" s="2" t="s">
        <v>7628</v>
      </c>
      <c r="G2612" s="2" t="s">
        <v>7622</v>
      </c>
    </row>
    <row r="2613" spans="1:7">
      <c r="A2613" s="3">
        <v>97</v>
      </c>
      <c r="B2613" s="3" t="s">
        <v>457</v>
      </c>
      <c r="C2613" s="3">
        <v>303</v>
      </c>
      <c r="D2613" s="3" t="s">
        <v>854</v>
      </c>
      <c r="E2613" s="3" t="s">
        <v>7620</v>
      </c>
      <c r="F2613" s="3" t="s">
        <v>7611</v>
      </c>
      <c r="G2613" s="3" t="s">
        <v>7633</v>
      </c>
    </row>
    <row r="2614" spans="1:7">
      <c r="A2614" s="2">
        <v>97</v>
      </c>
      <c r="B2614" s="2" t="s">
        <v>457</v>
      </c>
      <c r="C2614" s="2">
        <v>304</v>
      </c>
      <c r="D2614" s="2" t="s">
        <v>854</v>
      </c>
      <c r="E2614" s="2" t="s">
        <v>7620</v>
      </c>
      <c r="F2614" s="2" t="s">
        <v>7608</v>
      </c>
      <c r="G2614" s="2" t="s">
        <v>7625</v>
      </c>
    </row>
    <row r="2615" spans="1:7">
      <c r="A2615" s="3">
        <v>97</v>
      </c>
      <c r="B2615" s="3" t="s">
        <v>457</v>
      </c>
      <c r="C2615" s="3">
        <v>305</v>
      </c>
      <c r="D2615" s="3" t="s">
        <v>854</v>
      </c>
      <c r="E2615" s="3" t="s">
        <v>7620</v>
      </c>
      <c r="F2615" s="3" t="s">
        <v>7608</v>
      </c>
      <c r="G2615" s="3" t="s">
        <v>7621</v>
      </c>
    </row>
    <row r="2616" spans="1:7">
      <c r="A2616" s="2">
        <v>97</v>
      </c>
      <c r="B2616" s="2" t="s">
        <v>457</v>
      </c>
      <c r="C2616" s="2">
        <v>307</v>
      </c>
      <c r="D2616" s="2" t="s">
        <v>854</v>
      </c>
      <c r="E2616" s="2" t="s">
        <v>7620</v>
      </c>
      <c r="F2616" s="2" t="s">
        <v>7611</v>
      </c>
      <c r="G2616" s="2" t="s">
        <v>7622</v>
      </c>
    </row>
    <row r="2617" spans="1:7">
      <c r="A2617" s="3">
        <v>97</v>
      </c>
      <c r="B2617" s="3" t="s">
        <v>457</v>
      </c>
      <c r="C2617" s="3">
        <v>308</v>
      </c>
      <c r="D2617" s="3" t="s">
        <v>854</v>
      </c>
      <c r="E2617" s="3" t="s">
        <v>7618</v>
      </c>
      <c r="F2617" s="3" t="s">
        <v>7608</v>
      </c>
      <c r="G2617" s="3" t="s">
        <v>7633</v>
      </c>
    </row>
    <row r="2618" spans="1:7">
      <c r="A2618" s="2">
        <v>97</v>
      </c>
      <c r="B2618" s="2" t="s">
        <v>457</v>
      </c>
      <c r="C2618" s="2">
        <v>311</v>
      </c>
      <c r="D2618" s="2" t="s">
        <v>954</v>
      </c>
      <c r="E2618" s="2" t="s">
        <v>7635</v>
      </c>
      <c r="F2618" s="2" t="s">
        <v>7735</v>
      </c>
      <c r="G2618" s="2" t="s">
        <v>7617</v>
      </c>
    </row>
    <row r="2619" spans="1:7">
      <c r="A2619" s="3">
        <v>97</v>
      </c>
      <c r="B2619" s="3" t="s">
        <v>457</v>
      </c>
      <c r="C2619" s="3">
        <v>312</v>
      </c>
      <c r="D2619" s="3" t="s">
        <v>949</v>
      </c>
      <c r="E2619" s="3" t="s">
        <v>7736</v>
      </c>
      <c r="F2619" s="3" t="s">
        <v>7714</v>
      </c>
      <c r="G2619" s="3" t="s">
        <v>7641</v>
      </c>
    </row>
    <row r="2620" spans="1:7">
      <c r="A2620" s="2">
        <v>97</v>
      </c>
      <c r="B2620" s="2" t="s">
        <v>457</v>
      </c>
      <c r="C2620" s="2">
        <v>314</v>
      </c>
      <c r="D2620" s="2" t="s">
        <v>1050</v>
      </c>
      <c r="E2620" s="2" t="s">
        <v>7635</v>
      </c>
      <c r="F2620" s="2" t="s">
        <v>7652</v>
      </c>
      <c r="G2620" s="2" t="s">
        <v>7609</v>
      </c>
    </row>
    <row r="2621" spans="1:7">
      <c r="A2621" s="3">
        <v>97</v>
      </c>
      <c r="B2621" s="3" t="s">
        <v>457</v>
      </c>
      <c r="C2621" s="3">
        <v>316</v>
      </c>
      <c r="D2621" s="3" t="s">
        <v>1028</v>
      </c>
      <c r="E2621" s="3" t="s">
        <v>7620</v>
      </c>
      <c r="F2621" s="3" t="s">
        <v>7650</v>
      </c>
      <c r="G2621" s="3" t="s">
        <v>7622</v>
      </c>
    </row>
    <row r="2622" spans="1:7">
      <c r="A2622" s="2">
        <v>97</v>
      </c>
      <c r="B2622" s="2" t="s">
        <v>457</v>
      </c>
      <c r="C2622" s="2">
        <v>317</v>
      </c>
      <c r="D2622" s="2" t="s">
        <v>1030</v>
      </c>
      <c r="E2622" s="2" t="s">
        <v>7618</v>
      </c>
      <c r="F2622" s="2" t="s">
        <v>7611</v>
      </c>
      <c r="G2622" s="2" t="s">
        <v>7639</v>
      </c>
    </row>
    <row r="2623" spans="1:7">
      <c r="A2623" s="3">
        <v>97</v>
      </c>
      <c r="B2623" s="3" t="s">
        <v>457</v>
      </c>
      <c r="C2623" s="3">
        <v>318</v>
      </c>
      <c r="D2623" s="3" t="s">
        <v>1032</v>
      </c>
      <c r="E2623" s="3" t="s">
        <v>7618</v>
      </c>
      <c r="F2623" s="3" t="s">
        <v>7611</v>
      </c>
      <c r="G2623" s="3" t="s">
        <v>7634</v>
      </c>
    </row>
    <row r="2624" spans="1:7">
      <c r="A2624" s="2">
        <v>97</v>
      </c>
      <c r="B2624" s="2" t="s">
        <v>457</v>
      </c>
      <c r="C2624" s="2">
        <v>319</v>
      </c>
      <c r="D2624" s="2" t="s">
        <v>1035</v>
      </c>
      <c r="E2624" s="2" t="s">
        <v>7635</v>
      </c>
      <c r="F2624" s="2" t="s">
        <v>7628</v>
      </c>
      <c r="G2624" s="2" t="s">
        <v>7609</v>
      </c>
    </row>
    <row r="2625" spans="1:7">
      <c r="A2625" s="3">
        <v>97</v>
      </c>
      <c r="B2625" s="3" t="s">
        <v>457</v>
      </c>
      <c r="C2625" s="3">
        <v>320</v>
      </c>
      <c r="D2625" s="3" t="s">
        <v>1039</v>
      </c>
      <c r="E2625" s="3" t="s">
        <v>7737</v>
      </c>
      <c r="F2625" s="3" t="s">
        <v>7652</v>
      </c>
      <c r="G2625" s="3" t="s">
        <v>7637</v>
      </c>
    </row>
    <row r="2626" spans="1:7">
      <c r="A2626" s="2">
        <v>97</v>
      </c>
      <c r="B2626" s="2" t="s">
        <v>457</v>
      </c>
      <c r="C2626" s="2">
        <v>321</v>
      </c>
      <c r="D2626" s="2" t="s">
        <v>1048</v>
      </c>
      <c r="E2626" s="2" t="s">
        <v>7618</v>
      </c>
      <c r="F2626" s="2" t="s">
        <v>7649</v>
      </c>
      <c r="G2626" s="2" t="s">
        <v>7639</v>
      </c>
    </row>
    <row r="2627" spans="1:7">
      <c r="A2627" s="3">
        <v>97</v>
      </c>
      <c r="B2627" s="3" t="s">
        <v>457</v>
      </c>
      <c r="C2627" s="3">
        <v>322</v>
      </c>
      <c r="D2627" s="3" t="s">
        <v>1012</v>
      </c>
      <c r="E2627" s="3" t="s">
        <v>7724</v>
      </c>
      <c r="F2627" s="3" t="s">
        <v>7652</v>
      </c>
      <c r="G2627" s="3" t="s">
        <v>7634</v>
      </c>
    </row>
    <row r="2628" spans="1:7">
      <c r="A2628" s="2">
        <v>97</v>
      </c>
      <c r="B2628" s="2" t="s">
        <v>457</v>
      </c>
      <c r="C2628" s="2">
        <v>323</v>
      </c>
      <c r="D2628" s="2" t="s">
        <v>1016</v>
      </c>
      <c r="E2628" s="2" t="s">
        <v>7618</v>
      </c>
      <c r="F2628" s="2" t="s">
        <v>7649</v>
      </c>
      <c r="G2628" s="2" t="s">
        <v>7644</v>
      </c>
    </row>
    <row r="2629" spans="1:7">
      <c r="A2629" s="3">
        <v>97</v>
      </c>
      <c r="B2629" s="3" t="s">
        <v>457</v>
      </c>
      <c r="C2629" s="3">
        <v>325</v>
      </c>
      <c r="D2629" s="3" t="s">
        <v>1020</v>
      </c>
      <c r="E2629" s="3" t="s">
        <v>7618</v>
      </c>
      <c r="F2629" s="3" t="s">
        <v>7611</v>
      </c>
      <c r="G2629" s="3" t="s">
        <v>7619</v>
      </c>
    </row>
    <row r="2630" spans="1:7">
      <c r="A2630" s="2">
        <v>97</v>
      </c>
      <c r="B2630" s="2" t="s">
        <v>457</v>
      </c>
      <c r="C2630" s="2">
        <v>326</v>
      </c>
      <c r="D2630" s="2" t="s">
        <v>1022</v>
      </c>
      <c r="E2630" s="2" t="s">
        <v>7618</v>
      </c>
      <c r="F2630" s="2" t="s">
        <v>7628</v>
      </c>
      <c r="G2630" s="2" t="s">
        <v>7644</v>
      </c>
    </row>
    <row r="2631" spans="1:7">
      <c r="A2631" s="3">
        <v>97</v>
      </c>
      <c r="B2631" s="3" t="s">
        <v>457</v>
      </c>
      <c r="C2631" s="3">
        <v>327</v>
      </c>
      <c r="D2631" s="3" t="s">
        <v>1025</v>
      </c>
      <c r="E2631" s="3" t="s">
        <v>7618</v>
      </c>
      <c r="F2631" s="3" t="s">
        <v>7628</v>
      </c>
      <c r="G2631" s="3" t="s">
        <v>7632</v>
      </c>
    </row>
    <row r="2632" spans="1:7">
      <c r="A2632" s="2">
        <v>97</v>
      </c>
      <c r="B2632" s="2" t="s">
        <v>457</v>
      </c>
      <c r="C2632" s="2">
        <v>328</v>
      </c>
      <c r="D2632" s="2" t="s">
        <v>1026</v>
      </c>
      <c r="E2632" s="2" t="s">
        <v>7618</v>
      </c>
      <c r="F2632" s="2" t="s">
        <v>7717</v>
      </c>
      <c r="G2632" s="2" t="s">
        <v>7641</v>
      </c>
    </row>
    <row r="2633" spans="1:7">
      <c r="A2633" s="3">
        <v>97</v>
      </c>
      <c r="B2633" s="3" t="s">
        <v>457</v>
      </c>
      <c r="C2633" s="3">
        <v>329</v>
      </c>
      <c r="D2633" s="3" t="s">
        <v>965</v>
      </c>
      <c r="E2633" s="3" t="s">
        <v>7618</v>
      </c>
      <c r="F2633" s="3" t="s">
        <v>7649</v>
      </c>
      <c r="G2633" s="3" t="s">
        <v>7639</v>
      </c>
    </row>
    <row r="2634" spans="1:7">
      <c r="A2634" s="2">
        <v>97</v>
      </c>
      <c r="B2634" s="2" t="s">
        <v>457</v>
      </c>
      <c r="C2634" s="2">
        <v>330</v>
      </c>
      <c r="D2634" s="2" t="s">
        <v>974</v>
      </c>
      <c r="E2634" s="2" t="s">
        <v>7618</v>
      </c>
      <c r="F2634" s="2" t="s">
        <v>7652</v>
      </c>
      <c r="G2634" s="2" t="s">
        <v>7624</v>
      </c>
    </row>
    <row r="2635" spans="1:7">
      <c r="A2635" s="3">
        <v>97</v>
      </c>
      <c r="B2635" s="3" t="s">
        <v>457</v>
      </c>
      <c r="C2635" s="3">
        <v>331</v>
      </c>
      <c r="D2635" s="3" t="s">
        <v>982</v>
      </c>
      <c r="E2635" s="3" t="s">
        <v>7645</v>
      </c>
      <c r="F2635" s="3" t="s">
        <v>7732</v>
      </c>
      <c r="G2635" s="3" t="s">
        <v>7622</v>
      </c>
    </row>
    <row r="2636" spans="1:7">
      <c r="A2636" s="2">
        <v>97</v>
      </c>
      <c r="B2636" s="2" t="s">
        <v>457</v>
      </c>
      <c r="C2636" s="2">
        <v>332</v>
      </c>
      <c r="D2636" s="2" t="s">
        <v>986</v>
      </c>
      <c r="E2636" s="2" t="s">
        <v>7645</v>
      </c>
      <c r="F2636" s="2" t="s">
        <v>7611</v>
      </c>
      <c r="G2636" s="2" t="s">
        <v>7621</v>
      </c>
    </row>
    <row r="2637" spans="1:7">
      <c r="A2637" s="3">
        <v>97</v>
      </c>
      <c r="B2637" s="3" t="s">
        <v>457</v>
      </c>
      <c r="C2637" s="3">
        <v>333</v>
      </c>
      <c r="D2637" s="3" t="s">
        <v>989</v>
      </c>
      <c r="E2637" s="3" t="s">
        <v>7618</v>
      </c>
      <c r="F2637" s="3" t="s">
        <v>7649</v>
      </c>
      <c r="G2637" s="3" t="s">
        <v>7624</v>
      </c>
    </row>
    <row r="2638" spans="1:7">
      <c r="A2638" s="2">
        <v>97</v>
      </c>
      <c r="B2638" s="2" t="s">
        <v>457</v>
      </c>
      <c r="C2638" s="2">
        <v>334</v>
      </c>
      <c r="D2638" s="2" t="s">
        <v>970</v>
      </c>
      <c r="E2638" s="2" t="s">
        <v>7620</v>
      </c>
      <c r="F2638" s="2" t="s">
        <v>7659</v>
      </c>
      <c r="G2638" s="2" t="s">
        <v>7636</v>
      </c>
    </row>
    <row r="2639" spans="1:7">
      <c r="A2639" s="3">
        <v>97</v>
      </c>
      <c r="B2639" s="3" t="s">
        <v>457</v>
      </c>
      <c r="C2639" s="3">
        <v>335</v>
      </c>
      <c r="D2639" s="3" t="s">
        <v>1057</v>
      </c>
      <c r="E2639" s="3" t="s">
        <v>7620</v>
      </c>
      <c r="F2639" s="3" t="s">
        <v>7611</v>
      </c>
      <c r="G2639" s="3" t="s">
        <v>7625</v>
      </c>
    </row>
    <row r="2640" spans="1:7">
      <c r="A2640" s="2">
        <v>97</v>
      </c>
      <c r="B2640" s="2" t="s">
        <v>457</v>
      </c>
      <c r="C2640" s="2">
        <v>336</v>
      </c>
      <c r="D2640" s="2" t="s">
        <v>992</v>
      </c>
      <c r="E2640" s="2" t="s">
        <v>7620</v>
      </c>
      <c r="F2640" s="2" t="s">
        <v>7721</v>
      </c>
      <c r="G2640" s="2" t="s">
        <v>7622</v>
      </c>
    </row>
    <row r="2641" spans="1:7">
      <c r="A2641" s="3">
        <v>97</v>
      </c>
      <c r="B2641" s="3" t="s">
        <v>457</v>
      </c>
      <c r="C2641" s="3">
        <v>337</v>
      </c>
      <c r="D2641" s="3" t="s">
        <v>1042</v>
      </c>
      <c r="E2641" s="3" t="s">
        <v>7620</v>
      </c>
      <c r="F2641" s="3" t="s">
        <v>7649</v>
      </c>
      <c r="G2641" s="3" t="s">
        <v>7633</v>
      </c>
    </row>
    <row r="2642" spans="1:7">
      <c r="A2642" s="2">
        <v>97</v>
      </c>
      <c r="B2642" s="2" t="s">
        <v>457</v>
      </c>
      <c r="C2642" s="2">
        <v>338</v>
      </c>
      <c r="D2642" s="2" t="s">
        <v>996</v>
      </c>
      <c r="E2642" s="2" t="s">
        <v>7620</v>
      </c>
      <c r="F2642" s="2" t="s">
        <v>7649</v>
      </c>
      <c r="G2642" s="2" t="s">
        <v>7622</v>
      </c>
    </row>
    <row r="2643" spans="1:7">
      <c r="A2643" s="3">
        <v>97</v>
      </c>
      <c r="B2643" s="3" t="s">
        <v>457</v>
      </c>
      <c r="C2643" s="3">
        <v>339</v>
      </c>
      <c r="D2643" s="3" t="s">
        <v>1058</v>
      </c>
      <c r="E2643" s="3" t="s">
        <v>7620</v>
      </c>
      <c r="F2643" s="3" t="s">
        <v>7611</v>
      </c>
      <c r="G2643" s="3" t="s">
        <v>7621</v>
      </c>
    </row>
    <row r="2644" spans="1:7">
      <c r="A2644" s="2">
        <v>97</v>
      </c>
      <c r="B2644" s="2" t="s">
        <v>457</v>
      </c>
      <c r="C2644" s="2">
        <v>340</v>
      </c>
      <c r="D2644" s="2" t="s">
        <v>1000</v>
      </c>
      <c r="E2644" s="2" t="s">
        <v>7620</v>
      </c>
      <c r="F2644" s="2" t="s">
        <v>7650</v>
      </c>
      <c r="G2644" s="2" t="s">
        <v>7622</v>
      </c>
    </row>
    <row r="2645" spans="1:7">
      <c r="A2645" s="3">
        <v>97</v>
      </c>
      <c r="B2645" s="3" t="s">
        <v>457</v>
      </c>
      <c r="C2645" s="3">
        <v>341</v>
      </c>
      <c r="D2645" s="3" t="s">
        <v>1052</v>
      </c>
      <c r="E2645" s="3" t="s">
        <v>7738</v>
      </c>
      <c r="F2645" s="3" t="s">
        <v>7649</v>
      </c>
      <c r="G2645" s="3" t="s">
        <v>7634</v>
      </c>
    </row>
    <row r="2646" spans="1:7">
      <c r="A2646" s="2">
        <v>97</v>
      </c>
      <c r="B2646" s="2" t="s">
        <v>457</v>
      </c>
      <c r="C2646" s="2">
        <v>343</v>
      </c>
      <c r="D2646" s="2" t="s">
        <v>977</v>
      </c>
      <c r="E2646" s="2" t="s">
        <v>7723</v>
      </c>
      <c r="F2646" s="2" t="s">
        <v>7659</v>
      </c>
      <c r="G2646" s="2" t="s">
        <v>7626</v>
      </c>
    </row>
    <row r="2647" spans="1:7">
      <c r="A2647" s="3">
        <v>97</v>
      </c>
      <c r="B2647" s="3" t="s">
        <v>457</v>
      </c>
      <c r="C2647" s="3">
        <v>402</v>
      </c>
      <c r="D2647" s="3" t="s">
        <v>1120</v>
      </c>
      <c r="E2647" s="3" t="s">
        <v>7645</v>
      </c>
      <c r="F2647" s="3" t="s">
        <v>7649</v>
      </c>
      <c r="G2647" s="3" t="s">
        <v>7617</v>
      </c>
    </row>
    <row r="2648" spans="1:7">
      <c r="A2648" s="2">
        <v>97</v>
      </c>
      <c r="B2648" s="2" t="s">
        <v>457</v>
      </c>
      <c r="C2648" s="2">
        <v>405</v>
      </c>
      <c r="D2648" s="2" t="s">
        <v>1110</v>
      </c>
      <c r="E2648" s="2" t="s">
        <v>7630</v>
      </c>
      <c r="F2648" s="2" t="s">
        <v>7611</v>
      </c>
      <c r="G2648" s="2" t="s">
        <v>7634</v>
      </c>
    </row>
    <row r="2649" spans="1:7">
      <c r="A2649" s="3">
        <v>97</v>
      </c>
      <c r="B2649" s="3" t="s">
        <v>457</v>
      </c>
      <c r="C2649" s="3">
        <v>406</v>
      </c>
      <c r="D2649" s="3" t="s">
        <v>1114</v>
      </c>
      <c r="E2649" s="3" t="s">
        <v>7618</v>
      </c>
      <c r="F2649" s="3" t="s">
        <v>7631</v>
      </c>
      <c r="G2649" s="3" t="s">
        <v>7637</v>
      </c>
    </row>
    <row r="2650" spans="1:7">
      <c r="A2650" s="2">
        <v>97</v>
      </c>
      <c r="B2650" s="2" t="s">
        <v>457</v>
      </c>
      <c r="C2650" s="2">
        <v>408</v>
      </c>
      <c r="D2650" s="2" t="s">
        <v>1131</v>
      </c>
      <c r="E2650" s="2" t="s">
        <v>7618</v>
      </c>
      <c r="F2650" s="2" t="s">
        <v>7608</v>
      </c>
      <c r="G2650" s="2" t="s">
        <v>7617</v>
      </c>
    </row>
    <row r="2651" spans="1:7">
      <c r="A2651" s="3">
        <v>97</v>
      </c>
      <c r="B2651" s="3" t="s">
        <v>457</v>
      </c>
      <c r="C2651" s="3">
        <v>409</v>
      </c>
      <c r="D2651" s="3" t="s">
        <v>1126</v>
      </c>
      <c r="E2651" s="3" t="s">
        <v>7618</v>
      </c>
      <c r="F2651" s="3" t="s">
        <v>7611</v>
      </c>
      <c r="G2651" s="3" t="s">
        <v>7636</v>
      </c>
    </row>
    <row r="2652" spans="1:7">
      <c r="A2652" s="2">
        <v>97</v>
      </c>
      <c r="B2652" s="2" t="s">
        <v>457</v>
      </c>
      <c r="C2652" s="2">
        <v>410</v>
      </c>
      <c r="D2652" s="2" t="s">
        <v>1123</v>
      </c>
      <c r="E2652" s="2" t="s">
        <v>7620</v>
      </c>
      <c r="F2652" s="2" t="s">
        <v>7611</v>
      </c>
      <c r="G2652" s="2" t="s">
        <v>7625</v>
      </c>
    </row>
    <row r="2653" spans="1:7">
      <c r="A2653" s="3">
        <v>98</v>
      </c>
      <c r="B2653" s="3" t="s">
        <v>440</v>
      </c>
      <c r="C2653" s="3">
        <v>101</v>
      </c>
      <c r="D2653" s="3" t="s">
        <v>395</v>
      </c>
      <c r="E2653" s="3" t="s">
        <v>7620</v>
      </c>
      <c r="F2653" s="3" t="s">
        <v>7649</v>
      </c>
      <c r="G2653" s="3" t="s">
        <v>7622</v>
      </c>
    </row>
    <row r="2654" spans="1:7">
      <c r="A2654" s="2">
        <v>98</v>
      </c>
      <c r="B2654" s="2" t="s">
        <v>440</v>
      </c>
      <c r="C2654" s="2">
        <v>103</v>
      </c>
      <c r="D2654" s="2" t="s">
        <v>384</v>
      </c>
      <c r="E2654" s="2" t="s">
        <v>7620</v>
      </c>
      <c r="F2654" s="2" t="s">
        <v>7650</v>
      </c>
      <c r="G2654" s="2" t="s">
        <v>7625</v>
      </c>
    </row>
    <row r="2655" spans="1:7">
      <c r="A2655" s="3">
        <v>98</v>
      </c>
      <c r="B2655" s="3" t="s">
        <v>440</v>
      </c>
      <c r="C2655" s="3">
        <v>191</v>
      </c>
      <c r="D2655" s="3" t="s">
        <v>719</v>
      </c>
      <c r="E2655" s="3" t="s">
        <v>7620</v>
      </c>
      <c r="F2655" s="3" t="s">
        <v>7649</v>
      </c>
      <c r="G2655" s="3" t="s">
        <v>7633</v>
      </c>
    </row>
    <row r="2656" spans="1:7">
      <c r="A2656" s="2">
        <v>98</v>
      </c>
      <c r="B2656" s="2" t="s">
        <v>440</v>
      </c>
      <c r="C2656" s="2">
        <v>195</v>
      </c>
      <c r="D2656" s="2" t="s">
        <v>734</v>
      </c>
      <c r="E2656" s="2" t="s">
        <v>7620</v>
      </c>
      <c r="F2656" s="2" t="s">
        <v>7649</v>
      </c>
      <c r="G2656" s="2" t="s">
        <v>7622</v>
      </c>
    </row>
    <row r="2657" spans="1:7">
      <c r="A2657" s="3">
        <v>98</v>
      </c>
      <c r="B2657" s="3" t="s">
        <v>440</v>
      </c>
      <c r="C2657" s="3">
        <v>198</v>
      </c>
      <c r="D2657" s="3" t="s">
        <v>698</v>
      </c>
      <c r="E2657" s="3" t="s">
        <v>7620</v>
      </c>
      <c r="F2657" s="3" t="s">
        <v>7649</v>
      </c>
      <c r="G2657" s="3" t="s">
        <v>7622</v>
      </c>
    </row>
    <row r="2658" spans="1:7">
      <c r="A2658" s="2">
        <v>98</v>
      </c>
      <c r="B2658" s="2" t="s">
        <v>440</v>
      </c>
      <c r="C2658" s="2">
        <v>199</v>
      </c>
      <c r="D2658" s="2" t="s">
        <v>702</v>
      </c>
      <c r="E2658" s="2" t="s">
        <v>7620</v>
      </c>
      <c r="F2658" s="2" t="s">
        <v>7649</v>
      </c>
      <c r="G2658" s="2" t="s">
        <v>7622</v>
      </c>
    </row>
    <row r="2659" spans="1:7">
      <c r="A2659" s="3">
        <v>98</v>
      </c>
      <c r="B2659" s="3" t="s">
        <v>440</v>
      </c>
      <c r="C2659" s="3">
        <v>200</v>
      </c>
      <c r="D2659" s="3" t="s">
        <v>707</v>
      </c>
      <c r="E2659" s="3" t="s">
        <v>7620</v>
      </c>
      <c r="F2659" s="3" t="s">
        <v>7649</v>
      </c>
      <c r="G2659" s="3" t="s">
        <v>7622</v>
      </c>
    </row>
    <row r="2660" spans="1:7">
      <c r="A2660" s="2">
        <v>98</v>
      </c>
      <c r="B2660" s="2" t="s">
        <v>440</v>
      </c>
      <c r="C2660" s="2">
        <v>205</v>
      </c>
      <c r="D2660" s="2" t="s">
        <v>746</v>
      </c>
      <c r="E2660" s="2" t="s">
        <v>7620</v>
      </c>
      <c r="F2660" s="2" t="s">
        <v>7611</v>
      </c>
      <c r="G2660" s="2" t="s">
        <v>7625</v>
      </c>
    </row>
    <row r="2661" spans="1:7">
      <c r="A2661" s="3">
        <v>98</v>
      </c>
      <c r="B2661" s="3" t="s">
        <v>440</v>
      </c>
      <c r="C2661" s="3">
        <v>207</v>
      </c>
      <c r="D2661" s="3" t="s">
        <v>749</v>
      </c>
      <c r="E2661" s="3" t="s">
        <v>7640</v>
      </c>
      <c r="F2661" s="3" t="s">
        <v>7611</v>
      </c>
      <c r="G2661" s="3" t="s">
        <v>7609</v>
      </c>
    </row>
    <row r="2662" spans="1:7">
      <c r="A2662" s="2">
        <v>98</v>
      </c>
      <c r="B2662" s="2" t="s">
        <v>440</v>
      </c>
      <c r="C2662" s="2">
        <v>208</v>
      </c>
      <c r="D2662" s="2" t="s">
        <v>754</v>
      </c>
      <c r="E2662" s="2" t="s">
        <v>7620</v>
      </c>
      <c r="F2662" s="2" t="s">
        <v>7611</v>
      </c>
      <c r="G2662" s="2" t="s">
        <v>7621</v>
      </c>
    </row>
    <row r="2663" spans="1:7">
      <c r="A2663" s="3">
        <v>98</v>
      </c>
      <c r="B2663" s="3" t="s">
        <v>440</v>
      </c>
      <c r="C2663" s="3">
        <v>209</v>
      </c>
      <c r="D2663" s="3" t="s">
        <v>758</v>
      </c>
      <c r="E2663" s="3" t="s">
        <v>7620</v>
      </c>
      <c r="F2663" s="3" t="s">
        <v>7650</v>
      </c>
      <c r="G2663" s="3" t="s">
        <v>7625</v>
      </c>
    </row>
    <row r="2664" spans="1:7">
      <c r="A2664" s="2">
        <v>98</v>
      </c>
      <c r="B2664" s="2" t="s">
        <v>440</v>
      </c>
      <c r="C2664" s="2">
        <v>221</v>
      </c>
      <c r="D2664" s="2" t="s">
        <v>813</v>
      </c>
      <c r="E2664" s="2" t="s">
        <v>7640</v>
      </c>
      <c r="F2664" s="2" t="s">
        <v>7649</v>
      </c>
      <c r="G2664" s="2" t="s">
        <v>7636</v>
      </c>
    </row>
    <row r="2665" spans="1:7">
      <c r="A2665" s="3">
        <v>98</v>
      </c>
      <c r="B2665" s="3" t="s">
        <v>440</v>
      </c>
      <c r="C2665" s="3">
        <v>264</v>
      </c>
      <c r="D2665" s="3" t="s">
        <v>775</v>
      </c>
      <c r="E2665" s="3" t="s">
        <v>7620</v>
      </c>
      <c r="F2665" s="3" t="s">
        <v>7649</v>
      </c>
      <c r="G2665" s="3" t="s">
        <v>7622</v>
      </c>
    </row>
    <row r="2666" spans="1:7">
      <c r="A2666" s="2">
        <v>98</v>
      </c>
      <c r="B2666" s="2" t="s">
        <v>440</v>
      </c>
      <c r="C2666" s="2">
        <v>341</v>
      </c>
      <c r="D2666" s="2" t="s">
        <v>1052</v>
      </c>
      <c r="E2666" s="2" t="s">
        <v>7620</v>
      </c>
      <c r="F2666" s="2" t="s">
        <v>7649</v>
      </c>
      <c r="G2666" s="2" t="s">
        <v>7633</v>
      </c>
    </row>
    <row r="2667" spans="1:7">
      <c r="A2667" s="3">
        <v>98</v>
      </c>
      <c r="B2667" s="3" t="s">
        <v>440</v>
      </c>
      <c r="C2667" s="3">
        <v>343</v>
      </c>
      <c r="D2667" s="3" t="s">
        <v>977</v>
      </c>
      <c r="E2667" s="3" t="s">
        <v>7620</v>
      </c>
      <c r="F2667" s="3" t="s">
        <v>7649</v>
      </c>
      <c r="G2667" s="3" t="s">
        <v>7622</v>
      </c>
    </row>
    <row r="2668" spans="1:7">
      <c r="A2668" s="2">
        <v>99</v>
      </c>
      <c r="B2668" s="2" t="s">
        <v>446</v>
      </c>
      <c r="C2668" s="2">
        <v>101</v>
      </c>
      <c r="D2668" s="2" t="s">
        <v>395</v>
      </c>
      <c r="E2668" s="2" t="s">
        <v>7620</v>
      </c>
      <c r="F2668" s="2" t="s">
        <v>7659</v>
      </c>
      <c r="G2668" s="2" t="s">
        <v>7609</v>
      </c>
    </row>
    <row r="2669" spans="1:7">
      <c r="A2669" s="3">
        <v>99</v>
      </c>
      <c r="B2669" s="3" t="s">
        <v>446</v>
      </c>
      <c r="C2669" s="3">
        <v>103</v>
      </c>
      <c r="D2669" s="3" t="s">
        <v>384</v>
      </c>
      <c r="E2669" s="3" t="s">
        <v>7620</v>
      </c>
      <c r="F2669" s="3" t="s">
        <v>7650</v>
      </c>
      <c r="G2669" s="3" t="s">
        <v>7625</v>
      </c>
    </row>
    <row r="2670" spans="1:7">
      <c r="A2670" s="2">
        <v>99</v>
      </c>
      <c r="B2670" s="2" t="s">
        <v>446</v>
      </c>
      <c r="C2670" s="2">
        <v>181</v>
      </c>
      <c r="D2670" s="2" t="s">
        <v>653</v>
      </c>
      <c r="E2670" s="2" t="s">
        <v>7608</v>
      </c>
      <c r="F2670" s="2" t="s">
        <v>7713</v>
      </c>
      <c r="G2670" s="2" t="s">
        <v>7625</v>
      </c>
    </row>
    <row r="2671" spans="1:7">
      <c r="A2671" s="3">
        <v>99</v>
      </c>
      <c r="B2671" s="3" t="s">
        <v>446</v>
      </c>
      <c r="C2671" s="3">
        <v>191</v>
      </c>
      <c r="D2671" s="3" t="s">
        <v>719</v>
      </c>
      <c r="E2671" s="3" t="s">
        <v>7620</v>
      </c>
      <c r="F2671" s="3" t="s">
        <v>7659</v>
      </c>
      <c r="G2671" s="3" t="s">
        <v>7609</v>
      </c>
    </row>
    <row r="2672" spans="1:7">
      <c r="A2672" s="2">
        <v>99</v>
      </c>
      <c r="B2672" s="2" t="s">
        <v>446</v>
      </c>
      <c r="C2672" s="2">
        <v>195</v>
      </c>
      <c r="D2672" s="2" t="s">
        <v>734</v>
      </c>
      <c r="E2672" s="2" t="s">
        <v>7620</v>
      </c>
      <c r="F2672" s="2" t="s">
        <v>7659</v>
      </c>
      <c r="G2672" s="2" t="s">
        <v>7609</v>
      </c>
    </row>
    <row r="2673" spans="1:7">
      <c r="A2673" s="3">
        <v>99</v>
      </c>
      <c r="B2673" s="3" t="s">
        <v>446</v>
      </c>
      <c r="C2673" s="3">
        <v>198</v>
      </c>
      <c r="D2673" s="3" t="s">
        <v>698</v>
      </c>
      <c r="E2673" s="3" t="s">
        <v>7620</v>
      </c>
      <c r="F2673" s="3" t="s">
        <v>7659</v>
      </c>
      <c r="G2673" s="3" t="s">
        <v>7609</v>
      </c>
    </row>
    <row r="2674" spans="1:7">
      <c r="A2674" s="2">
        <v>99</v>
      </c>
      <c r="B2674" s="2" t="s">
        <v>446</v>
      </c>
      <c r="C2674" s="2">
        <v>199</v>
      </c>
      <c r="D2674" s="2" t="s">
        <v>702</v>
      </c>
      <c r="E2674" s="2" t="s">
        <v>7620</v>
      </c>
      <c r="F2674" s="2" t="s">
        <v>7659</v>
      </c>
      <c r="G2674" s="2" t="s">
        <v>7609</v>
      </c>
    </row>
    <row r="2675" spans="1:7">
      <c r="A2675" s="3">
        <v>99</v>
      </c>
      <c r="B2675" s="3" t="s">
        <v>446</v>
      </c>
      <c r="C2675" s="3">
        <v>200</v>
      </c>
      <c r="D2675" s="3" t="s">
        <v>707</v>
      </c>
      <c r="E2675" s="3" t="s">
        <v>7620</v>
      </c>
      <c r="F2675" s="3" t="s">
        <v>7659</v>
      </c>
      <c r="G2675" s="3" t="s">
        <v>7609</v>
      </c>
    </row>
    <row r="2676" spans="1:7">
      <c r="A2676" s="2">
        <v>99</v>
      </c>
      <c r="B2676" s="2" t="s">
        <v>446</v>
      </c>
      <c r="C2676" s="2">
        <v>201</v>
      </c>
      <c r="D2676" s="2" t="s">
        <v>695</v>
      </c>
      <c r="E2676" s="2" t="s">
        <v>7608</v>
      </c>
      <c r="F2676" s="2" t="s">
        <v>7659</v>
      </c>
      <c r="G2676" s="2" t="s">
        <v>7625</v>
      </c>
    </row>
    <row r="2677" spans="1:7">
      <c r="A2677" s="3">
        <v>99</v>
      </c>
      <c r="B2677" s="3" t="s">
        <v>446</v>
      </c>
      <c r="C2677" s="3">
        <v>204</v>
      </c>
      <c r="D2677" s="3" t="s">
        <v>685</v>
      </c>
      <c r="E2677" s="3" t="s">
        <v>7608</v>
      </c>
      <c r="F2677" s="3" t="s">
        <v>7659</v>
      </c>
      <c r="G2677" s="3" t="s">
        <v>7625</v>
      </c>
    </row>
    <row r="2678" spans="1:7">
      <c r="A2678" s="2">
        <v>99</v>
      </c>
      <c r="B2678" s="2" t="s">
        <v>446</v>
      </c>
      <c r="C2678" s="2">
        <v>205</v>
      </c>
      <c r="D2678" s="2" t="s">
        <v>746</v>
      </c>
      <c r="E2678" s="2" t="s">
        <v>7620</v>
      </c>
      <c r="F2678" s="2" t="s">
        <v>7628</v>
      </c>
      <c r="G2678" s="2" t="s">
        <v>7622</v>
      </c>
    </row>
    <row r="2679" spans="1:7">
      <c r="A2679" s="3">
        <v>99</v>
      </c>
      <c r="B2679" s="3" t="s">
        <v>446</v>
      </c>
      <c r="C2679" s="3">
        <v>207</v>
      </c>
      <c r="D2679" s="3" t="s">
        <v>749</v>
      </c>
      <c r="E2679" s="3" t="s">
        <v>7620</v>
      </c>
      <c r="F2679" s="3" t="s">
        <v>7611</v>
      </c>
      <c r="G2679" s="3" t="s">
        <v>7625</v>
      </c>
    </row>
    <row r="2680" spans="1:7">
      <c r="A2680" s="2">
        <v>99</v>
      </c>
      <c r="B2680" s="2" t="s">
        <v>446</v>
      </c>
      <c r="C2680" s="2">
        <v>208</v>
      </c>
      <c r="D2680" s="2" t="s">
        <v>754</v>
      </c>
      <c r="E2680" s="2" t="s">
        <v>7620</v>
      </c>
      <c r="F2680" s="2" t="s">
        <v>7628</v>
      </c>
      <c r="G2680" s="2" t="s">
        <v>7622</v>
      </c>
    </row>
    <row r="2681" spans="1:7">
      <c r="A2681" s="3">
        <v>99</v>
      </c>
      <c r="B2681" s="3" t="s">
        <v>446</v>
      </c>
      <c r="C2681" s="3">
        <v>209</v>
      </c>
      <c r="D2681" s="3" t="s">
        <v>758</v>
      </c>
      <c r="E2681" s="3" t="s">
        <v>7620</v>
      </c>
      <c r="F2681" s="3" t="s">
        <v>7652</v>
      </c>
      <c r="G2681" s="3" t="s">
        <v>7622</v>
      </c>
    </row>
    <row r="2682" spans="1:7">
      <c r="A2682" s="2">
        <v>99</v>
      </c>
      <c r="B2682" s="2" t="s">
        <v>446</v>
      </c>
      <c r="C2682" s="2">
        <v>221</v>
      </c>
      <c r="D2682" s="2" t="s">
        <v>813</v>
      </c>
      <c r="E2682" s="2" t="s">
        <v>7620</v>
      </c>
      <c r="F2682" s="2" t="s">
        <v>7649</v>
      </c>
      <c r="G2682" s="2" t="s">
        <v>7622</v>
      </c>
    </row>
    <row r="2683" spans="1:7">
      <c r="A2683" s="3">
        <v>99</v>
      </c>
      <c r="B2683" s="3" t="s">
        <v>446</v>
      </c>
      <c r="C2683" s="3">
        <v>264</v>
      </c>
      <c r="D2683" s="3" t="s">
        <v>775</v>
      </c>
      <c r="E2683" s="3" t="s">
        <v>7620</v>
      </c>
      <c r="F2683" s="3" t="s">
        <v>7659</v>
      </c>
      <c r="G2683" s="3" t="s">
        <v>7609</v>
      </c>
    </row>
    <row r="2684" spans="1:7">
      <c r="A2684" s="2">
        <v>99</v>
      </c>
      <c r="B2684" s="2" t="s">
        <v>446</v>
      </c>
      <c r="C2684" s="2">
        <v>312</v>
      </c>
      <c r="D2684" s="2" t="s">
        <v>949</v>
      </c>
      <c r="E2684" s="2" t="s">
        <v>7608</v>
      </c>
      <c r="F2684" s="2" t="s">
        <v>7714</v>
      </c>
      <c r="G2684" s="2" t="s">
        <v>7622</v>
      </c>
    </row>
    <row r="2685" spans="1:7">
      <c r="A2685" s="3">
        <v>99</v>
      </c>
      <c r="B2685" s="3" t="s">
        <v>446</v>
      </c>
      <c r="C2685" s="3">
        <v>341</v>
      </c>
      <c r="D2685" s="3" t="s">
        <v>1052</v>
      </c>
      <c r="E2685" s="3" t="s">
        <v>7620</v>
      </c>
      <c r="F2685" s="3" t="s">
        <v>7649</v>
      </c>
      <c r="G2685" s="3" t="s">
        <v>7622</v>
      </c>
    </row>
    <row r="2686" spans="1:7">
      <c r="A2686" s="2">
        <v>99</v>
      </c>
      <c r="B2686" s="2" t="s">
        <v>446</v>
      </c>
      <c r="C2686" s="2">
        <v>343</v>
      </c>
      <c r="D2686" s="2" t="s">
        <v>977</v>
      </c>
      <c r="E2686" s="2" t="s">
        <v>7620</v>
      </c>
      <c r="F2686" s="2" t="s">
        <v>7659</v>
      </c>
      <c r="G2686" s="2" t="s">
        <v>7609</v>
      </c>
    </row>
    <row r="2687" spans="1:7">
      <c r="A2687" s="3">
        <v>101</v>
      </c>
      <c r="B2687" s="3" t="s">
        <v>395</v>
      </c>
      <c r="C2687" s="3">
        <v>102</v>
      </c>
      <c r="D2687" s="3" t="s">
        <v>540</v>
      </c>
      <c r="E2687" s="3" t="s">
        <v>7620</v>
      </c>
      <c r="F2687" s="3" t="s">
        <v>7611</v>
      </c>
      <c r="G2687" s="3" t="s">
        <v>7625</v>
      </c>
    </row>
    <row r="2688" spans="1:7">
      <c r="A2688" s="2">
        <v>101</v>
      </c>
      <c r="B2688" s="2" t="s">
        <v>395</v>
      </c>
      <c r="C2688" s="2">
        <v>103</v>
      </c>
      <c r="D2688" s="2" t="s">
        <v>384</v>
      </c>
      <c r="E2688" s="2" t="s">
        <v>7694</v>
      </c>
      <c r="F2688" s="2" t="s">
        <v>7650</v>
      </c>
      <c r="G2688" s="2" t="s">
        <v>7609</v>
      </c>
    </row>
    <row r="2689" spans="1:7">
      <c r="A2689" s="3">
        <v>101</v>
      </c>
      <c r="B2689" s="3" t="s">
        <v>395</v>
      </c>
      <c r="C2689" s="3">
        <v>104</v>
      </c>
      <c r="D2689" s="3" t="s">
        <v>493</v>
      </c>
      <c r="E2689" s="3" t="s">
        <v>7620</v>
      </c>
      <c r="F2689" s="3" t="s">
        <v>7649</v>
      </c>
      <c r="G2689" s="3" t="s">
        <v>7633</v>
      </c>
    </row>
    <row r="2690" spans="1:7">
      <c r="A2690" s="2">
        <v>101</v>
      </c>
      <c r="B2690" s="2" t="s">
        <v>395</v>
      </c>
      <c r="C2690" s="2">
        <v>105</v>
      </c>
      <c r="D2690" s="2" t="s">
        <v>582</v>
      </c>
      <c r="E2690" s="2" t="s">
        <v>7620</v>
      </c>
      <c r="F2690" s="2" t="s">
        <v>7611</v>
      </c>
      <c r="G2690" s="2" t="s">
        <v>7625</v>
      </c>
    </row>
    <row r="2691" spans="1:7">
      <c r="A2691" s="3">
        <v>101</v>
      </c>
      <c r="B2691" s="3" t="s">
        <v>395</v>
      </c>
      <c r="C2691" s="3">
        <v>106</v>
      </c>
      <c r="D2691" s="3" t="s">
        <v>404</v>
      </c>
      <c r="E2691" s="3" t="s">
        <v>7620</v>
      </c>
      <c r="F2691" s="3" t="s">
        <v>7650</v>
      </c>
      <c r="G2691" s="3" t="s">
        <v>7625</v>
      </c>
    </row>
    <row r="2692" spans="1:7">
      <c r="A2692" s="2">
        <v>101</v>
      </c>
      <c r="B2692" s="2" t="s">
        <v>395</v>
      </c>
      <c r="C2692" s="2">
        <v>107</v>
      </c>
      <c r="D2692" s="2" t="s">
        <v>536</v>
      </c>
      <c r="E2692" s="2" t="s">
        <v>7620</v>
      </c>
      <c r="F2692" s="2" t="s">
        <v>7649</v>
      </c>
      <c r="G2692" s="2" t="s">
        <v>7633</v>
      </c>
    </row>
    <row r="2693" spans="1:7">
      <c r="A2693" s="3">
        <v>101</v>
      </c>
      <c r="B2693" s="3" t="s">
        <v>395</v>
      </c>
      <c r="C2693" s="3">
        <v>108</v>
      </c>
      <c r="D2693" s="3" t="s">
        <v>548</v>
      </c>
      <c r="E2693" s="3" t="s">
        <v>7620</v>
      </c>
      <c r="F2693" s="3" t="s">
        <v>7611</v>
      </c>
      <c r="G2693" s="3" t="s">
        <v>7621</v>
      </c>
    </row>
    <row r="2694" spans="1:7">
      <c r="A2694" s="2">
        <v>101</v>
      </c>
      <c r="B2694" s="2" t="s">
        <v>395</v>
      </c>
      <c r="C2694" s="2">
        <v>109</v>
      </c>
      <c r="D2694" s="2" t="s">
        <v>489</v>
      </c>
      <c r="E2694" s="2" t="s">
        <v>7620</v>
      </c>
      <c r="F2694" s="2" t="s">
        <v>7650</v>
      </c>
      <c r="G2694" s="2" t="s">
        <v>7621</v>
      </c>
    </row>
    <row r="2695" spans="1:7">
      <c r="A2695" s="3">
        <v>101</v>
      </c>
      <c r="B2695" s="3" t="s">
        <v>395</v>
      </c>
      <c r="C2695" s="3">
        <v>110</v>
      </c>
      <c r="D2695" s="3" t="s">
        <v>363</v>
      </c>
      <c r="E2695" s="3" t="s">
        <v>7620</v>
      </c>
      <c r="F2695" s="3" t="s">
        <v>7650</v>
      </c>
      <c r="G2695" s="3" t="s">
        <v>7625</v>
      </c>
    </row>
    <row r="2696" spans="1:7">
      <c r="A2696" s="2">
        <v>101</v>
      </c>
      <c r="B2696" s="2" t="s">
        <v>395</v>
      </c>
      <c r="C2696" s="2">
        <v>111</v>
      </c>
      <c r="D2696" s="2" t="s">
        <v>407</v>
      </c>
      <c r="E2696" s="2" t="s">
        <v>7620</v>
      </c>
      <c r="F2696" s="2" t="s">
        <v>7650</v>
      </c>
      <c r="G2696" s="2" t="s">
        <v>7621</v>
      </c>
    </row>
    <row r="2697" spans="1:7">
      <c r="A2697" s="3">
        <v>101</v>
      </c>
      <c r="B2697" s="3" t="s">
        <v>395</v>
      </c>
      <c r="C2697" s="3">
        <v>112</v>
      </c>
      <c r="D2697" s="3" t="s">
        <v>517</v>
      </c>
      <c r="E2697" s="3" t="s">
        <v>7620</v>
      </c>
      <c r="F2697" s="3" t="s">
        <v>7659</v>
      </c>
      <c r="G2697" s="3" t="s">
        <v>7617</v>
      </c>
    </row>
    <row r="2698" spans="1:7">
      <c r="A2698" s="2">
        <v>101</v>
      </c>
      <c r="B2698" s="2" t="s">
        <v>395</v>
      </c>
      <c r="C2698" s="2">
        <v>113</v>
      </c>
      <c r="D2698" s="2" t="s">
        <v>595</v>
      </c>
      <c r="E2698" s="2" t="s">
        <v>7620</v>
      </c>
      <c r="F2698" s="2" t="s">
        <v>7611</v>
      </c>
      <c r="G2698" s="2" t="s">
        <v>7621</v>
      </c>
    </row>
    <row r="2699" spans="1:7">
      <c r="A2699" s="3">
        <v>101</v>
      </c>
      <c r="B2699" s="3" t="s">
        <v>395</v>
      </c>
      <c r="C2699" s="3">
        <v>114</v>
      </c>
      <c r="D2699" s="3" t="s">
        <v>461</v>
      </c>
      <c r="E2699" s="3" t="s">
        <v>7620</v>
      </c>
      <c r="F2699" s="3" t="s">
        <v>7649</v>
      </c>
      <c r="G2699" s="3" t="s">
        <v>7622</v>
      </c>
    </row>
    <row r="2700" spans="1:7">
      <c r="A2700" s="2">
        <v>101</v>
      </c>
      <c r="B2700" s="2" t="s">
        <v>395</v>
      </c>
      <c r="C2700" s="2">
        <v>115</v>
      </c>
      <c r="D2700" s="2" t="s">
        <v>476</v>
      </c>
      <c r="E2700" s="2" t="s">
        <v>7620</v>
      </c>
      <c r="F2700" s="2" t="s">
        <v>7611</v>
      </c>
      <c r="G2700" s="2" t="s">
        <v>7625</v>
      </c>
    </row>
    <row r="2701" spans="1:7">
      <c r="A2701" s="3">
        <v>101</v>
      </c>
      <c r="B2701" s="3" t="s">
        <v>395</v>
      </c>
      <c r="C2701" s="3">
        <v>116</v>
      </c>
      <c r="D2701" s="3" t="s">
        <v>584</v>
      </c>
      <c r="E2701" s="3" t="s">
        <v>7620</v>
      </c>
      <c r="F2701" s="3" t="s">
        <v>7611</v>
      </c>
      <c r="G2701" s="3" t="s">
        <v>7625</v>
      </c>
    </row>
    <row r="2702" spans="1:7">
      <c r="A2702" s="2">
        <v>101</v>
      </c>
      <c r="B2702" s="2" t="s">
        <v>395</v>
      </c>
      <c r="C2702" s="2">
        <v>117</v>
      </c>
      <c r="D2702" s="2" t="s">
        <v>528</v>
      </c>
      <c r="E2702" s="2" t="s">
        <v>7620</v>
      </c>
      <c r="F2702" s="2" t="s">
        <v>7611</v>
      </c>
      <c r="G2702" s="2" t="s">
        <v>7621</v>
      </c>
    </row>
    <row r="2703" spans="1:7">
      <c r="A2703" s="3">
        <v>101</v>
      </c>
      <c r="B2703" s="3" t="s">
        <v>395</v>
      </c>
      <c r="C2703" s="3">
        <v>118</v>
      </c>
      <c r="D2703" s="3" t="s">
        <v>514</v>
      </c>
      <c r="E2703" s="3" t="s">
        <v>7620</v>
      </c>
      <c r="F2703" s="3" t="s">
        <v>7611</v>
      </c>
      <c r="G2703" s="3" t="s">
        <v>7621</v>
      </c>
    </row>
    <row r="2704" spans="1:7">
      <c r="A2704" s="2">
        <v>101</v>
      </c>
      <c r="B2704" s="2" t="s">
        <v>395</v>
      </c>
      <c r="C2704" s="2">
        <v>119</v>
      </c>
      <c r="D2704" s="2" t="s">
        <v>367</v>
      </c>
      <c r="E2704" s="2" t="s">
        <v>7620</v>
      </c>
      <c r="F2704" s="2" t="s">
        <v>7659</v>
      </c>
      <c r="G2704" s="2" t="s">
        <v>7617</v>
      </c>
    </row>
    <row r="2705" spans="1:7">
      <c r="A2705" s="3">
        <v>101</v>
      </c>
      <c r="B2705" s="3" t="s">
        <v>395</v>
      </c>
      <c r="C2705" s="3">
        <v>120</v>
      </c>
      <c r="D2705" s="3" t="s">
        <v>465</v>
      </c>
      <c r="E2705" s="3" t="s">
        <v>7620</v>
      </c>
      <c r="F2705" s="3" t="s">
        <v>7649</v>
      </c>
      <c r="G2705" s="3" t="s">
        <v>7633</v>
      </c>
    </row>
    <row r="2706" spans="1:7">
      <c r="A2706" s="2">
        <v>101</v>
      </c>
      <c r="B2706" s="2" t="s">
        <v>395</v>
      </c>
      <c r="C2706" s="2">
        <v>121</v>
      </c>
      <c r="D2706" s="2" t="s">
        <v>510</v>
      </c>
      <c r="E2706" s="2" t="s">
        <v>7620</v>
      </c>
      <c r="F2706" s="2" t="s">
        <v>7611</v>
      </c>
      <c r="G2706" s="2" t="s">
        <v>7621</v>
      </c>
    </row>
    <row r="2707" spans="1:7">
      <c r="A2707" s="3">
        <v>101</v>
      </c>
      <c r="B2707" s="3" t="s">
        <v>395</v>
      </c>
      <c r="C2707" s="3">
        <v>122</v>
      </c>
      <c r="D2707" s="3" t="s">
        <v>391</v>
      </c>
      <c r="E2707" s="3" t="s">
        <v>7620</v>
      </c>
      <c r="F2707" s="3" t="s">
        <v>7649</v>
      </c>
      <c r="G2707" s="3" t="s">
        <v>7633</v>
      </c>
    </row>
    <row r="2708" spans="1:7">
      <c r="A2708" s="2">
        <v>101</v>
      </c>
      <c r="B2708" s="2" t="s">
        <v>395</v>
      </c>
      <c r="C2708" s="2">
        <v>123</v>
      </c>
      <c r="D2708" s="2" t="s">
        <v>571</v>
      </c>
      <c r="E2708" s="2" t="s">
        <v>7620</v>
      </c>
      <c r="F2708" s="2" t="s">
        <v>7628</v>
      </c>
      <c r="G2708" s="2" t="s">
        <v>7622</v>
      </c>
    </row>
    <row r="2709" spans="1:7">
      <c r="A2709" s="3">
        <v>101</v>
      </c>
      <c r="B2709" s="3" t="s">
        <v>395</v>
      </c>
      <c r="C2709" s="3">
        <v>124</v>
      </c>
      <c r="D2709" s="3" t="s">
        <v>524</v>
      </c>
      <c r="E2709" s="3" t="s">
        <v>7620</v>
      </c>
      <c r="F2709" s="3" t="s">
        <v>7611</v>
      </c>
      <c r="G2709" s="3" t="s">
        <v>7621</v>
      </c>
    </row>
    <row r="2710" spans="1:7">
      <c r="A2710" s="2">
        <v>101</v>
      </c>
      <c r="B2710" s="2" t="s">
        <v>395</v>
      </c>
      <c r="C2710" s="2">
        <v>125</v>
      </c>
      <c r="D2710" s="2" t="s">
        <v>565</v>
      </c>
      <c r="E2710" s="2" t="s">
        <v>7620</v>
      </c>
      <c r="F2710" s="2" t="s">
        <v>7611</v>
      </c>
      <c r="G2710" s="2" t="s">
        <v>7621</v>
      </c>
    </row>
    <row r="2711" spans="1:7">
      <c r="A2711" s="3">
        <v>101</v>
      </c>
      <c r="B2711" s="3" t="s">
        <v>395</v>
      </c>
      <c r="C2711" s="3">
        <v>127</v>
      </c>
      <c r="D2711" s="3" t="s">
        <v>575</v>
      </c>
      <c r="E2711" s="3" t="s">
        <v>7620</v>
      </c>
      <c r="F2711" s="3" t="s">
        <v>7611</v>
      </c>
      <c r="G2711" s="3" t="s">
        <v>7625</v>
      </c>
    </row>
    <row r="2712" spans="1:7">
      <c r="A2712" s="2">
        <v>101</v>
      </c>
      <c r="B2712" s="2" t="s">
        <v>395</v>
      </c>
      <c r="C2712" s="2">
        <v>128</v>
      </c>
      <c r="D2712" s="2" t="s">
        <v>355</v>
      </c>
      <c r="E2712" s="2" t="s">
        <v>7620</v>
      </c>
      <c r="F2712" s="2" t="s">
        <v>7611</v>
      </c>
      <c r="G2712" s="2" t="s">
        <v>7621</v>
      </c>
    </row>
    <row r="2713" spans="1:7">
      <c r="A2713" s="3">
        <v>101</v>
      </c>
      <c r="B2713" s="3" t="s">
        <v>395</v>
      </c>
      <c r="C2713" s="3">
        <v>129</v>
      </c>
      <c r="D2713" s="3" t="s">
        <v>499</v>
      </c>
      <c r="E2713" s="3" t="s">
        <v>7620</v>
      </c>
      <c r="F2713" s="3" t="s">
        <v>7611</v>
      </c>
      <c r="G2713" s="3" t="s">
        <v>7625</v>
      </c>
    </row>
    <row r="2714" spans="1:7">
      <c r="A2714" s="2">
        <v>101</v>
      </c>
      <c r="B2714" s="2" t="s">
        <v>395</v>
      </c>
      <c r="C2714" s="2">
        <v>130</v>
      </c>
      <c r="D2714" s="2" t="s">
        <v>504</v>
      </c>
      <c r="E2714" s="2" t="s">
        <v>7620</v>
      </c>
      <c r="F2714" s="2" t="s">
        <v>7611</v>
      </c>
      <c r="G2714" s="2" t="s">
        <v>7621</v>
      </c>
    </row>
    <row r="2715" spans="1:7">
      <c r="A2715" s="3">
        <v>101</v>
      </c>
      <c r="B2715" s="3" t="s">
        <v>395</v>
      </c>
      <c r="C2715" s="3">
        <v>131</v>
      </c>
      <c r="D2715" s="3" t="s">
        <v>577</v>
      </c>
      <c r="E2715" s="3" t="s">
        <v>7620</v>
      </c>
      <c r="F2715" s="3" t="s">
        <v>7611</v>
      </c>
      <c r="G2715" s="3" t="s">
        <v>7625</v>
      </c>
    </row>
    <row r="2716" spans="1:7">
      <c r="A2716" s="2">
        <v>101</v>
      </c>
      <c r="B2716" s="2" t="s">
        <v>395</v>
      </c>
      <c r="C2716" s="2">
        <v>134</v>
      </c>
      <c r="D2716" s="2" t="s">
        <v>591</v>
      </c>
      <c r="E2716" s="2" t="s">
        <v>7620</v>
      </c>
      <c r="F2716" s="2" t="s">
        <v>7611</v>
      </c>
      <c r="G2716" s="2" t="s">
        <v>7621</v>
      </c>
    </row>
    <row r="2717" spans="1:7">
      <c r="A2717" s="3">
        <v>101</v>
      </c>
      <c r="B2717" s="3" t="s">
        <v>395</v>
      </c>
      <c r="C2717" s="3">
        <v>135</v>
      </c>
      <c r="D2717" s="3" t="s">
        <v>469</v>
      </c>
      <c r="E2717" s="3" t="s">
        <v>7620</v>
      </c>
      <c r="F2717" s="3" t="s">
        <v>7611</v>
      </c>
      <c r="G2717" s="3" t="s">
        <v>7625</v>
      </c>
    </row>
    <row r="2718" spans="1:7">
      <c r="A2718" s="2">
        <v>101</v>
      </c>
      <c r="B2718" s="2" t="s">
        <v>395</v>
      </c>
      <c r="C2718" s="2">
        <v>136</v>
      </c>
      <c r="D2718" s="2" t="s">
        <v>413</v>
      </c>
      <c r="E2718" s="2" t="s">
        <v>7620</v>
      </c>
      <c r="F2718" s="2" t="s">
        <v>7611</v>
      </c>
      <c r="G2718" s="2" t="s">
        <v>7621</v>
      </c>
    </row>
    <row r="2719" spans="1:7">
      <c r="A2719" s="3">
        <v>101</v>
      </c>
      <c r="B2719" s="3" t="s">
        <v>395</v>
      </c>
      <c r="C2719" s="3">
        <v>137</v>
      </c>
      <c r="D2719" s="3" t="s">
        <v>546</v>
      </c>
      <c r="E2719" s="3" t="s">
        <v>7620</v>
      </c>
      <c r="F2719" s="3" t="s">
        <v>7611</v>
      </c>
      <c r="G2719" s="3" t="s">
        <v>7625</v>
      </c>
    </row>
    <row r="2720" spans="1:7">
      <c r="A2720" s="2">
        <v>101</v>
      </c>
      <c r="B2720" s="2" t="s">
        <v>395</v>
      </c>
      <c r="C2720" s="2">
        <v>138</v>
      </c>
      <c r="D2720" s="2" t="s">
        <v>561</v>
      </c>
      <c r="E2720" s="2" t="s">
        <v>7620</v>
      </c>
      <c r="F2720" s="2" t="s">
        <v>7611</v>
      </c>
      <c r="G2720" s="2" t="s">
        <v>7621</v>
      </c>
    </row>
    <row r="2721" spans="1:7">
      <c r="A2721" s="3">
        <v>101</v>
      </c>
      <c r="B2721" s="3" t="s">
        <v>395</v>
      </c>
      <c r="C2721" s="3">
        <v>139</v>
      </c>
      <c r="D2721" s="3" t="s">
        <v>531</v>
      </c>
      <c r="E2721" s="3" t="s">
        <v>7620</v>
      </c>
      <c r="F2721" s="3" t="s">
        <v>7611</v>
      </c>
      <c r="G2721" s="3" t="s">
        <v>7621</v>
      </c>
    </row>
    <row r="2722" spans="1:7">
      <c r="A2722" s="2">
        <v>101</v>
      </c>
      <c r="B2722" s="2" t="s">
        <v>395</v>
      </c>
      <c r="C2722" s="2">
        <v>140</v>
      </c>
      <c r="D2722" s="2" t="s">
        <v>580</v>
      </c>
      <c r="E2722" s="2" t="s">
        <v>7620</v>
      </c>
      <c r="F2722" s="2" t="s">
        <v>7611</v>
      </c>
      <c r="G2722" s="2" t="s">
        <v>7625</v>
      </c>
    </row>
    <row r="2723" spans="1:7">
      <c r="A2723" s="3">
        <v>101</v>
      </c>
      <c r="B2723" s="3" t="s">
        <v>395</v>
      </c>
      <c r="C2723" s="3">
        <v>141</v>
      </c>
      <c r="D2723" s="3" t="s">
        <v>480</v>
      </c>
      <c r="E2723" s="3" t="s">
        <v>7620</v>
      </c>
      <c r="F2723" s="3" t="s">
        <v>7611</v>
      </c>
      <c r="G2723" s="3" t="s">
        <v>7621</v>
      </c>
    </row>
    <row r="2724" spans="1:7">
      <c r="A2724" s="2">
        <v>101</v>
      </c>
      <c r="B2724" s="2" t="s">
        <v>395</v>
      </c>
      <c r="C2724" s="2">
        <v>142</v>
      </c>
      <c r="D2724" s="2" t="s">
        <v>543</v>
      </c>
      <c r="E2724" s="2" t="s">
        <v>7620</v>
      </c>
      <c r="F2724" s="2" t="s">
        <v>7611</v>
      </c>
      <c r="G2724" s="2" t="s">
        <v>7625</v>
      </c>
    </row>
    <row r="2725" spans="1:7">
      <c r="A2725" s="3">
        <v>101</v>
      </c>
      <c r="B2725" s="3" t="s">
        <v>395</v>
      </c>
      <c r="C2725" s="3">
        <v>143</v>
      </c>
      <c r="D2725" s="3" t="s">
        <v>371</v>
      </c>
      <c r="E2725" s="3" t="s">
        <v>7620</v>
      </c>
      <c r="F2725" s="3" t="s">
        <v>7649</v>
      </c>
      <c r="G2725" s="3" t="s">
        <v>7633</v>
      </c>
    </row>
    <row r="2726" spans="1:7">
      <c r="A2726" s="2">
        <v>101</v>
      </c>
      <c r="B2726" s="2" t="s">
        <v>395</v>
      </c>
      <c r="C2726" s="2">
        <v>144</v>
      </c>
      <c r="D2726" s="2" t="s">
        <v>375</v>
      </c>
      <c r="E2726" s="2" t="s">
        <v>7620</v>
      </c>
      <c r="F2726" s="2" t="s">
        <v>7649</v>
      </c>
      <c r="G2726" s="2" t="s">
        <v>7633</v>
      </c>
    </row>
    <row r="2727" spans="1:7">
      <c r="A2727" s="3">
        <v>101</v>
      </c>
      <c r="B2727" s="3" t="s">
        <v>395</v>
      </c>
      <c r="C2727" s="3">
        <v>145</v>
      </c>
      <c r="D2727" s="3" t="s">
        <v>431</v>
      </c>
      <c r="E2727" s="3" t="s">
        <v>7620</v>
      </c>
      <c r="F2727" s="3" t="s">
        <v>7650</v>
      </c>
      <c r="G2727" s="3" t="s">
        <v>7621</v>
      </c>
    </row>
    <row r="2728" spans="1:7">
      <c r="A2728" s="2">
        <v>101</v>
      </c>
      <c r="B2728" s="2" t="s">
        <v>395</v>
      </c>
      <c r="C2728" s="2">
        <v>146</v>
      </c>
      <c r="D2728" s="2" t="s">
        <v>416</v>
      </c>
      <c r="E2728" s="2" t="s">
        <v>7620</v>
      </c>
      <c r="F2728" s="2" t="s">
        <v>7611</v>
      </c>
      <c r="G2728" s="2" t="s">
        <v>7621</v>
      </c>
    </row>
    <row r="2729" spans="1:7">
      <c r="A2729" s="3">
        <v>101</v>
      </c>
      <c r="B2729" s="3" t="s">
        <v>395</v>
      </c>
      <c r="C2729" s="3">
        <v>148</v>
      </c>
      <c r="D2729" s="3" t="s">
        <v>420</v>
      </c>
      <c r="E2729" s="3" t="s">
        <v>7620</v>
      </c>
      <c r="F2729" s="3" t="s">
        <v>7683</v>
      </c>
      <c r="G2729" s="3" t="s">
        <v>7633</v>
      </c>
    </row>
    <row r="2730" spans="1:7">
      <c r="A2730" s="2">
        <v>101</v>
      </c>
      <c r="B2730" s="2" t="s">
        <v>395</v>
      </c>
      <c r="C2730" s="2">
        <v>149</v>
      </c>
      <c r="D2730" s="2" t="s">
        <v>443</v>
      </c>
      <c r="E2730" s="2" t="s">
        <v>7620</v>
      </c>
      <c r="F2730" s="2" t="s">
        <v>7649</v>
      </c>
      <c r="G2730" s="2" t="s">
        <v>7622</v>
      </c>
    </row>
    <row r="2731" spans="1:7">
      <c r="A2731" s="3">
        <v>101</v>
      </c>
      <c r="B2731" s="3" t="s">
        <v>395</v>
      </c>
      <c r="C2731" s="3">
        <v>150</v>
      </c>
      <c r="D2731" s="3" t="s">
        <v>379</v>
      </c>
      <c r="E2731" s="3" t="s">
        <v>7620</v>
      </c>
      <c r="F2731" s="3" t="s">
        <v>7718</v>
      </c>
      <c r="G2731" s="3" t="s">
        <v>7617</v>
      </c>
    </row>
    <row r="2732" spans="1:7">
      <c r="A2732" s="2">
        <v>101</v>
      </c>
      <c r="B2732" s="2" t="s">
        <v>395</v>
      </c>
      <c r="C2732" s="2">
        <v>152</v>
      </c>
      <c r="D2732" s="2" t="s">
        <v>508</v>
      </c>
      <c r="E2732" s="2" t="s">
        <v>7620</v>
      </c>
      <c r="F2732" s="2" t="s">
        <v>7611</v>
      </c>
      <c r="G2732" s="2" t="s">
        <v>7621</v>
      </c>
    </row>
    <row r="2733" spans="1:7">
      <c r="A2733" s="3">
        <v>101</v>
      </c>
      <c r="B2733" s="3" t="s">
        <v>395</v>
      </c>
      <c r="C2733" s="3">
        <v>153</v>
      </c>
      <c r="D2733" s="3" t="s">
        <v>435</v>
      </c>
      <c r="E2733" s="3" t="s">
        <v>7620</v>
      </c>
      <c r="F2733" s="3" t="s">
        <v>7611</v>
      </c>
      <c r="G2733" s="3" t="s">
        <v>7621</v>
      </c>
    </row>
    <row r="2734" spans="1:7">
      <c r="A2734" s="2">
        <v>101</v>
      </c>
      <c r="B2734" s="2" t="s">
        <v>395</v>
      </c>
      <c r="C2734" s="2">
        <v>154</v>
      </c>
      <c r="D2734" s="2" t="s">
        <v>589</v>
      </c>
      <c r="E2734" s="2" t="s">
        <v>7620</v>
      </c>
      <c r="F2734" s="2" t="s">
        <v>7611</v>
      </c>
      <c r="G2734" s="2" t="s">
        <v>7625</v>
      </c>
    </row>
    <row r="2735" spans="1:7">
      <c r="A2735" s="3">
        <v>101</v>
      </c>
      <c r="B2735" s="3" t="s">
        <v>395</v>
      </c>
      <c r="C2735" s="3">
        <v>155</v>
      </c>
      <c r="D2735" s="3" t="s">
        <v>400</v>
      </c>
      <c r="E2735" s="3" t="s">
        <v>7620</v>
      </c>
      <c r="F2735" s="3" t="s">
        <v>7628</v>
      </c>
      <c r="G2735" s="3" t="s">
        <v>7633</v>
      </c>
    </row>
    <row r="2736" spans="1:7">
      <c r="A2736" s="2">
        <v>101</v>
      </c>
      <c r="B2736" s="2" t="s">
        <v>395</v>
      </c>
      <c r="C2736" s="2">
        <v>156</v>
      </c>
      <c r="D2736" s="2" t="s">
        <v>560</v>
      </c>
      <c r="E2736" s="2" t="s">
        <v>7620</v>
      </c>
      <c r="F2736" s="2" t="s">
        <v>7611</v>
      </c>
      <c r="G2736" s="2" t="s">
        <v>7621</v>
      </c>
    </row>
    <row r="2737" spans="1:7">
      <c r="A2737" s="3">
        <v>101</v>
      </c>
      <c r="B2737" s="3" t="s">
        <v>395</v>
      </c>
      <c r="C2737" s="3">
        <v>157</v>
      </c>
      <c r="D2737" s="3" t="s">
        <v>556</v>
      </c>
      <c r="E2737" s="3" t="s">
        <v>7620</v>
      </c>
      <c r="F2737" s="3" t="s">
        <v>7611</v>
      </c>
      <c r="G2737" s="3" t="s">
        <v>7621</v>
      </c>
    </row>
    <row r="2738" spans="1:7">
      <c r="A2738" s="2">
        <v>101</v>
      </c>
      <c r="B2738" s="2" t="s">
        <v>395</v>
      </c>
      <c r="C2738" s="2">
        <v>158</v>
      </c>
      <c r="D2738" s="2" t="s">
        <v>521</v>
      </c>
      <c r="E2738" s="2" t="s">
        <v>7620</v>
      </c>
      <c r="F2738" s="2" t="s">
        <v>7611</v>
      </c>
      <c r="G2738" s="2" t="s">
        <v>7621</v>
      </c>
    </row>
    <row r="2739" spans="1:7">
      <c r="A2739" s="3">
        <v>101</v>
      </c>
      <c r="B2739" s="3" t="s">
        <v>395</v>
      </c>
      <c r="C2739" s="3">
        <v>159</v>
      </c>
      <c r="D2739" s="3" t="s">
        <v>598</v>
      </c>
      <c r="E2739" s="3" t="s">
        <v>7620</v>
      </c>
      <c r="F2739" s="3" t="s">
        <v>7611</v>
      </c>
      <c r="G2739" s="3" t="s">
        <v>7621</v>
      </c>
    </row>
    <row r="2740" spans="1:7">
      <c r="A2740" s="2">
        <v>101</v>
      </c>
      <c r="B2740" s="2" t="s">
        <v>395</v>
      </c>
      <c r="C2740" s="2">
        <v>160</v>
      </c>
      <c r="D2740" s="2" t="s">
        <v>425</v>
      </c>
      <c r="E2740" s="2" t="s">
        <v>7620</v>
      </c>
      <c r="F2740" s="2" t="s">
        <v>7659</v>
      </c>
      <c r="G2740" s="2" t="s">
        <v>7617</v>
      </c>
    </row>
    <row r="2741" spans="1:7">
      <c r="A2741" s="3">
        <v>101</v>
      </c>
      <c r="B2741" s="3" t="s">
        <v>395</v>
      </c>
      <c r="C2741" s="3">
        <v>162</v>
      </c>
      <c r="D2741" s="3" t="s">
        <v>473</v>
      </c>
      <c r="E2741" s="3" t="s">
        <v>7620</v>
      </c>
      <c r="F2741" s="3" t="s">
        <v>7611</v>
      </c>
      <c r="G2741" s="3" t="s">
        <v>7625</v>
      </c>
    </row>
    <row r="2742" spans="1:7">
      <c r="A2742" s="2">
        <v>101</v>
      </c>
      <c r="B2742" s="2" t="s">
        <v>395</v>
      </c>
      <c r="C2742" s="2">
        <v>163</v>
      </c>
      <c r="D2742" s="2" t="s">
        <v>587</v>
      </c>
      <c r="E2742" s="2" t="s">
        <v>7620</v>
      </c>
      <c r="F2742" s="2" t="s">
        <v>7611</v>
      </c>
      <c r="G2742" s="2" t="s">
        <v>7625</v>
      </c>
    </row>
    <row r="2743" spans="1:7">
      <c r="A2743" s="3">
        <v>101</v>
      </c>
      <c r="B2743" s="3" t="s">
        <v>395</v>
      </c>
      <c r="C2743" s="3">
        <v>164</v>
      </c>
      <c r="D2743" s="3" t="s">
        <v>552</v>
      </c>
      <c r="E2743" s="3" t="s">
        <v>7620</v>
      </c>
      <c r="F2743" s="3" t="s">
        <v>7611</v>
      </c>
      <c r="G2743" s="3" t="s">
        <v>7621</v>
      </c>
    </row>
    <row r="2744" spans="1:7">
      <c r="A2744" s="2">
        <v>101</v>
      </c>
      <c r="B2744" s="2" t="s">
        <v>395</v>
      </c>
      <c r="C2744" s="2">
        <v>165</v>
      </c>
      <c r="D2744" s="2" t="s">
        <v>568</v>
      </c>
      <c r="E2744" s="2" t="s">
        <v>7620</v>
      </c>
      <c r="F2744" s="2" t="s">
        <v>7650</v>
      </c>
      <c r="G2744" s="2" t="s">
        <v>7621</v>
      </c>
    </row>
    <row r="2745" spans="1:7">
      <c r="A2745" s="3">
        <v>101</v>
      </c>
      <c r="B2745" s="3" t="s">
        <v>395</v>
      </c>
      <c r="C2745" s="3">
        <v>166</v>
      </c>
      <c r="D2745" s="3" t="s">
        <v>483</v>
      </c>
      <c r="E2745" s="3" t="s">
        <v>7620</v>
      </c>
      <c r="F2745" s="3" t="s">
        <v>7611</v>
      </c>
      <c r="G2745" s="3" t="s">
        <v>7621</v>
      </c>
    </row>
    <row r="2746" spans="1:7">
      <c r="A2746" s="2">
        <v>101</v>
      </c>
      <c r="B2746" s="2" t="s">
        <v>395</v>
      </c>
      <c r="C2746" s="2">
        <v>167</v>
      </c>
      <c r="D2746" s="2" t="s">
        <v>469</v>
      </c>
      <c r="E2746" s="2" t="s">
        <v>7620</v>
      </c>
      <c r="F2746" s="2" t="s">
        <v>7611</v>
      </c>
      <c r="G2746" s="2" t="s">
        <v>7621</v>
      </c>
    </row>
    <row r="2747" spans="1:7">
      <c r="A2747" s="3">
        <v>101</v>
      </c>
      <c r="B2747" s="3" t="s">
        <v>395</v>
      </c>
      <c r="C2747" s="3">
        <v>168</v>
      </c>
      <c r="D2747" s="3" t="s">
        <v>626</v>
      </c>
      <c r="E2747" s="3" t="s">
        <v>7620</v>
      </c>
      <c r="F2747" s="3" t="s">
        <v>7611</v>
      </c>
      <c r="G2747" s="3" t="s">
        <v>7621</v>
      </c>
    </row>
    <row r="2748" spans="1:7">
      <c r="A2748" s="2">
        <v>101</v>
      </c>
      <c r="B2748" s="2" t="s">
        <v>395</v>
      </c>
      <c r="C2748" s="2">
        <v>175</v>
      </c>
      <c r="D2748" s="2" t="s">
        <v>636</v>
      </c>
      <c r="E2748" s="2" t="s">
        <v>7608</v>
      </c>
      <c r="F2748" s="2" t="s">
        <v>7659</v>
      </c>
      <c r="G2748" s="2" t="s">
        <v>7625</v>
      </c>
    </row>
    <row r="2749" spans="1:7">
      <c r="A2749" s="3">
        <v>101</v>
      </c>
      <c r="B2749" s="3" t="s">
        <v>395</v>
      </c>
      <c r="C2749" s="3">
        <v>178</v>
      </c>
      <c r="D2749" s="3" t="s">
        <v>640</v>
      </c>
      <c r="E2749" s="3" t="s">
        <v>7620</v>
      </c>
      <c r="F2749" s="3" t="s">
        <v>7611</v>
      </c>
      <c r="G2749" s="3" t="s">
        <v>7621</v>
      </c>
    </row>
    <row r="2750" spans="1:7">
      <c r="A2750" s="2">
        <v>101</v>
      </c>
      <c r="B2750" s="2" t="s">
        <v>395</v>
      </c>
      <c r="C2750" s="2">
        <v>181</v>
      </c>
      <c r="D2750" s="2" t="s">
        <v>653</v>
      </c>
      <c r="E2750" s="2" t="s">
        <v>7724</v>
      </c>
      <c r="F2750" s="2" t="s">
        <v>7652</v>
      </c>
      <c r="G2750" s="2" t="s">
        <v>7624</v>
      </c>
    </row>
    <row r="2751" spans="1:7">
      <c r="A2751" s="3">
        <v>101</v>
      </c>
      <c r="B2751" s="3" t="s">
        <v>395</v>
      </c>
      <c r="C2751" s="3">
        <v>183</v>
      </c>
      <c r="D2751" s="3" t="s">
        <v>660</v>
      </c>
      <c r="E2751" s="3" t="s">
        <v>7620</v>
      </c>
      <c r="F2751" s="3" t="s">
        <v>7611</v>
      </c>
      <c r="G2751" s="3" t="s">
        <v>7621</v>
      </c>
    </row>
    <row r="2752" spans="1:7">
      <c r="A2752" s="2">
        <v>101</v>
      </c>
      <c r="B2752" s="2" t="s">
        <v>395</v>
      </c>
      <c r="C2752" s="2">
        <v>184</v>
      </c>
      <c r="D2752" s="2" t="s">
        <v>662</v>
      </c>
      <c r="E2752" s="2" t="s">
        <v>7620</v>
      </c>
      <c r="F2752" s="2" t="s">
        <v>7649</v>
      </c>
      <c r="G2752" s="2" t="s">
        <v>7633</v>
      </c>
    </row>
    <row r="2753" spans="1:7">
      <c r="A2753" s="3">
        <v>101</v>
      </c>
      <c r="B2753" s="3" t="s">
        <v>395</v>
      </c>
      <c r="C2753" s="3">
        <v>185</v>
      </c>
      <c r="D2753" s="3" t="s">
        <v>667</v>
      </c>
      <c r="E2753" s="3" t="s">
        <v>7620</v>
      </c>
      <c r="F2753" s="3" t="s">
        <v>7611</v>
      </c>
      <c r="G2753" s="3" t="s">
        <v>7625</v>
      </c>
    </row>
    <row r="2754" spans="1:7">
      <c r="A2754" s="2">
        <v>101</v>
      </c>
      <c r="B2754" s="2" t="s">
        <v>395</v>
      </c>
      <c r="C2754" s="2">
        <v>186</v>
      </c>
      <c r="D2754" s="2" t="s">
        <v>469</v>
      </c>
      <c r="E2754" s="2" t="s">
        <v>7620</v>
      </c>
      <c r="F2754" s="2" t="s">
        <v>7611</v>
      </c>
      <c r="G2754" s="2" t="s">
        <v>7625</v>
      </c>
    </row>
    <row r="2755" spans="1:7">
      <c r="A2755" s="3">
        <v>101</v>
      </c>
      <c r="B2755" s="3" t="s">
        <v>395</v>
      </c>
      <c r="C2755" s="3">
        <v>191</v>
      </c>
      <c r="D2755" s="3" t="s">
        <v>719</v>
      </c>
      <c r="E2755" s="3" t="s">
        <v>7694</v>
      </c>
      <c r="F2755" s="3" t="s">
        <v>7659</v>
      </c>
      <c r="G2755" s="3" t="s">
        <v>7624</v>
      </c>
    </row>
    <row r="2756" spans="1:7">
      <c r="A2756" s="2">
        <v>101</v>
      </c>
      <c r="B2756" s="2" t="s">
        <v>395</v>
      </c>
      <c r="C2756" s="2">
        <v>192</v>
      </c>
      <c r="D2756" s="2" t="s">
        <v>727</v>
      </c>
      <c r="E2756" s="2" t="s">
        <v>7724</v>
      </c>
      <c r="F2756" s="2" t="s">
        <v>7652</v>
      </c>
      <c r="G2756" s="2" t="s">
        <v>7634</v>
      </c>
    </row>
    <row r="2757" spans="1:7">
      <c r="A2757" s="3">
        <v>101</v>
      </c>
      <c r="B2757" s="3" t="s">
        <v>395</v>
      </c>
      <c r="C2757" s="3">
        <v>195</v>
      </c>
      <c r="D2757" s="3" t="s">
        <v>734</v>
      </c>
      <c r="E2757" s="3" t="s">
        <v>7694</v>
      </c>
      <c r="F2757" s="3" t="s">
        <v>7659</v>
      </c>
      <c r="G2757" s="3" t="s">
        <v>7644</v>
      </c>
    </row>
    <row r="2758" spans="1:7">
      <c r="A2758" s="2">
        <v>101</v>
      </c>
      <c r="B2758" s="2" t="s">
        <v>395</v>
      </c>
      <c r="C2758" s="2">
        <v>196</v>
      </c>
      <c r="D2758" s="2" t="s">
        <v>736</v>
      </c>
      <c r="E2758" s="2" t="s">
        <v>7635</v>
      </c>
      <c r="F2758" s="2" t="s">
        <v>7652</v>
      </c>
      <c r="G2758" s="2" t="s">
        <v>7636</v>
      </c>
    </row>
    <row r="2759" spans="1:7">
      <c r="A2759" s="3">
        <v>101</v>
      </c>
      <c r="B2759" s="3" t="s">
        <v>395</v>
      </c>
      <c r="C2759" s="3">
        <v>197</v>
      </c>
      <c r="D2759" s="3" t="s">
        <v>690</v>
      </c>
      <c r="E2759" s="3" t="s">
        <v>7724</v>
      </c>
      <c r="F2759" s="3" t="s">
        <v>7678</v>
      </c>
      <c r="G2759" s="3" t="s">
        <v>7624</v>
      </c>
    </row>
    <row r="2760" spans="1:7">
      <c r="A2760" s="2">
        <v>101</v>
      </c>
      <c r="B2760" s="2" t="s">
        <v>395</v>
      </c>
      <c r="C2760" s="2">
        <v>198</v>
      </c>
      <c r="D2760" s="2" t="s">
        <v>698</v>
      </c>
      <c r="E2760" s="2" t="s">
        <v>7723</v>
      </c>
      <c r="F2760" s="2" t="s">
        <v>7659</v>
      </c>
      <c r="G2760" s="2" t="s">
        <v>7637</v>
      </c>
    </row>
    <row r="2761" spans="1:7">
      <c r="A2761" s="3">
        <v>101</v>
      </c>
      <c r="B2761" s="3" t="s">
        <v>395</v>
      </c>
      <c r="C2761" s="3">
        <v>199</v>
      </c>
      <c r="D2761" s="3" t="s">
        <v>702</v>
      </c>
      <c r="E2761" s="3" t="s">
        <v>7694</v>
      </c>
      <c r="F2761" s="3" t="s">
        <v>7739</v>
      </c>
      <c r="G2761" s="3" t="s">
        <v>7641</v>
      </c>
    </row>
    <row r="2762" spans="1:7">
      <c r="A2762" s="2">
        <v>101</v>
      </c>
      <c r="B2762" s="2" t="s">
        <v>395</v>
      </c>
      <c r="C2762" s="2">
        <v>200</v>
      </c>
      <c r="D2762" s="2" t="s">
        <v>707</v>
      </c>
      <c r="E2762" s="2" t="s">
        <v>7723</v>
      </c>
      <c r="F2762" s="2" t="s">
        <v>7659</v>
      </c>
      <c r="G2762" s="2" t="s">
        <v>7641</v>
      </c>
    </row>
    <row r="2763" spans="1:7">
      <c r="A2763" s="3">
        <v>101</v>
      </c>
      <c r="B2763" s="3" t="s">
        <v>395</v>
      </c>
      <c r="C2763" s="3">
        <v>201</v>
      </c>
      <c r="D2763" s="3" t="s">
        <v>695</v>
      </c>
      <c r="E2763" s="3" t="s">
        <v>7740</v>
      </c>
      <c r="F2763" s="3" t="s">
        <v>7659</v>
      </c>
      <c r="G2763" s="3" t="s">
        <v>7612</v>
      </c>
    </row>
    <row r="2764" spans="1:7">
      <c r="A2764" s="2">
        <v>101</v>
      </c>
      <c r="B2764" s="2" t="s">
        <v>395</v>
      </c>
      <c r="C2764" s="2">
        <v>202</v>
      </c>
      <c r="D2764" s="2" t="s">
        <v>712</v>
      </c>
      <c r="E2764" s="2" t="s">
        <v>7724</v>
      </c>
      <c r="F2764" s="2" t="s">
        <v>7678</v>
      </c>
      <c r="G2764" s="2" t="s">
        <v>7639</v>
      </c>
    </row>
    <row r="2765" spans="1:7">
      <c r="A2765" s="3">
        <v>101</v>
      </c>
      <c r="B2765" s="3" t="s">
        <v>395</v>
      </c>
      <c r="C2765" s="3">
        <v>203</v>
      </c>
      <c r="D2765" s="3" t="s">
        <v>681</v>
      </c>
      <c r="E2765" s="3" t="s">
        <v>7635</v>
      </c>
      <c r="F2765" s="3" t="s">
        <v>7652</v>
      </c>
      <c r="G2765" s="3" t="s">
        <v>7617</v>
      </c>
    </row>
    <row r="2766" spans="1:7">
      <c r="A2766" s="2">
        <v>101</v>
      </c>
      <c r="B2766" s="2" t="s">
        <v>395</v>
      </c>
      <c r="C2766" s="2">
        <v>204</v>
      </c>
      <c r="D2766" s="2" t="s">
        <v>685</v>
      </c>
      <c r="E2766" s="2" t="s">
        <v>7724</v>
      </c>
      <c r="F2766" s="2" t="s">
        <v>7659</v>
      </c>
      <c r="G2766" s="2" t="s">
        <v>7639</v>
      </c>
    </row>
    <row r="2767" spans="1:7">
      <c r="A2767" s="3">
        <v>101</v>
      </c>
      <c r="B2767" s="3" t="s">
        <v>395</v>
      </c>
      <c r="C2767" s="3">
        <v>205</v>
      </c>
      <c r="D2767" s="3" t="s">
        <v>746</v>
      </c>
      <c r="E2767" s="3" t="s">
        <v>7694</v>
      </c>
      <c r="F2767" s="3" t="s">
        <v>7695</v>
      </c>
      <c r="G2767" s="3" t="s">
        <v>7624</v>
      </c>
    </row>
    <row r="2768" spans="1:7">
      <c r="A2768" s="2">
        <v>101</v>
      </c>
      <c r="B2768" s="2" t="s">
        <v>395</v>
      </c>
      <c r="C2768" s="2">
        <v>206</v>
      </c>
      <c r="D2768" s="2" t="s">
        <v>723</v>
      </c>
      <c r="E2768" s="2" t="s">
        <v>7635</v>
      </c>
      <c r="F2768" s="2" t="s">
        <v>7677</v>
      </c>
      <c r="G2768" s="2" t="s">
        <v>7622</v>
      </c>
    </row>
    <row r="2769" spans="1:7">
      <c r="A2769" s="3">
        <v>101</v>
      </c>
      <c r="B2769" s="3" t="s">
        <v>395</v>
      </c>
      <c r="C2769" s="3">
        <v>207</v>
      </c>
      <c r="D2769" s="3" t="s">
        <v>749</v>
      </c>
      <c r="E2769" s="3" t="s">
        <v>7694</v>
      </c>
      <c r="F2769" s="3" t="s">
        <v>7611</v>
      </c>
      <c r="G2769" s="3" t="s">
        <v>7617</v>
      </c>
    </row>
    <row r="2770" spans="1:7">
      <c r="A2770" s="2">
        <v>101</v>
      </c>
      <c r="B2770" s="2" t="s">
        <v>395</v>
      </c>
      <c r="C2770" s="2">
        <v>208</v>
      </c>
      <c r="D2770" s="2" t="s">
        <v>754</v>
      </c>
      <c r="E2770" s="2" t="s">
        <v>7694</v>
      </c>
      <c r="F2770" s="2" t="s">
        <v>7695</v>
      </c>
      <c r="G2770" s="2" t="s">
        <v>7639</v>
      </c>
    </row>
    <row r="2771" spans="1:7">
      <c r="A2771" s="3">
        <v>101</v>
      </c>
      <c r="B2771" s="3" t="s">
        <v>395</v>
      </c>
      <c r="C2771" s="3">
        <v>209</v>
      </c>
      <c r="D2771" s="3" t="s">
        <v>758</v>
      </c>
      <c r="E2771" s="3" t="s">
        <v>7620</v>
      </c>
      <c r="F2771" s="3" t="s">
        <v>7678</v>
      </c>
      <c r="G2771" s="3" t="s">
        <v>7619</v>
      </c>
    </row>
    <row r="2772" spans="1:7">
      <c r="A2772" s="2">
        <v>101</v>
      </c>
      <c r="B2772" s="2" t="s">
        <v>395</v>
      </c>
      <c r="C2772" s="2">
        <v>214</v>
      </c>
      <c r="D2772" s="2" t="s">
        <v>870</v>
      </c>
      <c r="E2772" s="2" t="s">
        <v>7620</v>
      </c>
      <c r="F2772" s="2" t="s">
        <v>7611</v>
      </c>
      <c r="G2772" s="2" t="s">
        <v>7621</v>
      </c>
    </row>
    <row r="2773" spans="1:7">
      <c r="A2773" s="3">
        <v>101</v>
      </c>
      <c r="B2773" s="3" t="s">
        <v>395</v>
      </c>
      <c r="C2773" s="3">
        <v>215</v>
      </c>
      <c r="D2773" s="3" t="s">
        <v>844</v>
      </c>
      <c r="E2773" s="3" t="s">
        <v>7620</v>
      </c>
      <c r="F2773" s="3" t="s">
        <v>7649</v>
      </c>
      <c r="G2773" s="3" t="s">
        <v>7633</v>
      </c>
    </row>
    <row r="2774" spans="1:7">
      <c r="A2774" s="2">
        <v>101</v>
      </c>
      <c r="B2774" s="2" t="s">
        <v>395</v>
      </c>
      <c r="C2774" s="2">
        <v>216</v>
      </c>
      <c r="D2774" s="2"/>
      <c r="E2774" s="2" t="s">
        <v>7620</v>
      </c>
      <c r="F2774" s="2" t="s">
        <v>7611</v>
      </c>
      <c r="G2774" s="2" t="s">
        <v>7621</v>
      </c>
    </row>
    <row r="2775" spans="1:7">
      <c r="A2775" s="3">
        <v>101</v>
      </c>
      <c r="B2775" s="3" t="s">
        <v>395</v>
      </c>
      <c r="C2775" s="3">
        <v>217</v>
      </c>
      <c r="D2775" s="3" t="s">
        <v>795</v>
      </c>
      <c r="E2775" s="3" t="s">
        <v>7620</v>
      </c>
      <c r="F2775" s="3" t="s">
        <v>7649</v>
      </c>
      <c r="G2775" s="3" t="s">
        <v>7633</v>
      </c>
    </row>
    <row r="2776" spans="1:7">
      <c r="A2776" s="2">
        <v>101</v>
      </c>
      <c r="B2776" s="2" t="s">
        <v>395</v>
      </c>
      <c r="C2776" s="2">
        <v>218</v>
      </c>
      <c r="D2776" s="2" t="s">
        <v>789</v>
      </c>
      <c r="E2776" s="2" t="s">
        <v>7620</v>
      </c>
      <c r="F2776" s="2" t="s">
        <v>7611</v>
      </c>
      <c r="G2776" s="2" t="s">
        <v>7621</v>
      </c>
    </row>
    <row r="2777" spans="1:7">
      <c r="A2777" s="3">
        <v>101</v>
      </c>
      <c r="B2777" s="3" t="s">
        <v>395</v>
      </c>
      <c r="C2777" s="3">
        <v>219</v>
      </c>
      <c r="D2777" s="3" t="s">
        <v>822</v>
      </c>
      <c r="E2777" s="3" t="s">
        <v>7620</v>
      </c>
      <c r="F2777" s="3" t="s">
        <v>7659</v>
      </c>
      <c r="G2777" s="3" t="s">
        <v>7617</v>
      </c>
    </row>
    <row r="2778" spans="1:7">
      <c r="A2778" s="2">
        <v>101</v>
      </c>
      <c r="B2778" s="2" t="s">
        <v>395</v>
      </c>
      <c r="C2778" s="2">
        <v>220</v>
      </c>
      <c r="D2778" s="2" t="s">
        <v>810</v>
      </c>
      <c r="E2778" s="2" t="s">
        <v>7620</v>
      </c>
      <c r="F2778" s="2" t="s">
        <v>7659</v>
      </c>
      <c r="G2778" s="2" t="s">
        <v>7609</v>
      </c>
    </row>
    <row r="2779" spans="1:7">
      <c r="A2779" s="3">
        <v>101</v>
      </c>
      <c r="B2779" s="3" t="s">
        <v>395</v>
      </c>
      <c r="C2779" s="3">
        <v>221</v>
      </c>
      <c r="D2779" s="3" t="s">
        <v>813</v>
      </c>
      <c r="E2779" s="3" t="s">
        <v>7620</v>
      </c>
      <c r="F2779" s="3" t="s">
        <v>7649</v>
      </c>
      <c r="G2779" s="3" t="s">
        <v>7633</v>
      </c>
    </row>
    <row r="2780" spans="1:7">
      <c r="A2780" s="2">
        <v>101</v>
      </c>
      <c r="B2780" s="2" t="s">
        <v>395</v>
      </c>
      <c r="C2780" s="2">
        <v>222</v>
      </c>
      <c r="D2780" s="2" t="s">
        <v>864</v>
      </c>
      <c r="E2780" s="2" t="s">
        <v>7620</v>
      </c>
      <c r="F2780" s="2" t="s">
        <v>7611</v>
      </c>
      <c r="G2780" s="2" t="s">
        <v>7621</v>
      </c>
    </row>
    <row r="2781" spans="1:7">
      <c r="A2781" s="3">
        <v>101</v>
      </c>
      <c r="B2781" s="3" t="s">
        <v>395</v>
      </c>
      <c r="C2781" s="3">
        <v>230</v>
      </c>
      <c r="D2781" s="3" t="s">
        <v>920</v>
      </c>
      <c r="E2781" s="3" t="s">
        <v>7620</v>
      </c>
      <c r="F2781" s="3" t="s">
        <v>7650</v>
      </c>
      <c r="G2781" s="3" t="s">
        <v>7621</v>
      </c>
    </row>
    <row r="2782" spans="1:7">
      <c r="A2782" s="2">
        <v>101</v>
      </c>
      <c r="B2782" s="2" t="s">
        <v>395</v>
      </c>
      <c r="C2782" s="2">
        <v>231</v>
      </c>
      <c r="D2782" s="2" t="s">
        <v>923</v>
      </c>
      <c r="E2782" s="2" t="s">
        <v>7620</v>
      </c>
      <c r="F2782" s="2" t="s">
        <v>7611</v>
      </c>
      <c r="G2782" s="2" t="s">
        <v>7621</v>
      </c>
    </row>
    <row r="2783" spans="1:7">
      <c r="A2783" s="3">
        <v>101</v>
      </c>
      <c r="B2783" s="3" t="s">
        <v>395</v>
      </c>
      <c r="C2783" s="3">
        <v>233</v>
      </c>
      <c r="D2783" s="3" t="s">
        <v>937</v>
      </c>
      <c r="E2783" s="3" t="s">
        <v>7620</v>
      </c>
      <c r="F2783" s="3" t="s">
        <v>7611</v>
      </c>
      <c r="G2783" s="3" t="s">
        <v>7625</v>
      </c>
    </row>
    <row r="2784" spans="1:7">
      <c r="A2784" s="2">
        <v>101</v>
      </c>
      <c r="B2784" s="2" t="s">
        <v>395</v>
      </c>
      <c r="C2784" s="2">
        <v>246</v>
      </c>
      <c r="D2784" s="2" t="s">
        <v>897</v>
      </c>
      <c r="E2784" s="2" t="s">
        <v>7620</v>
      </c>
      <c r="F2784" s="2" t="s">
        <v>7702</v>
      </c>
      <c r="G2784" s="2" t="s">
        <v>7625</v>
      </c>
    </row>
    <row r="2785" spans="1:7">
      <c r="A2785" s="3">
        <v>101</v>
      </c>
      <c r="B2785" s="3" t="s">
        <v>395</v>
      </c>
      <c r="C2785" s="3">
        <v>251</v>
      </c>
      <c r="D2785" s="3" t="s">
        <v>819</v>
      </c>
      <c r="E2785" s="3" t="s">
        <v>7620</v>
      </c>
      <c r="F2785" s="3" t="s">
        <v>7611</v>
      </c>
      <c r="G2785" s="3" t="s">
        <v>7625</v>
      </c>
    </row>
    <row r="2786" spans="1:7">
      <c r="A2786" s="2">
        <v>101</v>
      </c>
      <c r="B2786" s="2" t="s">
        <v>395</v>
      </c>
      <c r="C2786" s="2">
        <v>254</v>
      </c>
      <c r="D2786" s="2" t="s">
        <v>837</v>
      </c>
      <c r="E2786" s="2" t="s">
        <v>7620</v>
      </c>
      <c r="F2786" s="2" t="s">
        <v>7649</v>
      </c>
      <c r="G2786" s="2" t="s">
        <v>7633</v>
      </c>
    </row>
    <row r="2787" spans="1:7">
      <c r="A2787" s="3">
        <v>101</v>
      </c>
      <c r="B2787" s="3" t="s">
        <v>395</v>
      </c>
      <c r="C2787" s="3">
        <v>256</v>
      </c>
      <c r="D2787" s="3" t="s">
        <v>785</v>
      </c>
      <c r="E2787" s="3" t="s">
        <v>7620</v>
      </c>
      <c r="F2787" s="3" t="s">
        <v>7611</v>
      </c>
      <c r="G2787" s="3" t="s">
        <v>7621</v>
      </c>
    </row>
    <row r="2788" spans="1:7">
      <c r="A2788" s="2">
        <v>101</v>
      </c>
      <c r="B2788" s="2" t="s">
        <v>395</v>
      </c>
      <c r="C2788" s="2">
        <v>257</v>
      </c>
      <c r="D2788" s="2" t="s">
        <v>876</v>
      </c>
      <c r="E2788" s="2" t="s">
        <v>7620</v>
      </c>
      <c r="F2788" s="2" t="s">
        <v>7611</v>
      </c>
      <c r="G2788" s="2" t="s">
        <v>7625</v>
      </c>
    </row>
    <row r="2789" spans="1:7">
      <c r="A2789" s="3">
        <v>101</v>
      </c>
      <c r="B2789" s="3" t="s">
        <v>395</v>
      </c>
      <c r="C2789" s="3">
        <v>262</v>
      </c>
      <c r="D2789" s="3" t="s">
        <v>355</v>
      </c>
      <c r="E2789" s="3" t="s">
        <v>7620</v>
      </c>
      <c r="F2789" s="3" t="s">
        <v>7611</v>
      </c>
      <c r="G2789" s="3" t="s">
        <v>7621</v>
      </c>
    </row>
    <row r="2790" spans="1:7">
      <c r="A2790" s="2">
        <v>101</v>
      </c>
      <c r="B2790" s="2" t="s">
        <v>395</v>
      </c>
      <c r="C2790" s="2">
        <v>264</v>
      </c>
      <c r="D2790" s="2" t="s">
        <v>775</v>
      </c>
      <c r="E2790" s="2" t="s">
        <v>7694</v>
      </c>
      <c r="F2790" s="2" t="s">
        <v>7659</v>
      </c>
      <c r="G2790" s="2" t="s">
        <v>7632</v>
      </c>
    </row>
    <row r="2791" spans="1:7">
      <c r="A2791" s="3">
        <v>101</v>
      </c>
      <c r="B2791" s="3" t="s">
        <v>395</v>
      </c>
      <c r="C2791" s="3">
        <v>265</v>
      </c>
      <c r="D2791" s="3" t="s">
        <v>860</v>
      </c>
      <c r="E2791" s="3" t="s">
        <v>7620</v>
      </c>
      <c r="F2791" s="3" t="s">
        <v>7611</v>
      </c>
      <c r="G2791" s="3" t="s">
        <v>7621</v>
      </c>
    </row>
    <row r="2792" spans="1:7">
      <c r="A2792" s="2">
        <v>101</v>
      </c>
      <c r="B2792" s="2" t="s">
        <v>395</v>
      </c>
      <c r="C2792" s="2">
        <v>266</v>
      </c>
      <c r="D2792" s="2" t="s">
        <v>826</v>
      </c>
      <c r="E2792" s="2" t="s">
        <v>7620</v>
      </c>
      <c r="F2792" s="2" t="s">
        <v>7659</v>
      </c>
      <c r="G2792" s="2" t="s">
        <v>7617</v>
      </c>
    </row>
    <row r="2793" spans="1:7">
      <c r="A2793" s="3">
        <v>101</v>
      </c>
      <c r="B2793" s="3" t="s">
        <v>395</v>
      </c>
      <c r="C2793" s="3">
        <v>267</v>
      </c>
      <c r="D2793" s="3" t="s">
        <v>801</v>
      </c>
      <c r="E2793" s="3" t="s">
        <v>7620</v>
      </c>
      <c r="F2793" s="3" t="s">
        <v>7649</v>
      </c>
      <c r="G2793" s="3" t="s">
        <v>7633</v>
      </c>
    </row>
    <row r="2794" spans="1:7">
      <c r="A2794" s="2">
        <v>101</v>
      </c>
      <c r="B2794" s="2" t="s">
        <v>395</v>
      </c>
      <c r="C2794" s="2">
        <v>269</v>
      </c>
      <c r="D2794" s="2" t="s">
        <v>825</v>
      </c>
      <c r="E2794" s="2" t="s">
        <v>7620</v>
      </c>
      <c r="F2794" s="2" t="s">
        <v>7649</v>
      </c>
      <c r="G2794" s="2" t="s">
        <v>7633</v>
      </c>
    </row>
    <row r="2795" spans="1:7">
      <c r="A2795" s="3">
        <v>101</v>
      </c>
      <c r="B2795" s="3" t="s">
        <v>395</v>
      </c>
      <c r="C2795" s="3">
        <v>270</v>
      </c>
      <c r="D2795" s="3" t="s">
        <v>769</v>
      </c>
      <c r="E2795" s="3" t="s">
        <v>7620</v>
      </c>
      <c r="F2795" s="3" t="s">
        <v>7611</v>
      </c>
      <c r="G2795" s="3" t="s">
        <v>7621</v>
      </c>
    </row>
    <row r="2796" spans="1:7">
      <c r="A2796" s="2">
        <v>101</v>
      </c>
      <c r="B2796" s="2" t="s">
        <v>395</v>
      </c>
      <c r="C2796" s="2">
        <v>272</v>
      </c>
      <c r="D2796" s="2" t="s">
        <v>873</v>
      </c>
      <c r="E2796" s="2" t="s">
        <v>7620</v>
      </c>
      <c r="F2796" s="2" t="s">
        <v>7628</v>
      </c>
      <c r="G2796" s="2" t="s">
        <v>7633</v>
      </c>
    </row>
    <row r="2797" spans="1:7">
      <c r="A2797" s="3">
        <v>101</v>
      </c>
      <c r="B2797" s="3" t="s">
        <v>395</v>
      </c>
      <c r="C2797" s="3">
        <v>273</v>
      </c>
      <c r="D2797" s="3" t="s">
        <v>816</v>
      </c>
      <c r="E2797" s="3" t="s">
        <v>7620</v>
      </c>
      <c r="F2797" s="3" t="s">
        <v>7650</v>
      </c>
      <c r="G2797" s="3" t="s">
        <v>7621</v>
      </c>
    </row>
    <row r="2798" spans="1:7">
      <c r="A2798" s="2">
        <v>101</v>
      </c>
      <c r="B2798" s="2" t="s">
        <v>395</v>
      </c>
      <c r="C2798" s="2">
        <v>275</v>
      </c>
      <c r="D2798" s="2" t="s">
        <v>781</v>
      </c>
      <c r="E2798" s="2" t="s">
        <v>7620</v>
      </c>
      <c r="F2798" s="2" t="s">
        <v>7649</v>
      </c>
      <c r="G2798" s="2" t="s">
        <v>7633</v>
      </c>
    </row>
    <row r="2799" spans="1:7">
      <c r="A2799" s="3">
        <v>101</v>
      </c>
      <c r="B2799" s="3" t="s">
        <v>395</v>
      </c>
      <c r="C2799" s="3">
        <v>276</v>
      </c>
      <c r="D2799" s="3" t="s">
        <v>842</v>
      </c>
      <c r="E2799" s="3" t="s">
        <v>7620</v>
      </c>
      <c r="F2799" s="3" t="s">
        <v>7611</v>
      </c>
      <c r="G2799" s="3" t="s">
        <v>7621</v>
      </c>
    </row>
    <row r="2800" spans="1:7">
      <c r="A2800" s="2">
        <v>101</v>
      </c>
      <c r="B2800" s="2" t="s">
        <v>395</v>
      </c>
      <c r="C2800" s="2">
        <v>277</v>
      </c>
      <c r="D2800" s="2" t="s">
        <v>796</v>
      </c>
      <c r="E2800" s="2" t="s">
        <v>7620</v>
      </c>
      <c r="F2800" s="2" t="s">
        <v>7650</v>
      </c>
      <c r="G2800" s="2" t="s">
        <v>7625</v>
      </c>
    </row>
    <row r="2801" spans="1:7">
      <c r="A2801" s="3">
        <v>101</v>
      </c>
      <c r="B2801" s="3" t="s">
        <v>395</v>
      </c>
      <c r="C2801" s="3">
        <v>281</v>
      </c>
      <c r="D2801" s="3" t="s">
        <v>856</v>
      </c>
      <c r="E2801" s="3" t="s">
        <v>7620</v>
      </c>
      <c r="F2801" s="3" t="s">
        <v>7659</v>
      </c>
      <c r="G2801" s="3" t="s">
        <v>7617</v>
      </c>
    </row>
    <row r="2802" spans="1:7">
      <c r="A2802" s="2">
        <v>101</v>
      </c>
      <c r="B2802" s="2" t="s">
        <v>395</v>
      </c>
      <c r="C2802" s="2">
        <v>282</v>
      </c>
      <c r="D2802" s="2" t="s">
        <v>885</v>
      </c>
      <c r="E2802" s="2" t="s">
        <v>7620</v>
      </c>
      <c r="F2802" s="2" t="s">
        <v>7649</v>
      </c>
      <c r="G2802" s="2" t="s">
        <v>7633</v>
      </c>
    </row>
    <row r="2803" spans="1:7">
      <c r="A2803" s="3">
        <v>101</v>
      </c>
      <c r="B2803" s="3" t="s">
        <v>395</v>
      </c>
      <c r="C2803" s="3">
        <v>284</v>
      </c>
      <c r="D2803" s="3" t="s">
        <v>854</v>
      </c>
      <c r="E2803" s="3" t="s">
        <v>7620</v>
      </c>
      <c r="F2803" s="3" t="s">
        <v>7628</v>
      </c>
      <c r="G2803" s="3" t="s">
        <v>7633</v>
      </c>
    </row>
    <row r="2804" spans="1:7">
      <c r="A2804" s="2">
        <v>101</v>
      </c>
      <c r="B2804" s="2" t="s">
        <v>395</v>
      </c>
      <c r="C2804" s="2">
        <v>285</v>
      </c>
      <c r="D2804" s="2" t="s">
        <v>854</v>
      </c>
      <c r="E2804" s="2" t="s">
        <v>7620</v>
      </c>
      <c r="F2804" s="2" t="s">
        <v>7611</v>
      </c>
      <c r="G2804" s="2" t="s">
        <v>7621</v>
      </c>
    </row>
    <row r="2805" spans="1:7">
      <c r="A2805" s="3">
        <v>101</v>
      </c>
      <c r="B2805" s="3" t="s">
        <v>395</v>
      </c>
      <c r="C2805" s="3">
        <v>286</v>
      </c>
      <c r="D2805" s="3" t="s">
        <v>807</v>
      </c>
      <c r="E2805" s="3" t="s">
        <v>7620</v>
      </c>
      <c r="F2805" s="3" t="s">
        <v>7649</v>
      </c>
      <c r="G2805" s="3" t="s">
        <v>7622</v>
      </c>
    </row>
    <row r="2806" spans="1:7">
      <c r="A2806" s="2">
        <v>101</v>
      </c>
      <c r="B2806" s="2" t="s">
        <v>395</v>
      </c>
      <c r="C2806" s="2">
        <v>287</v>
      </c>
      <c r="D2806" s="2" t="s">
        <v>929</v>
      </c>
      <c r="E2806" s="2" t="s">
        <v>7620</v>
      </c>
      <c r="F2806" s="2" t="s">
        <v>7611</v>
      </c>
      <c r="G2806" s="2" t="s">
        <v>7621</v>
      </c>
    </row>
    <row r="2807" spans="1:7">
      <c r="A2807" s="3">
        <v>101</v>
      </c>
      <c r="B2807" s="3" t="s">
        <v>395</v>
      </c>
      <c r="C2807" s="3">
        <v>288</v>
      </c>
      <c r="D2807" s="3" t="s">
        <v>805</v>
      </c>
      <c r="E2807" s="3" t="s">
        <v>7620</v>
      </c>
      <c r="F2807" s="3" t="s">
        <v>7611</v>
      </c>
      <c r="G2807" s="3" t="s">
        <v>7621</v>
      </c>
    </row>
    <row r="2808" spans="1:7">
      <c r="A2808" s="2">
        <v>101</v>
      </c>
      <c r="B2808" s="2" t="s">
        <v>395</v>
      </c>
      <c r="C2808" s="2">
        <v>290</v>
      </c>
      <c r="D2808" s="2" t="s">
        <v>854</v>
      </c>
      <c r="E2808" s="2" t="s">
        <v>7620</v>
      </c>
      <c r="F2808" s="2" t="s">
        <v>7611</v>
      </c>
      <c r="G2808" s="2" t="s">
        <v>7625</v>
      </c>
    </row>
    <row r="2809" spans="1:7">
      <c r="A2809" s="3">
        <v>101</v>
      </c>
      <c r="B2809" s="3" t="s">
        <v>395</v>
      </c>
      <c r="C2809" s="3">
        <v>293</v>
      </c>
      <c r="D2809" s="3" t="s">
        <v>854</v>
      </c>
      <c r="E2809" s="3" t="s">
        <v>7620</v>
      </c>
      <c r="F2809" s="3" t="s">
        <v>7611</v>
      </c>
      <c r="G2809" s="3" t="s">
        <v>7621</v>
      </c>
    </row>
    <row r="2810" spans="1:7">
      <c r="A2810" s="2">
        <v>101</v>
      </c>
      <c r="B2810" s="2" t="s">
        <v>395</v>
      </c>
      <c r="C2810" s="2">
        <v>295</v>
      </c>
      <c r="D2810" s="2" t="s">
        <v>854</v>
      </c>
      <c r="E2810" s="2" t="s">
        <v>7620</v>
      </c>
      <c r="F2810" s="2" t="s">
        <v>7635</v>
      </c>
      <c r="G2810" s="2" t="s">
        <v>7621</v>
      </c>
    </row>
    <row r="2811" spans="1:7">
      <c r="A2811" s="3">
        <v>101</v>
      </c>
      <c r="B2811" s="3" t="s">
        <v>395</v>
      </c>
      <c r="C2811" s="3">
        <v>301</v>
      </c>
      <c r="D2811" s="3" t="s">
        <v>850</v>
      </c>
      <c r="E2811" s="3" t="s">
        <v>7620</v>
      </c>
      <c r="F2811" s="3" t="s">
        <v>7650</v>
      </c>
      <c r="G2811" s="3" t="s">
        <v>7625</v>
      </c>
    </row>
    <row r="2812" spans="1:7">
      <c r="A2812" s="2">
        <v>101</v>
      </c>
      <c r="B2812" s="2" t="s">
        <v>395</v>
      </c>
      <c r="C2812" s="2">
        <v>302</v>
      </c>
      <c r="D2812" s="2" t="s">
        <v>916</v>
      </c>
      <c r="E2812" s="2" t="s">
        <v>7620</v>
      </c>
      <c r="F2812" s="2" t="s">
        <v>7628</v>
      </c>
      <c r="G2812" s="2" t="s">
        <v>7622</v>
      </c>
    </row>
    <row r="2813" spans="1:7">
      <c r="A2813" s="3">
        <v>101</v>
      </c>
      <c r="B2813" s="3" t="s">
        <v>395</v>
      </c>
      <c r="C2813" s="3">
        <v>303</v>
      </c>
      <c r="D2813" s="3" t="s">
        <v>854</v>
      </c>
      <c r="E2813" s="3" t="s">
        <v>7620</v>
      </c>
      <c r="F2813" s="3" t="s">
        <v>7611</v>
      </c>
      <c r="G2813" s="3" t="s">
        <v>7621</v>
      </c>
    </row>
    <row r="2814" spans="1:7">
      <c r="A2814" s="2">
        <v>101</v>
      </c>
      <c r="B2814" s="2" t="s">
        <v>395</v>
      </c>
      <c r="C2814" s="2">
        <v>307</v>
      </c>
      <c r="D2814" s="2" t="s">
        <v>854</v>
      </c>
      <c r="E2814" s="2" t="s">
        <v>7620</v>
      </c>
      <c r="F2814" s="2" t="s">
        <v>7611</v>
      </c>
      <c r="G2814" s="2" t="s">
        <v>7625</v>
      </c>
    </row>
    <row r="2815" spans="1:7">
      <c r="A2815" s="3">
        <v>101</v>
      </c>
      <c r="B2815" s="3" t="s">
        <v>395</v>
      </c>
      <c r="C2815" s="3">
        <v>308</v>
      </c>
      <c r="D2815" s="3" t="s">
        <v>854</v>
      </c>
      <c r="E2815" s="3" t="s">
        <v>7620</v>
      </c>
      <c r="F2815" s="3" t="s">
        <v>7702</v>
      </c>
      <c r="G2815" s="3" t="s">
        <v>7621</v>
      </c>
    </row>
    <row r="2816" spans="1:7">
      <c r="A2816" s="2">
        <v>101</v>
      </c>
      <c r="B2816" s="2" t="s">
        <v>395</v>
      </c>
      <c r="C2816" s="2">
        <v>311</v>
      </c>
      <c r="D2816" s="2" t="s">
        <v>954</v>
      </c>
      <c r="E2816" s="2" t="s">
        <v>7635</v>
      </c>
      <c r="F2816" s="2" t="s">
        <v>7677</v>
      </c>
      <c r="G2816" s="2" t="s">
        <v>7617</v>
      </c>
    </row>
    <row r="2817" spans="1:7">
      <c r="A2817" s="3">
        <v>101</v>
      </c>
      <c r="B2817" s="3" t="s">
        <v>395</v>
      </c>
      <c r="C2817" s="3">
        <v>312</v>
      </c>
      <c r="D2817" s="3" t="s">
        <v>949</v>
      </c>
      <c r="E2817" s="3" t="s">
        <v>7635</v>
      </c>
      <c r="F2817" s="3" t="s">
        <v>7659</v>
      </c>
      <c r="G2817" s="3" t="s">
        <v>7619</v>
      </c>
    </row>
    <row r="2818" spans="1:7">
      <c r="A2818" s="2">
        <v>101</v>
      </c>
      <c r="B2818" s="2" t="s">
        <v>395</v>
      </c>
      <c r="C2818" s="2">
        <v>314</v>
      </c>
      <c r="D2818" s="2" t="s">
        <v>1050</v>
      </c>
      <c r="E2818" s="2" t="s">
        <v>7635</v>
      </c>
      <c r="F2818" s="2" t="s">
        <v>7652</v>
      </c>
      <c r="G2818" s="2" t="s">
        <v>7609</v>
      </c>
    </row>
    <row r="2819" spans="1:7">
      <c r="A2819" s="3">
        <v>101</v>
      </c>
      <c r="B2819" s="3" t="s">
        <v>395</v>
      </c>
      <c r="C2819" s="3">
        <v>316</v>
      </c>
      <c r="D2819" s="3" t="s">
        <v>1028</v>
      </c>
      <c r="E2819" s="3" t="s">
        <v>7620</v>
      </c>
      <c r="F2819" s="3" t="s">
        <v>7650</v>
      </c>
      <c r="G2819" s="3" t="s">
        <v>7625</v>
      </c>
    </row>
    <row r="2820" spans="1:7">
      <c r="A2820" s="2">
        <v>101</v>
      </c>
      <c r="B2820" s="2" t="s">
        <v>395</v>
      </c>
      <c r="C2820" s="2">
        <v>317</v>
      </c>
      <c r="D2820" s="2" t="s">
        <v>1030</v>
      </c>
      <c r="E2820" s="2" t="s">
        <v>7620</v>
      </c>
      <c r="F2820" s="2" t="s">
        <v>7611</v>
      </c>
      <c r="G2820" s="2" t="s">
        <v>7621</v>
      </c>
    </row>
    <row r="2821" spans="1:7">
      <c r="A2821" s="3">
        <v>101</v>
      </c>
      <c r="B2821" s="3" t="s">
        <v>395</v>
      </c>
      <c r="C2821" s="3">
        <v>318</v>
      </c>
      <c r="D2821" s="3" t="s">
        <v>1032</v>
      </c>
      <c r="E2821" s="3" t="s">
        <v>7620</v>
      </c>
      <c r="F2821" s="3" t="s">
        <v>7611</v>
      </c>
      <c r="G2821" s="3" t="s">
        <v>7621</v>
      </c>
    </row>
    <row r="2822" spans="1:7">
      <c r="A2822" s="2">
        <v>101</v>
      </c>
      <c r="B2822" s="2" t="s">
        <v>395</v>
      </c>
      <c r="C2822" s="2">
        <v>319</v>
      </c>
      <c r="D2822" s="2" t="s">
        <v>1035</v>
      </c>
      <c r="E2822" s="2" t="s">
        <v>7741</v>
      </c>
      <c r="F2822" s="2" t="s">
        <v>7628</v>
      </c>
      <c r="G2822" s="2" t="s">
        <v>7639</v>
      </c>
    </row>
    <row r="2823" spans="1:7">
      <c r="A2823" s="3">
        <v>101</v>
      </c>
      <c r="B2823" s="3" t="s">
        <v>395</v>
      </c>
      <c r="C2823" s="3">
        <v>320</v>
      </c>
      <c r="D2823" s="3" t="s">
        <v>1039</v>
      </c>
      <c r="E2823" s="3" t="s">
        <v>7724</v>
      </c>
      <c r="F2823" s="3" t="s">
        <v>7678</v>
      </c>
      <c r="G2823" s="3" t="s">
        <v>7632</v>
      </c>
    </row>
    <row r="2824" spans="1:7">
      <c r="A2824" s="2">
        <v>101</v>
      </c>
      <c r="B2824" s="2" t="s">
        <v>395</v>
      </c>
      <c r="C2824" s="2">
        <v>321</v>
      </c>
      <c r="D2824" s="2" t="s">
        <v>1048</v>
      </c>
      <c r="E2824" s="2" t="s">
        <v>7620</v>
      </c>
      <c r="F2824" s="2" t="s">
        <v>7649</v>
      </c>
      <c r="G2824" s="2" t="s">
        <v>7633</v>
      </c>
    </row>
    <row r="2825" spans="1:7">
      <c r="A2825" s="3">
        <v>101</v>
      </c>
      <c r="B2825" s="3" t="s">
        <v>395</v>
      </c>
      <c r="C2825" s="3">
        <v>322</v>
      </c>
      <c r="D2825" s="3" t="s">
        <v>1012</v>
      </c>
      <c r="E2825" s="3" t="s">
        <v>7724</v>
      </c>
      <c r="F2825" s="3" t="s">
        <v>7652</v>
      </c>
      <c r="G2825" s="3" t="s">
        <v>7634</v>
      </c>
    </row>
    <row r="2826" spans="1:7">
      <c r="A2826" s="2">
        <v>101</v>
      </c>
      <c r="B2826" s="2" t="s">
        <v>395</v>
      </c>
      <c r="C2826" s="2">
        <v>323</v>
      </c>
      <c r="D2826" s="2" t="s">
        <v>1016</v>
      </c>
      <c r="E2826" s="2" t="s">
        <v>7620</v>
      </c>
      <c r="F2826" s="2" t="s">
        <v>7649</v>
      </c>
      <c r="G2826" s="2" t="s">
        <v>7633</v>
      </c>
    </row>
    <row r="2827" spans="1:7">
      <c r="A2827" s="3">
        <v>101</v>
      </c>
      <c r="B2827" s="3" t="s">
        <v>395</v>
      </c>
      <c r="C2827" s="3">
        <v>325</v>
      </c>
      <c r="D2827" s="3" t="s">
        <v>1020</v>
      </c>
      <c r="E2827" s="3" t="s">
        <v>7620</v>
      </c>
      <c r="F2827" s="3" t="s">
        <v>7611</v>
      </c>
      <c r="G2827" s="3" t="s">
        <v>7622</v>
      </c>
    </row>
    <row r="2828" spans="1:7">
      <c r="A2828" s="2">
        <v>101</v>
      </c>
      <c r="B2828" s="2" t="s">
        <v>395</v>
      </c>
      <c r="C2828" s="2">
        <v>326</v>
      </c>
      <c r="D2828" s="2" t="s">
        <v>1022</v>
      </c>
      <c r="E2828" s="2" t="s">
        <v>7620</v>
      </c>
      <c r="F2828" s="2" t="s">
        <v>7628</v>
      </c>
      <c r="G2828" s="2" t="s">
        <v>7633</v>
      </c>
    </row>
    <row r="2829" spans="1:7">
      <c r="A2829" s="3">
        <v>101</v>
      </c>
      <c r="B2829" s="3" t="s">
        <v>395</v>
      </c>
      <c r="C2829" s="3">
        <v>327</v>
      </c>
      <c r="D2829" s="3" t="s">
        <v>1025</v>
      </c>
      <c r="E2829" s="3" t="s">
        <v>7620</v>
      </c>
      <c r="F2829" s="3" t="s">
        <v>7628</v>
      </c>
      <c r="G2829" s="3" t="s">
        <v>7633</v>
      </c>
    </row>
    <row r="2830" spans="1:7">
      <c r="A2830" s="2">
        <v>101</v>
      </c>
      <c r="B2830" s="2" t="s">
        <v>395</v>
      </c>
      <c r="C2830" s="2">
        <v>328</v>
      </c>
      <c r="D2830" s="2" t="s">
        <v>1026</v>
      </c>
      <c r="E2830" s="2" t="s">
        <v>7620</v>
      </c>
      <c r="F2830" s="2" t="s">
        <v>7649</v>
      </c>
      <c r="G2830" s="2" t="s">
        <v>7633</v>
      </c>
    </row>
    <row r="2831" spans="1:7">
      <c r="A2831" s="3">
        <v>101</v>
      </c>
      <c r="B2831" s="3" t="s">
        <v>395</v>
      </c>
      <c r="C2831" s="3">
        <v>329</v>
      </c>
      <c r="D2831" s="3" t="s">
        <v>965</v>
      </c>
      <c r="E2831" s="3" t="s">
        <v>7620</v>
      </c>
      <c r="F2831" s="3" t="s">
        <v>7649</v>
      </c>
      <c r="G2831" s="3" t="s">
        <v>7633</v>
      </c>
    </row>
    <row r="2832" spans="1:7">
      <c r="A2832" s="2">
        <v>101</v>
      </c>
      <c r="B2832" s="2" t="s">
        <v>395</v>
      </c>
      <c r="C2832" s="2">
        <v>330</v>
      </c>
      <c r="D2832" s="2" t="s">
        <v>974</v>
      </c>
      <c r="E2832" s="2" t="s">
        <v>7620</v>
      </c>
      <c r="F2832" s="2" t="s">
        <v>7652</v>
      </c>
      <c r="G2832" s="2" t="s">
        <v>7633</v>
      </c>
    </row>
    <row r="2833" spans="1:7">
      <c r="A2833" s="3">
        <v>101</v>
      </c>
      <c r="B2833" s="3" t="s">
        <v>395</v>
      </c>
      <c r="C2833" s="3">
        <v>333</v>
      </c>
      <c r="D2833" s="3" t="s">
        <v>989</v>
      </c>
      <c r="E2833" s="3" t="s">
        <v>7620</v>
      </c>
      <c r="F2833" s="3" t="s">
        <v>7649</v>
      </c>
      <c r="G2833" s="3" t="s">
        <v>7633</v>
      </c>
    </row>
    <row r="2834" spans="1:7">
      <c r="A2834" s="2">
        <v>101</v>
      </c>
      <c r="B2834" s="2" t="s">
        <v>395</v>
      </c>
      <c r="C2834" s="2">
        <v>334</v>
      </c>
      <c r="D2834" s="2" t="s">
        <v>970</v>
      </c>
      <c r="E2834" s="2" t="s">
        <v>7620</v>
      </c>
      <c r="F2834" s="2" t="s">
        <v>7659</v>
      </c>
      <c r="G2834" s="2" t="s">
        <v>7609</v>
      </c>
    </row>
    <row r="2835" spans="1:7">
      <c r="A2835" s="3">
        <v>101</v>
      </c>
      <c r="B2835" s="3" t="s">
        <v>395</v>
      </c>
      <c r="C2835" s="3">
        <v>335</v>
      </c>
      <c r="D2835" s="3" t="s">
        <v>1057</v>
      </c>
      <c r="E2835" s="3" t="s">
        <v>7620</v>
      </c>
      <c r="F2835" s="3" t="s">
        <v>7611</v>
      </c>
      <c r="G2835" s="3" t="s">
        <v>7625</v>
      </c>
    </row>
    <row r="2836" spans="1:7">
      <c r="A2836" s="2">
        <v>101</v>
      </c>
      <c r="B2836" s="2" t="s">
        <v>395</v>
      </c>
      <c r="C2836" s="2">
        <v>336</v>
      </c>
      <c r="D2836" s="2" t="s">
        <v>992</v>
      </c>
      <c r="E2836" s="2" t="s">
        <v>7620</v>
      </c>
      <c r="F2836" s="2" t="s">
        <v>7611</v>
      </c>
      <c r="G2836" s="2" t="s">
        <v>7625</v>
      </c>
    </row>
    <row r="2837" spans="1:7">
      <c r="A2837" s="3">
        <v>101</v>
      </c>
      <c r="B2837" s="3" t="s">
        <v>395</v>
      </c>
      <c r="C2837" s="3">
        <v>337</v>
      </c>
      <c r="D2837" s="3" t="s">
        <v>1042</v>
      </c>
      <c r="E2837" s="3" t="s">
        <v>7620</v>
      </c>
      <c r="F2837" s="3" t="s">
        <v>7649</v>
      </c>
      <c r="G2837" s="3" t="s">
        <v>7633</v>
      </c>
    </row>
    <row r="2838" spans="1:7">
      <c r="A2838" s="2">
        <v>101</v>
      </c>
      <c r="B2838" s="2" t="s">
        <v>395</v>
      </c>
      <c r="C2838" s="2">
        <v>338</v>
      </c>
      <c r="D2838" s="2" t="s">
        <v>996</v>
      </c>
      <c r="E2838" s="2" t="s">
        <v>7620</v>
      </c>
      <c r="F2838" s="2" t="s">
        <v>7649</v>
      </c>
      <c r="G2838" s="2" t="s">
        <v>7622</v>
      </c>
    </row>
    <row r="2839" spans="1:7">
      <c r="A2839" s="3">
        <v>101</v>
      </c>
      <c r="B2839" s="3" t="s">
        <v>395</v>
      </c>
      <c r="C2839" s="3">
        <v>339</v>
      </c>
      <c r="D2839" s="3" t="s">
        <v>1058</v>
      </c>
      <c r="E2839" s="3" t="s">
        <v>7620</v>
      </c>
      <c r="F2839" s="3" t="s">
        <v>7611</v>
      </c>
      <c r="G2839" s="3" t="s">
        <v>7621</v>
      </c>
    </row>
    <row r="2840" spans="1:7">
      <c r="A2840" s="2">
        <v>101</v>
      </c>
      <c r="B2840" s="2" t="s">
        <v>395</v>
      </c>
      <c r="C2840" s="2">
        <v>340</v>
      </c>
      <c r="D2840" s="2" t="s">
        <v>1000</v>
      </c>
      <c r="E2840" s="2" t="s">
        <v>7620</v>
      </c>
      <c r="F2840" s="2" t="s">
        <v>7650</v>
      </c>
      <c r="G2840" s="2" t="s">
        <v>7625</v>
      </c>
    </row>
    <row r="2841" spans="1:7">
      <c r="A2841" s="3">
        <v>101</v>
      </c>
      <c r="B2841" s="3" t="s">
        <v>395</v>
      </c>
      <c r="C2841" s="3">
        <v>341</v>
      </c>
      <c r="D2841" s="3" t="s">
        <v>1052</v>
      </c>
      <c r="E2841" s="3" t="s">
        <v>7620</v>
      </c>
      <c r="F2841" s="3" t="s">
        <v>7649</v>
      </c>
      <c r="G2841" s="3" t="s">
        <v>7633</v>
      </c>
    </row>
    <row r="2842" spans="1:7">
      <c r="A2842" s="2">
        <v>101</v>
      </c>
      <c r="B2842" s="2" t="s">
        <v>395</v>
      </c>
      <c r="C2842" s="2">
        <v>343</v>
      </c>
      <c r="D2842" s="2" t="s">
        <v>977</v>
      </c>
      <c r="E2842" s="2" t="s">
        <v>7723</v>
      </c>
      <c r="F2842" s="2" t="s">
        <v>7659</v>
      </c>
      <c r="G2842" s="2" t="s">
        <v>7612</v>
      </c>
    </row>
    <row r="2843" spans="1:7">
      <c r="A2843" s="3">
        <v>101</v>
      </c>
      <c r="B2843" s="3" t="s">
        <v>395</v>
      </c>
      <c r="C2843" s="3">
        <v>405</v>
      </c>
      <c r="D2843" s="3" t="s">
        <v>1110</v>
      </c>
      <c r="E2843" s="3" t="s">
        <v>7620</v>
      </c>
      <c r="F2843" s="3" t="s">
        <v>7611</v>
      </c>
      <c r="G2843" s="3" t="s">
        <v>7621</v>
      </c>
    </row>
    <row r="2844" spans="1:7">
      <c r="A2844" s="2">
        <v>101</v>
      </c>
      <c r="B2844" s="2" t="s">
        <v>395</v>
      </c>
      <c r="C2844" s="2">
        <v>406</v>
      </c>
      <c r="D2844" s="2" t="s">
        <v>1114</v>
      </c>
      <c r="E2844" s="2" t="s">
        <v>7620</v>
      </c>
      <c r="F2844" s="2" t="s">
        <v>7628</v>
      </c>
      <c r="G2844" s="2" t="s">
        <v>7633</v>
      </c>
    </row>
    <row r="2845" spans="1:7">
      <c r="A2845" s="3">
        <v>101</v>
      </c>
      <c r="B2845" s="3" t="s">
        <v>395</v>
      </c>
      <c r="C2845" s="3">
        <v>409</v>
      </c>
      <c r="D2845" s="3" t="s">
        <v>1126</v>
      </c>
      <c r="E2845" s="3" t="s">
        <v>7620</v>
      </c>
      <c r="F2845" s="3" t="s">
        <v>7611</v>
      </c>
      <c r="G2845" s="3" t="s">
        <v>7621</v>
      </c>
    </row>
    <row r="2846" spans="1:7">
      <c r="A2846" s="2">
        <v>101</v>
      </c>
      <c r="B2846" s="2" t="s">
        <v>395</v>
      </c>
      <c r="C2846" s="2">
        <v>410</v>
      </c>
      <c r="D2846" s="2" t="s">
        <v>1123</v>
      </c>
      <c r="E2846" s="2" t="s">
        <v>7620</v>
      </c>
      <c r="F2846" s="2" t="s">
        <v>7611</v>
      </c>
      <c r="G2846" s="2" t="s">
        <v>7625</v>
      </c>
    </row>
    <row r="2847" spans="1:7">
      <c r="A2847" s="3">
        <v>102</v>
      </c>
      <c r="B2847" s="3" t="s">
        <v>540</v>
      </c>
      <c r="C2847" s="3">
        <v>191</v>
      </c>
      <c r="D2847" s="3" t="s">
        <v>719</v>
      </c>
      <c r="E2847" s="3" t="s">
        <v>7620</v>
      </c>
      <c r="F2847" s="3" t="s">
        <v>7611</v>
      </c>
      <c r="G2847" s="3" t="s">
        <v>7621</v>
      </c>
    </row>
    <row r="2848" spans="1:7">
      <c r="A2848" s="2">
        <v>102</v>
      </c>
      <c r="B2848" s="2" t="s">
        <v>540</v>
      </c>
      <c r="C2848" s="2">
        <v>195</v>
      </c>
      <c r="D2848" s="2" t="s">
        <v>734</v>
      </c>
      <c r="E2848" s="2" t="s">
        <v>7620</v>
      </c>
      <c r="F2848" s="2" t="s">
        <v>7611</v>
      </c>
      <c r="G2848" s="2" t="s">
        <v>7621</v>
      </c>
    </row>
    <row r="2849" spans="1:7">
      <c r="A2849" s="3">
        <v>102</v>
      </c>
      <c r="B2849" s="3" t="s">
        <v>540</v>
      </c>
      <c r="C2849" s="3">
        <v>198</v>
      </c>
      <c r="D2849" s="3" t="s">
        <v>698</v>
      </c>
      <c r="E2849" s="3" t="s">
        <v>7620</v>
      </c>
      <c r="F2849" s="3" t="s">
        <v>7611</v>
      </c>
      <c r="G2849" s="3" t="s">
        <v>7621</v>
      </c>
    </row>
    <row r="2850" spans="1:7">
      <c r="A2850" s="2">
        <v>102</v>
      </c>
      <c r="B2850" s="2" t="s">
        <v>540</v>
      </c>
      <c r="C2850" s="2">
        <v>199</v>
      </c>
      <c r="D2850" s="2" t="s">
        <v>702</v>
      </c>
      <c r="E2850" s="2" t="s">
        <v>7620</v>
      </c>
      <c r="F2850" s="2" t="s">
        <v>7611</v>
      </c>
      <c r="G2850" s="2" t="s">
        <v>7625</v>
      </c>
    </row>
    <row r="2851" spans="1:7">
      <c r="A2851" s="3">
        <v>102</v>
      </c>
      <c r="B2851" s="3" t="s">
        <v>540</v>
      </c>
      <c r="C2851" s="3">
        <v>200</v>
      </c>
      <c r="D2851" s="3" t="s">
        <v>707</v>
      </c>
      <c r="E2851" s="3" t="s">
        <v>7620</v>
      </c>
      <c r="F2851" s="3" t="s">
        <v>7611</v>
      </c>
      <c r="G2851" s="3" t="s">
        <v>7621</v>
      </c>
    </row>
    <row r="2852" spans="1:7">
      <c r="A2852" s="2">
        <v>102</v>
      </c>
      <c r="B2852" s="2" t="s">
        <v>540</v>
      </c>
      <c r="C2852" s="2">
        <v>205</v>
      </c>
      <c r="D2852" s="2" t="s">
        <v>746</v>
      </c>
      <c r="E2852" s="2" t="s">
        <v>7620</v>
      </c>
      <c r="F2852" s="2" t="s">
        <v>7611</v>
      </c>
      <c r="G2852" s="2" t="s">
        <v>7621</v>
      </c>
    </row>
    <row r="2853" spans="1:7">
      <c r="A2853" s="3">
        <v>102</v>
      </c>
      <c r="B2853" s="3" t="s">
        <v>540</v>
      </c>
      <c r="C2853" s="3">
        <v>207</v>
      </c>
      <c r="D2853" s="3" t="s">
        <v>749</v>
      </c>
      <c r="E2853" s="3" t="s">
        <v>7620</v>
      </c>
      <c r="F2853" s="3" t="s">
        <v>7611</v>
      </c>
      <c r="G2853" s="3" t="s">
        <v>7622</v>
      </c>
    </row>
    <row r="2854" spans="1:7">
      <c r="A2854" s="2">
        <v>102</v>
      </c>
      <c r="B2854" s="2" t="s">
        <v>540</v>
      </c>
      <c r="C2854" s="2">
        <v>208</v>
      </c>
      <c r="D2854" s="2" t="s">
        <v>754</v>
      </c>
      <c r="E2854" s="2" t="s">
        <v>7620</v>
      </c>
      <c r="F2854" s="2" t="s">
        <v>7611</v>
      </c>
      <c r="G2854" s="2" t="s">
        <v>7621</v>
      </c>
    </row>
    <row r="2855" spans="1:7">
      <c r="A2855" s="3">
        <v>102</v>
      </c>
      <c r="B2855" s="3" t="s">
        <v>540</v>
      </c>
      <c r="C2855" s="3">
        <v>221</v>
      </c>
      <c r="D2855" s="3" t="s">
        <v>813</v>
      </c>
      <c r="E2855" s="3" t="s">
        <v>7620</v>
      </c>
      <c r="F2855" s="3" t="s">
        <v>7611</v>
      </c>
      <c r="G2855" s="3" t="s">
        <v>7625</v>
      </c>
    </row>
    <row r="2856" spans="1:7">
      <c r="A2856" s="2">
        <v>102</v>
      </c>
      <c r="B2856" s="2" t="s">
        <v>540</v>
      </c>
      <c r="C2856" s="2">
        <v>264</v>
      </c>
      <c r="D2856" s="2" t="s">
        <v>775</v>
      </c>
      <c r="E2856" s="2" t="s">
        <v>7620</v>
      </c>
      <c r="F2856" s="2" t="s">
        <v>7611</v>
      </c>
      <c r="G2856" s="2" t="s">
        <v>7625</v>
      </c>
    </row>
    <row r="2857" spans="1:7">
      <c r="A2857" s="3">
        <v>102</v>
      </c>
      <c r="B2857" s="3" t="s">
        <v>540</v>
      </c>
      <c r="C2857" s="3">
        <v>341</v>
      </c>
      <c r="D2857" s="3" t="s">
        <v>1052</v>
      </c>
      <c r="E2857" s="3" t="s">
        <v>7620</v>
      </c>
      <c r="F2857" s="3" t="s">
        <v>7611</v>
      </c>
      <c r="G2857" s="3" t="s">
        <v>7622</v>
      </c>
    </row>
    <row r="2858" spans="1:7">
      <c r="A2858" s="2">
        <v>102</v>
      </c>
      <c r="B2858" s="2" t="s">
        <v>540</v>
      </c>
      <c r="C2858" s="2">
        <v>343</v>
      </c>
      <c r="D2858" s="2" t="s">
        <v>977</v>
      </c>
      <c r="E2858" s="2" t="s">
        <v>7620</v>
      </c>
      <c r="F2858" s="2" t="s">
        <v>7611</v>
      </c>
      <c r="G2858" s="2" t="s">
        <v>7625</v>
      </c>
    </row>
    <row r="2859" spans="1:7">
      <c r="A2859" s="3">
        <v>103</v>
      </c>
      <c r="B2859" s="3" t="s">
        <v>384</v>
      </c>
      <c r="C2859" s="3">
        <v>104</v>
      </c>
      <c r="D2859" s="3" t="s">
        <v>493</v>
      </c>
      <c r="E2859" s="3" t="s">
        <v>7620</v>
      </c>
      <c r="F2859" s="3" t="s">
        <v>7650</v>
      </c>
      <c r="G2859" s="3" t="s">
        <v>7625</v>
      </c>
    </row>
    <row r="2860" spans="1:7">
      <c r="A2860" s="2">
        <v>103</v>
      </c>
      <c r="B2860" s="2" t="s">
        <v>384</v>
      </c>
      <c r="C2860" s="2">
        <v>105</v>
      </c>
      <c r="D2860" s="2" t="s">
        <v>582</v>
      </c>
      <c r="E2860" s="2" t="s">
        <v>7620</v>
      </c>
      <c r="F2860" s="2" t="s">
        <v>7608</v>
      </c>
      <c r="G2860" s="2" t="s">
        <v>7625</v>
      </c>
    </row>
    <row r="2861" spans="1:7">
      <c r="A2861" s="3">
        <v>103</v>
      </c>
      <c r="B2861" s="3" t="s">
        <v>384</v>
      </c>
      <c r="C2861" s="3">
        <v>106</v>
      </c>
      <c r="D2861" s="3" t="s">
        <v>404</v>
      </c>
      <c r="E2861" s="3" t="s">
        <v>7620</v>
      </c>
      <c r="F2861" s="3" t="s">
        <v>7650</v>
      </c>
      <c r="G2861" s="3" t="s">
        <v>7622</v>
      </c>
    </row>
    <row r="2862" spans="1:7">
      <c r="A2862" s="2">
        <v>103</v>
      </c>
      <c r="B2862" s="2" t="s">
        <v>384</v>
      </c>
      <c r="C2862" s="2">
        <v>107</v>
      </c>
      <c r="D2862" s="2" t="s">
        <v>536</v>
      </c>
      <c r="E2862" s="2" t="s">
        <v>7620</v>
      </c>
      <c r="F2862" s="2" t="s">
        <v>7650</v>
      </c>
      <c r="G2862" s="2" t="s">
        <v>7625</v>
      </c>
    </row>
    <row r="2863" spans="1:7">
      <c r="A2863" s="3">
        <v>103</v>
      </c>
      <c r="B2863" s="3" t="s">
        <v>384</v>
      </c>
      <c r="C2863" s="3">
        <v>109</v>
      </c>
      <c r="D2863" s="3" t="s">
        <v>489</v>
      </c>
      <c r="E2863" s="3" t="s">
        <v>7620</v>
      </c>
      <c r="F2863" s="3" t="s">
        <v>7650</v>
      </c>
      <c r="G2863" s="3" t="s">
        <v>7625</v>
      </c>
    </row>
    <row r="2864" spans="1:7">
      <c r="A2864" s="2">
        <v>103</v>
      </c>
      <c r="B2864" s="2" t="s">
        <v>384</v>
      </c>
      <c r="C2864" s="2">
        <v>110</v>
      </c>
      <c r="D2864" s="2" t="s">
        <v>363</v>
      </c>
      <c r="E2864" s="2" t="s">
        <v>7620</v>
      </c>
      <c r="F2864" s="2" t="s">
        <v>7650</v>
      </c>
      <c r="G2864" s="2" t="s">
        <v>7621</v>
      </c>
    </row>
    <row r="2865" spans="1:7">
      <c r="A2865" s="3">
        <v>103</v>
      </c>
      <c r="B2865" s="3" t="s">
        <v>384</v>
      </c>
      <c r="C2865" s="3">
        <v>111</v>
      </c>
      <c r="D2865" s="3" t="s">
        <v>407</v>
      </c>
      <c r="E2865" s="3" t="s">
        <v>7620</v>
      </c>
      <c r="F2865" s="3" t="s">
        <v>7650</v>
      </c>
      <c r="G2865" s="3" t="s">
        <v>7622</v>
      </c>
    </row>
    <row r="2866" spans="1:7">
      <c r="A2866" s="2">
        <v>103</v>
      </c>
      <c r="B2866" s="2" t="s">
        <v>384</v>
      </c>
      <c r="C2866" s="2">
        <v>112</v>
      </c>
      <c r="D2866" s="2" t="s">
        <v>517</v>
      </c>
      <c r="E2866" s="2" t="s">
        <v>7620</v>
      </c>
      <c r="F2866" s="2" t="s">
        <v>7650</v>
      </c>
      <c r="G2866" s="2" t="s">
        <v>7625</v>
      </c>
    </row>
    <row r="2867" spans="1:7">
      <c r="A2867" s="3">
        <v>103</v>
      </c>
      <c r="B2867" s="3" t="s">
        <v>384</v>
      </c>
      <c r="C2867" s="3">
        <v>114</v>
      </c>
      <c r="D2867" s="3" t="s">
        <v>461</v>
      </c>
      <c r="E2867" s="3" t="s">
        <v>7620</v>
      </c>
      <c r="F2867" s="3" t="s">
        <v>7650</v>
      </c>
      <c r="G2867" s="3" t="s">
        <v>7622</v>
      </c>
    </row>
    <row r="2868" spans="1:7">
      <c r="A2868" s="2">
        <v>103</v>
      </c>
      <c r="B2868" s="2" t="s">
        <v>384</v>
      </c>
      <c r="C2868" s="2">
        <v>116</v>
      </c>
      <c r="D2868" s="2" t="s">
        <v>584</v>
      </c>
      <c r="E2868" s="2" t="s">
        <v>7620</v>
      </c>
      <c r="F2868" s="2" t="s">
        <v>7608</v>
      </c>
      <c r="G2868" s="2" t="s">
        <v>7625</v>
      </c>
    </row>
    <row r="2869" spans="1:7">
      <c r="A2869" s="3">
        <v>103</v>
      </c>
      <c r="B2869" s="3" t="s">
        <v>384</v>
      </c>
      <c r="C2869" s="3">
        <v>117</v>
      </c>
      <c r="D2869" s="3" t="s">
        <v>528</v>
      </c>
      <c r="E2869" s="3" t="s">
        <v>7620</v>
      </c>
      <c r="F2869" s="3" t="s">
        <v>7608</v>
      </c>
      <c r="G2869" s="3" t="s">
        <v>7625</v>
      </c>
    </row>
    <row r="2870" spans="1:7">
      <c r="A2870" s="2">
        <v>103</v>
      </c>
      <c r="B2870" s="2" t="s">
        <v>384</v>
      </c>
      <c r="C2870" s="2">
        <v>119</v>
      </c>
      <c r="D2870" s="2" t="s">
        <v>367</v>
      </c>
      <c r="E2870" s="2" t="s">
        <v>7620</v>
      </c>
      <c r="F2870" s="2" t="s">
        <v>7650</v>
      </c>
      <c r="G2870" s="2" t="s">
        <v>7622</v>
      </c>
    </row>
    <row r="2871" spans="1:7">
      <c r="A2871" s="3">
        <v>103</v>
      </c>
      <c r="B2871" s="3" t="s">
        <v>384</v>
      </c>
      <c r="C2871" s="3">
        <v>120</v>
      </c>
      <c r="D2871" s="3" t="s">
        <v>465</v>
      </c>
      <c r="E2871" s="3" t="s">
        <v>7620</v>
      </c>
      <c r="F2871" s="3" t="s">
        <v>7650</v>
      </c>
      <c r="G2871" s="3" t="s">
        <v>7625</v>
      </c>
    </row>
    <row r="2872" spans="1:7">
      <c r="A2872" s="2">
        <v>103</v>
      </c>
      <c r="B2872" s="2" t="s">
        <v>384</v>
      </c>
      <c r="C2872" s="2">
        <v>122</v>
      </c>
      <c r="D2872" s="2" t="s">
        <v>391</v>
      </c>
      <c r="E2872" s="2" t="s">
        <v>7620</v>
      </c>
      <c r="F2872" s="2" t="s">
        <v>7650</v>
      </c>
      <c r="G2872" s="2" t="s">
        <v>7621</v>
      </c>
    </row>
    <row r="2873" spans="1:7">
      <c r="A2873" s="3">
        <v>103</v>
      </c>
      <c r="B2873" s="3" t="s">
        <v>384</v>
      </c>
      <c r="C2873" s="3">
        <v>127</v>
      </c>
      <c r="D2873" s="3" t="s">
        <v>575</v>
      </c>
      <c r="E2873" s="3" t="s">
        <v>7620</v>
      </c>
      <c r="F2873" s="3" t="s">
        <v>7608</v>
      </c>
      <c r="G2873" s="3" t="s">
        <v>7625</v>
      </c>
    </row>
    <row r="2874" spans="1:7">
      <c r="A2874" s="2">
        <v>103</v>
      </c>
      <c r="B2874" s="2" t="s">
        <v>384</v>
      </c>
      <c r="C2874" s="2">
        <v>131</v>
      </c>
      <c r="D2874" s="2" t="s">
        <v>577</v>
      </c>
      <c r="E2874" s="2" t="s">
        <v>7620</v>
      </c>
      <c r="F2874" s="2" t="s">
        <v>7608</v>
      </c>
      <c r="G2874" s="2" t="s">
        <v>7625</v>
      </c>
    </row>
    <row r="2875" spans="1:7">
      <c r="A2875" s="3">
        <v>103</v>
      </c>
      <c r="B2875" s="3" t="s">
        <v>384</v>
      </c>
      <c r="C2875" s="3">
        <v>133</v>
      </c>
      <c r="D2875" s="3" t="s">
        <v>212</v>
      </c>
      <c r="E2875" s="3" t="s">
        <v>7620</v>
      </c>
      <c r="F2875" s="3" t="s">
        <v>7608</v>
      </c>
      <c r="G2875" s="3" t="s">
        <v>7625</v>
      </c>
    </row>
    <row r="2876" spans="1:7">
      <c r="A2876" s="2">
        <v>103</v>
      </c>
      <c r="B2876" s="2" t="s">
        <v>384</v>
      </c>
      <c r="C2876" s="2">
        <v>134</v>
      </c>
      <c r="D2876" s="2" t="s">
        <v>591</v>
      </c>
      <c r="E2876" s="2" t="s">
        <v>7620</v>
      </c>
      <c r="F2876" s="2" t="s">
        <v>7608</v>
      </c>
      <c r="G2876" s="2" t="s">
        <v>7625</v>
      </c>
    </row>
    <row r="2877" spans="1:7">
      <c r="A2877" s="3">
        <v>103</v>
      </c>
      <c r="B2877" s="3" t="s">
        <v>384</v>
      </c>
      <c r="C2877" s="3">
        <v>143</v>
      </c>
      <c r="D2877" s="3" t="s">
        <v>371</v>
      </c>
      <c r="E2877" s="3" t="s">
        <v>7620</v>
      </c>
      <c r="F2877" s="3" t="s">
        <v>7650</v>
      </c>
      <c r="G2877" s="3" t="s">
        <v>7622</v>
      </c>
    </row>
    <row r="2878" spans="1:7">
      <c r="A2878" s="2">
        <v>103</v>
      </c>
      <c r="B2878" s="2" t="s">
        <v>384</v>
      </c>
      <c r="C2878" s="2">
        <v>144</v>
      </c>
      <c r="D2878" s="2" t="s">
        <v>375</v>
      </c>
      <c r="E2878" s="2" t="s">
        <v>7620</v>
      </c>
      <c r="F2878" s="2" t="s">
        <v>7650</v>
      </c>
      <c r="G2878" s="2" t="s">
        <v>7625</v>
      </c>
    </row>
    <row r="2879" spans="1:7">
      <c r="A2879" s="3">
        <v>103</v>
      </c>
      <c r="B2879" s="3" t="s">
        <v>384</v>
      </c>
      <c r="C2879" s="3">
        <v>145</v>
      </c>
      <c r="D2879" s="3" t="s">
        <v>431</v>
      </c>
      <c r="E2879" s="3" t="s">
        <v>7620</v>
      </c>
      <c r="F2879" s="3" t="s">
        <v>7650</v>
      </c>
      <c r="G2879" s="3" t="s">
        <v>7622</v>
      </c>
    </row>
    <row r="2880" spans="1:7">
      <c r="A2880" s="2">
        <v>103</v>
      </c>
      <c r="B2880" s="2" t="s">
        <v>384</v>
      </c>
      <c r="C2880" s="2">
        <v>149</v>
      </c>
      <c r="D2880" s="2" t="s">
        <v>443</v>
      </c>
      <c r="E2880" s="2" t="s">
        <v>7620</v>
      </c>
      <c r="F2880" s="2" t="s">
        <v>7650</v>
      </c>
      <c r="G2880" s="2" t="s">
        <v>7621</v>
      </c>
    </row>
    <row r="2881" spans="1:7">
      <c r="A2881" s="3">
        <v>103</v>
      </c>
      <c r="B2881" s="3" t="s">
        <v>384</v>
      </c>
      <c r="C2881" s="3">
        <v>150</v>
      </c>
      <c r="D2881" s="3" t="s">
        <v>379</v>
      </c>
      <c r="E2881" s="3" t="s">
        <v>7620</v>
      </c>
      <c r="F2881" s="3" t="s">
        <v>7650</v>
      </c>
      <c r="G2881" s="3" t="s">
        <v>7621</v>
      </c>
    </row>
    <row r="2882" spans="1:7">
      <c r="A2882" s="2">
        <v>103</v>
      </c>
      <c r="B2882" s="2" t="s">
        <v>384</v>
      </c>
      <c r="C2882" s="2">
        <v>153</v>
      </c>
      <c r="D2882" s="2" t="s">
        <v>435</v>
      </c>
      <c r="E2882" s="2" t="s">
        <v>7620</v>
      </c>
      <c r="F2882" s="2" t="s">
        <v>7608</v>
      </c>
      <c r="G2882" s="2" t="s">
        <v>7625</v>
      </c>
    </row>
    <row r="2883" spans="1:7">
      <c r="A2883" s="3">
        <v>103</v>
      </c>
      <c r="B2883" s="3" t="s">
        <v>384</v>
      </c>
      <c r="C2883" s="3">
        <v>154</v>
      </c>
      <c r="D2883" s="3" t="s">
        <v>589</v>
      </c>
      <c r="E2883" s="3" t="s">
        <v>7620</v>
      </c>
      <c r="F2883" s="3" t="s">
        <v>7608</v>
      </c>
      <c r="G2883" s="3" t="s">
        <v>7625</v>
      </c>
    </row>
    <row r="2884" spans="1:7">
      <c r="A2884" s="2">
        <v>103</v>
      </c>
      <c r="B2884" s="2" t="s">
        <v>384</v>
      </c>
      <c r="C2884" s="2">
        <v>159</v>
      </c>
      <c r="D2884" s="2" t="s">
        <v>598</v>
      </c>
      <c r="E2884" s="2" t="s">
        <v>7620</v>
      </c>
      <c r="F2884" s="2" t="s">
        <v>7608</v>
      </c>
      <c r="G2884" s="2" t="s">
        <v>7625</v>
      </c>
    </row>
    <row r="2885" spans="1:7">
      <c r="A2885" s="3">
        <v>103</v>
      </c>
      <c r="B2885" s="3" t="s">
        <v>384</v>
      </c>
      <c r="C2885" s="3">
        <v>160</v>
      </c>
      <c r="D2885" s="3" t="s">
        <v>425</v>
      </c>
      <c r="E2885" s="3" t="s">
        <v>7620</v>
      </c>
      <c r="F2885" s="3" t="s">
        <v>7650</v>
      </c>
      <c r="G2885" s="3" t="s">
        <v>7621</v>
      </c>
    </row>
    <row r="2886" spans="1:7">
      <c r="A2886" s="2">
        <v>103</v>
      </c>
      <c r="B2886" s="2" t="s">
        <v>384</v>
      </c>
      <c r="C2886" s="2">
        <v>165</v>
      </c>
      <c r="D2886" s="2" t="s">
        <v>568</v>
      </c>
      <c r="E2886" s="2" t="s">
        <v>7620</v>
      </c>
      <c r="F2886" s="2" t="s">
        <v>7650</v>
      </c>
      <c r="G2886" s="2" t="s">
        <v>7625</v>
      </c>
    </row>
    <row r="2887" spans="1:7">
      <c r="A2887" s="3">
        <v>103</v>
      </c>
      <c r="B2887" s="3" t="s">
        <v>384</v>
      </c>
      <c r="C2887" s="3">
        <v>181</v>
      </c>
      <c r="D2887" s="3" t="s">
        <v>653</v>
      </c>
      <c r="E2887" s="3" t="s">
        <v>7635</v>
      </c>
      <c r="F2887" s="3" t="s">
        <v>7650</v>
      </c>
      <c r="G2887" s="3" t="s">
        <v>7625</v>
      </c>
    </row>
    <row r="2888" spans="1:7">
      <c r="A2888" s="2">
        <v>103</v>
      </c>
      <c r="B2888" s="2" t="s">
        <v>384</v>
      </c>
      <c r="C2888" s="2">
        <v>184</v>
      </c>
      <c r="D2888" s="2" t="s">
        <v>662</v>
      </c>
      <c r="E2888" s="2" t="s">
        <v>7620</v>
      </c>
      <c r="F2888" s="2" t="s">
        <v>7650</v>
      </c>
      <c r="G2888" s="2" t="s">
        <v>7622</v>
      </c>
    </row>
    <row r="2889" spans="1:7">
      <c r="A2889" s="3">
        <v>103</v>
      </c>
      <c r="B2889" s="3" t="s">
        <v>384</v>
      </c>
      <c r="C2889" s="3">
        <v>191</v>
      </c>
      <c r="D2889" s="3" t="s">
        <v>719</v>
      </c>
      <c r="E2889" s="3" t="s">
        <v>7694</v>
      </c>
      <c r="F2889" s="3" t="s">
        <v>7650</v>
      </c>
      <c r="G2889" s="3" t="s">
        <v>7609</v>
      </c>
    </row>
    <row r="2890" spans="1:7">
      <c r="A2890" s="2">
        <v>103</v>
      </c>
      <c r="B2890" s="2" t="s">
        <v>384</v>
      </c>
      <c r="C2890" s="2">
        <v>192</v>
      </c>
      <c r="D2890" s="2" t="s">
        <v>727</v>
      </c>
      <c r="E2890" s="2" t="s">
        <v>7742</v>
      </c>
      <c r="F2890" s="2" t="s">
        <v>7650</v>
      </c>
      <c r="G2890" s="2" t="s">
        <v>7609</v>
      </c>
    </row>
    <row r="2891" spans="1:7">
      <c r="A2891" s="3">
        <v>103</v>
      </c>
      <c r="B2891" s="3" t="s">
        <v>384</v>
      </c>
      <c r="C2891" s="3">
        <v>195</v>
      </c>
      <c r="D2891" s="3" t="s">
        <v>734</v>
      </c>
      <c r="E2891" s="3" t="s">
        <v>7694</v>
      </c>
      <c r="F2891" s="3" t="s">
        <v>7650</v>
      </c>
      <c r="G2891" s="3" t="s">
        <v>7617</v>
      </c>
    </row>
    <row r="2892" spans="1:7">
      <c r="A2892" s="2">
        <v>103</v>
      </c>
      <c r="B2892" s="2" t="s">
        <v>384</v>
      </c>
      <c r="C2892" s="2">
        <v>196</v>
      </c>
      <c r="D2892" s="2" t="s">
        <v>736</v>
      </c>
      <c r="E2892" s="2" t="s">
        <v>7635</v>
      </c>
      <c r="F2892" s="2" t="s">
        <v>7650</v>
      </c>
      <c r="G2892" s="2" t="s">
        <v>7625</v>
      </c>
    </row>
    <row r="2893" spans="1:7">
      <c r="A2893" s="3">
        <v>103</v>
      </c>
      <c r="B2893" s="3" t="s">
        <v>384</v>
      </c>
      <c r="C2893" s="3">
        <v>197</v>
      </c>
      <c r="D2893" s="3" t="s">
        <v>690</v>
      </c>
      <c r="E2893" s="3" t="s">
        <v>7635</v>
      </c>
      <c r="F2893" s="3" t="s">
        <v>7650</v>
      </c>
      <c r="G2893" s="3" t="s">
        <v>7625</v>
      </c>
    </row>
    <row r="2894" spans="1:7">
      <c r="A2894" s="2">
        <v>103</v>
      </c>
      <c r="B2894" s="2" t="s">
        <v>384</v>
      </c>
      <c r="C2894" s="2">
        <v>198</v>
      </c>
      <c r="D2894" s="2" t="s">
        <v>698</v>
      </c>
      <c r="E2894" s="2" t="s">
        <v>7694</v>
      </c>
      <c r="F2894" s="2" t="s">
        <v>7650</v>
      </c>
      <c r="G2894" s="2" t="s">
        <v>7636</v>
      </c>
    </row>
    <row r="2895" spans="1:7">
      <c r="A2895" s="3">
        <v>103</v>
      </c>
      <c r="B2895" s="3" t="s">
        <v>384</v>
      </c>
      <c r="C2895" s="3">
        <v>199</v>
      </c>
      <c r="D2895" s="3" t="s">
        <v>702</v>
      </c>
      <c r="E2895" s="3" t="s">
        <v>7694</v>
      </c>
      <c r="F2895" s="3" t="s">
        <v>7650</v>
      </c>
      <c r="G2895" s="3" t="s">
        <v>7609</v>
      </c>
    </row>
    <row r="2896" spans="1:7">
      <c r="A2896" s="2">
        <v>103</v>
      </c>
      <c r="B2896" s="2" t="s">
        <v>384</v>
      </c>
      <c r="C2896" s="2">
        <v>200</v>
      </c>
      <c r="D2896" s="2" t="s">
        <v>707</v>
      </c>
      <c r="E2896" s="2" t="s">
        <v>7694</v>
      </c>
      <c r="F2896" s="2" t="s">
        <v>7650</v>
      </c>
      <c r="G2896" s="2" t="s">
        <v>7636</v>
      </c>
    </row>
    <row r="2897" spans="1:7">
      <c r="A2897" s="3">
        <v>103</v>
      </c>
      <c r="B2897" s="3" t="s">
        <v>384</v>
      </c>
      <c r="C2897" s="3">
        <v>201</v>
      </c>
      <c r="D2897" s="3" t="s">
        <v>695</v>
      </c>
      <c r="E2897" s="3" t="s">
        <v>7635</v>
      </c>
      <c r="F2897" s="3" t="s">
        <v>7650</v>
      </c>
      <c r="G2897" s="3" t="s">
        <v>7625</v>
      </c>
    </row>
    <row r="2898" spans="1:7">
      <c r="A2898" s="2">
        <v>103</v>
      </c>
      <c r="B2898" s="2" t="s">
        <v>384</v>
      </c>
      <c r="C2898" s="2">
        <v>202</v>
      </c>
      <c r="D2898" s="2" t="s">
        <v>712</v>
      </c>
      <c r="E2898" s="2" t="s">
        <v>7635</v>
      </c>
      <c r="F2898" s="2" t="s">
        <v>7650</v>
      </c>
      <c r="G2898" s="2" t="s">
        <v>7625</v>
      </c>
    </row>
    <row r="2899" spans="1:7">
      <c r="A2899" s="3">
        <v>103</v>
      </c>
      <c r="B2899" s="3" t="s">
        <v>384</v>
      </c>
      <c r="C2899" s="3">
        <v>203</v>
      </c>
      <c r="D2899" s="3" t="s">
        <v>681</v>
      </c>
      <c r="E2899" s="3" t="s">
        <v>7635</v>
      </c>
      <c r="F2899" s="3" t="s">
        <v>7650</v>
      </c>
      <c r="G2899" s="3" t="s">
        <v>7625</v>
      </c>
    </row>
    <row r="2900" spans="1:7">
      <c r="A2900" s="2">
        <v>103</v>
      </c>
      <c r="B2900" s="2" t="s">
        <v>384</v>
      </c>
      <c r="C2900" s="2">
        <v>204</v>
      </c>
      <c r="D2900" s="2" t="s">
        <v>685</v>
      </c>
      <c r="E2900" s="2" t="s">
        <v>7635</v>
      </c>
      <c r="F2900" s="2" t="s">
        <v>7650</v>
      </c>
      <c r="G2900" s="2" t="s">
        <v>7625</v>
      </c>
    </row>
    <row r="2901" spans="1:7">
      <c r="A2901" s="3">
        <v>103</v>
      </c>
      <c r="B2901" s="3" t="s">
        <v>384</v>
      </c>
      <c r="C2901" s="3">
        <v>205</v>
      </c>
      <c r="D2901" s="3" t="s">
        <v>746</v>
      </c>
      <c r="E2901" s="3" t="s">
        <v>7694</v>
      </c>
      <c r="F2901" s="3" t="s">
        <v>7608</v>
      </c>
      <c r="G2901" s="3" t="s">
        <v>7633</v>
      </c>
    </row>
    <row r="2902" spans="1:7">
      <c r="A2902" s="2">
        <v>103</v>
      </c>
      <c r="B2902" s="2" t="s">
        <v>384</v>
      </c>
      <c r="C2902" s="2">
        <v>207</v>
      </c>
      <c r="D2902" s="2" t="s">
        <v>749</v>
      </c>
      <c r="E2902" s="2" t="s">
        <v>7694</v>
      </c>
      <c r="F2902" s="2" t="s">
        <v>7608</v>
      </c>
      <c r="G2902" s="2" t="s">
        <v>7633</v>
      </c>
    </row>
    <row r="2903" spans="1:7">
      <c r="A2903" s="3">
        <v>103</v>
      </c>
      <c r="B2903" s="3" t="s">
        <v>384</v>
      </c>
      <c r="C2903" s="3">
        <v>208</v>
      </c>
      <c r="D2903" s="3" t="s">
        <v>754</v>
      </c>
      <c r="E2903" s="3" t="s">
        <v>7694</v>
      </c>
      <c r="F2903" s="3" t="s">
        <v>7608</v>
      </c>
      <c r="G2903" s="3" t="s">
        <v>7622</v>
      </c>
    </row>
    <row r="2904" spans="1:7">
      <c r="A2904" s="2">
        <v>103</v>
      </c>
      <c r="B2904" s="2" t="s">
        <v>384</v>
      </c>
      <c r="C2904" s="2">
        <v>209</v>
      </c>
      <c r="D2904" s="2" t="s">
        <v>758</v>
      </c>
      <c r="E2904" s="2" t="s">
        <v>7620</v>
      </c>
      <c r="F2904" s="2" t="s">
        <v>7650</v>
      </c>
      <c r="G2904" s="2" t="s">
        <v>7621</v>
      </c>
    </row>
    <row r="2905" spans="1:7">
      <c r="A2905" s="3">
        <v>103</v>
      </c>
      <c r="B2905" s="3" t="s">
        <v>384</v>
      </c>
      <c r="C2905" s="3">
        <v>215</v>
      </c>
      <c r="D2905" s="3" t="s">
        <v>844</v>
      </c>
      <c r="E2905" s="3" t="s">
        <v>7620</v>
      </c>
      <c r="F2905" s="3" t="s">
        <v>7650</v>
      </c>
      <c r="G2905" s="3" t="s">
        <v>7621</v>
      </c>
    </row>
    <row r="2906" spans="1:7">
      <c r="A2906" s="2">
        <v>103</v>
      </c>
      <c r="B2906" s="2" t="s">
        <v>384</v>
      </c>
      <c r="C2906" s="2">
        <v>217</v>
      </c>
      <c r="D2906" s="2" t="s">
        <v>795</v>
      </c>
      <c r="E2906" s="2" t="s">
        <v>7620</v>
      </c>
      <c r="F2906" s="2" t="s">
        <v>7650</v>
      </c>
      <c r="G2906" s="2" t="s">
        <v>7625</v>
      </c>
    </row>
    <row r="2907" spans="1:7">
      <c r="A2907" s="3">
        <v>103</v>
      </c>
      <c r="B2907" s="3" t="s">
        <v>384</v>
      </c>
      <c r="C2907" s="3">
        <v>219</v>
      </c>
      <c r="D2907" s="3" t="s">
        <v>822</v>
      </c>
      <c r="E2907" s="3" t="s">
        <v>7620</v>
      </c>
      <c r="F2907" s="3" t="s">
        <v>7650</v>
      </c>
      <c r="G2907" s="3" t="s">
        <v>7622</v>
      </c>
    </row>
    <row r="2908" spans="1:7">
      <c r="A2908" s="2">
        <v>103</v>
      </c>
      <c r="B2908" s="2" t="s">
        <v>384</v>
      </c>
      <c r="C2908" s="2">
        <v>220</v>
      </c>
      <c r="D2908" s="2" t="s">
        <v>810</v>
      </c>
      <c r="E2908" s="2" t="s">
        <v>7620</v>
      </c>
      <c r="F2908" s="2" t="s">
        <v>7650</v>
      </c>
      <c r="G2908" s="2" t="s">
        <v>7622</v>
      </c>
    </row>
    <row r="2909" spans="1:7">
      <c r="A2909" s="3">
        <v>103</v>
      </c>
      <c r="B2909" s="3" t="s">
        <v>384</v>
      </c>
      <c r="C2909" s="3">
        <v>221</v>
      </c>
      <c r="D2909" s="3" t="s">
        <v>813</v>
      </c>
      <c r="E2909" s="3" t="s">
        <v>7620</v>
      </c>
      <c r="F2909" s="3" t="s">
        <v>7650</v>
      </c>
      <c r="G2909" s="3" t="s">
        <v>7625</v>
      </c>
    </row>
    <row r="2910" spans="1:7">
      <c r="A2910" s="2">
        <v>103</v>
      </c>
      <c r="B2910" s="2" t="s">
        <v>384</v>
      </c>
      <c r="C2910" s="2">
        <v>230</v>
      </c>
      <c r="D2910" s="2" t="s">
        <v>920</v>
      </c>
      <c r="E2910" s="2" t="s">
        <v>7620</v>
      </c>
      <c r="F2910" s="2" t="s">
        <v>7650</v>
      </c>
      <c r="G2910" s="2" t="s">
        <v>7622</v>
      </c>
    </row>
    <row r="2911" spans="1:7">
      <c r="A2911" s="3">
        <v>103</v>
      </c>
      <c r="B2911" s="3" t="s">
        <v>384</v>
      </c>
      <c r="C2911" s="3">
        <v>231</v>
      </c>
      <c r="D2911" s="3" t="s">
        <v>923</v>
      </c>
      <c r="E2911" s="3" t="s">
        <v>7620</v>
      </c>
      <c r="F2911" s="3" t="s">
        <v>7608</v>
      </c>
      <c r="G2911" s="3" t="s">
        <v>7625</v>
      </c>
    </row>
    <row r="2912" spans="1:7">
      <c r="A2912" s="2">
        <v>103</v>
      </c>
      <c r="B2912" s="2" t="s">
        <v>384</v>
      </c>
      <c r="C2912" s="2">
        <v>232</v>
      </c>
      <c r="D2912" s="2" t="s">
        <v>933</v>
      </c>
      <c r="E2912" s="2" t="s">
        <v>7620</v>
      </c>
      <c r="F2912" s="2" t="s">
        <v>7608</v>
      </c>
      <c r="G2912" s="2" t="s">
        <v>7625</v>
      </c>
    </row>
    <row r="2913" spans="1:7">
      <c r="A2913" s="3">
        <v>103</v>
      </c>
      <c r="B2913" s="3" t="s">
        <v>384</v>
      </c>
      <c r="C2913" s="3">
        <v>235</v>
      </c>
      <c r="D2913" s="3" t="s">
        <v>896</v>
      </c>
      <c r="E2913" s="3" t="s">
        <v>7620</v>
      </c>
      <c r="F2913" s="3" t="s">
        <v>7608</v>
      </c>
      <c r="G2913" s="3" t="s">
        <v>7625</v>
      </c>
    </row>
    <row r="2914" spans="1:7">
      <c r="A2914" s="2">
        <v>103</v>
      </c>
      <c r="B2914" s="2" t="s">
        <v>384</v>
      </c>
      <c r="C2914" s="2">
        <v>236</v>
      </c>
      <c r="D2914" s="2" t="s">
        <v>928</v>
      </c>
      <c r="E2914" s="2" t="s">
        <v>7620</v>
      </c>
      <c r="F2914" s="2" t="s">
        <v>7608</v>
      </c>
      <c r="G2914" s="2" t="s">
        <v>7625</v>
      </c>
    </row>
    <row r="2915" spans="1:7">
      <c r="A2915" s="3">
        <v>103</v>
      </c>
      <c r="B2915" s="3" t="s">
        <v>384</v>
      </c>
      <c r="C2915" s="3">
        <v>237</v>
      </c>
      <c r="D2915" s="3" t="s">
        <v>944</v>
      </c>
      <c r="E2915" s="3" t="s">
        <v>7620</v>
      </c>
      <c r="F2915" s="3" t="s">
        <v>7608</v>
      </c>
      <c r="G2915" s="3" t="s">
        <v>7625</v>
      </c>
    </row>
    <row r="2916" spans="1:7">
      <c r="A2916" s="2">
        <v>103</v>
      </c>
      <c r="B2916" s="2" t="s">
        <v>384</v>
      </c>
      <c r="C2916" s="2">
        <v>238</v>
      </c>
      <c r="D2916" s="2" t="s">
        <v>947</v>
      </c>
      <c r="E2916" s="2" t="s">
        <v>7620</v>
      </c>
      <c r="F2916" s="2" t="s">
        <v>7608</v>
      </c>
      <c r="G2916" s="2" t="s">
        <v>7625</v>
      </c>
    </row>
    <row r="2917" spans="1:7">
      <c r="A2917" s="3">
        <v>103</v>
      </c>
      <c r="B2917" s="3" t="s">
        <v>384</v>
      </c>
      <c r="C2917" s="3">
        <v>239</v>
      </c>
      <c r="D2917" s="3" t="s">
        <v>945</v>
      </c>
      <c r="E2917" s="3" t="s">
        <v>7620</v>
      </c>
      <c r="F2917" s="3" t="s">
        <v>7608</v>
      </c>
      <c r="G2917" s="3" t="s">
        <v>7625</v>
      </c>
    </row>
    <row r="2918" spans="1:7">
      <c r="A2918" s="2">
        <v>103</v>
      </c>
      <c r="B2918" s="2" t="s">
        <v>384</v>
      </c>
      <c r="C2918" s="2">
        <v>240</v>
      </c>
      <c r="D2918" s="2" t="s">
        <v>946</v>
      </c>
      <c r="E2918" s="2" t="s">
        <v>7620</v>
      </c>
      <c r="F2918" s="2" t="s">
        <v>7608</v>
      </c>
      <c r="G2918" s="2" t="s">
        <v>7625</v>
      </c>
    </row>
    <row r="2919" spans="1:7">
      <c r="A2919" s="3">
        <v>103</v>
      </c>
      <c r="B2919" s="3" t="s">
        <v>384</v>
      </c>
      <c r="C2919" s="3">
        <v>241</v>
      </c>
      <c r="D2919" s="3" t="s">
        <v>890</v>
      </c>
      <c r="E2919" s="3" t="s">
        <v>7620</v>
      </c>
      <c r="F2919" s="3" t="s">
        <v>7608</v>
      </c>
      <c r="G2919" s="3" t="s">
        <v>7625</v>
      </c>
    </row>
    <row r="2920" spans="1:7">
      <c r="A2920" s="2">
        <v>103</v>
      </c>
      <c r="B2920" s="2" t="s">
        <v>384</v>
      </c>
      <c r="C2920" s="2">
        <v>243</v>
      </c>
      <c r="D2920" s="2" t="s">
        <v>941</v>
      </c>
      <c r="E2920" s="2" t="s">
        <v>7620</v>
      </c>
      <c r="F2920" s="2" t="s">
        <v>7608</v>
      </c>
      <c r="G2920" s="2" t="s">
        <v>7625</v>
      </c>
    </row>
    <row r="2921" spans="1:7">
      <c r="A2921" s="3">
        <v>103</v>
      </c>
      <c r="B2921" s="3" t="s">
        <v>384</v>
      </c>
      <c r="C2921" s="3">
        <v>244</v>
      </c>
      <c r="D2921" s="3" t="s">
        <v>891</v>
      </c>
      <c r="E2921" s="3" t="s">
        <v>7620</v>
      </c>
      <c r="F2921" s="3" t="s">
        <v>7608</v>
      </c>
      <c r="G2921" s="3" t="s">
        <v>7625</v>
      </c>
    </row>
    <row r="2922" spans="1:7">
      <c r="A2922" s="2">
        <v>103</v>
      </c>
      <c r="B2922" s="2" t="s">
        <v>384</v>
      </c>
      <c r="C2922" s="2">
        <v>245</v>
      </c>
      <c r="D2922" s="2" t="s">
        <v>892</v>
      </c>
      <c r="E2922" s="2" t="s">
        <v>7620</v>
      </c>
      <c r="F2922" s="2" t="s">
        <v>7608</v>
      </c>
      <c r="G2922" s="2" t="s">
        <v>7625</v>
      </c>
    </row>
    <row r="2923" spans="1:7">
      <c r="A2923" s="3">
        <v>103</v>
      </c>
      <c r="B2923" s="3" t="s">
        <v>384</v>
      </c>
      <c r="C2923" s="3">
        <v>250</v>
      </c>
      <c r="D2923" s="3" t="s">
        <v>926</v>
      </c>
      <c r="E2923" s="3" t="s">
        <v>7620</v>
      </c>
      <c r="F2923" s="3" t="s">
        <v>7608</v>
      </c>
      <c r="G2923" s="3" t="s">
        <v>7625</v>
      </c>
    </row>
    <row r="2924" spans="1:7">
      <c r="A2924" s="2">
        <v>103</v>
      </c>
      <c r="B2924" s="2" t="s">
        <v>384</v>
      </c>
      <c r="C2924" s="2">
        <v>254</v>
      </c>
      <c r="D2924" s="2" t="s">
        <v>837</v>
      </c>
      <c r="E2924" s="2" t="s">
        <v>7620</v>
      </c>
      <c r="F2924" s="2" t="s">
        <v>7650</v>
      </c>
      <c r="G2924" s="2" t="s">
        <v>7625</v>
      </c>
    </row>
    <row r="2925" spans="1:7">
      <c r="A2925" s="3">
        <v>103</v>
      </c>
      <c r="B2925" s="3" t="s">
        <v>384</v>
      </c>
      <c r="C2925" s="3">
        <v>257</v>
      </c>
      <c r="D2925" s="3" t="s">
        <v>876</v>
      </c>
      <c r="E2925" s="3" t="s">
        <v>7620</v>
      </c>
      <c r="F2925" s="3" t="s">
        <v>7608</v>
      </c>
      <c r="G2925" s="3" t="s">
        <v>7625</v>
      </c>
    </row>
    <row r="2926" spans="1:7">
      <c r="A2926" s="2">
        <v>103</v>
      </c>
      <c r="B2926" s="2" t="s">
        <v>384</v>
      </c>
      <c r="C2926" s="2">
        <v>264</v>
      </c>
      <c r="D2926" s="2" t="s">
        <v>775</v>
      </c>
      <c r="E2926" s="2" t="s">
        <v>7694</v>
      </c>
      <c r="F2926" s="2" t="s">
        <v>7650</v>
      </c>
      <c r="G2926" s="2" t="s">
        <v>7609</v>
      </c>
    </row>
    <row r="2927" spans="1:7">
      <c r="A2927" s="3">
        <v>103</v>
      </c>
      <c r="B2927" s="3" t="s">
        <v>384</v>
      </c>
      <c r="C2927" s="3">
        <v>266</v>
      </c>
      <c r="D2927" s="3" t="s">
        <v>826</v>
      </c>
      <c r="E2927" s="3" t="s">
        <v>7620</v>
      </c>
      <c r="F2927" s="3" t="s">
        <v>7650</v>
      </c>
      <c r="G2927" s="3" t="s">
        <v>7622</v>
      </c>
    </row>
    <row r="2928" spans="1:7">
      <c r="A2928" s="2">
        <v>103</v>
      </c>
      <c r="B2928" s="2" t="s">
        <v>384</v>
      </c>
      <c r="C2928" s="2">
        <v>267</v>
      </c>
      <c r="D2928" s="2" t="s">
        <v>801</v>
      </c>
      <c r="E2928" s="2" t="s">
        <v>7620</v>
      </c>
      <c r="F2928" s="2" t="s">
        <v>7650</v>
      </c>
      <c r="G2928" s="2" t="s">
        <v>7621</v>
      </c>
    </row>
    <row r="2929" spans="1:7">
      <c r="A2929" s="3">
        <v>103</v>
      </c>
      <c r="B2929" s="3" t="s">
        <v>384</v>
      </c>
      <c r="C2929" s="3">
        <v>269</v>
      </c>
      <c r="D2929" s="3" t="s">
        <v>825</v>
      </c>
      <c r="E2929" s="3" t="s">
        <v>7620</v>
      </c>
      <c r="F2929" s="3" t="s">
        <v>7650</v>
      </c>
      <c r="G2929" s="3" t="s">
        <v>7625</v>
      </c>
    </row>
    <row r="2930" spans="1:7">
      <c r="A2930" s="2">
        <v>103</v>
      </c>
      <c r="B2930" s="2" t="s">
        <v>384</v>
      </c>
      <c r="C2930" s="2">
        <v>270</v>
      </c>
      <c r="D2930" s="2" t="s">
        <v>769</v>
      </c>
      <c r="E2930" s="2" t="s">
        <v>7620</v>
      </c>
      <c r="F2930" s="2" t="s">
        <v>7608</v>
      </c>
      <c r="G2930" s="2" t="s">
        <v>7625</v>
      </c>
    </row>
    <row r="2931" spans="1:7">
      <c r="A2931" s="3">
        <v>103</v>
      </c>
      <c r="B2931" s="3" t="s">
        <v>384</v>
      </c>
      <c r="C2931" s="3">
        <v>272</v>
      </c>
      <c r="D2931" s="3" t="s">
        <v>873</v>
      </c>
      <c r="E2931" s="3" t="s">
        <v>7620</v>
      </c>
      <c r="F2931" s="3" t="s">
        <v>7608</v>
      </c>
      <c r="G2931" s="3" t="s">
        <v>7625</v>
      </c>
    </row>
    <row r="2932" spans="1:7">
      <c r="A2932" s="2">
        <v>103</v>
      </c>
      <c r="B2932" s="2" t="s">
        <v>384</v>
      </c>
      <c r="C2932" s="2">
        <v>273</v>
      </c>
      <c r="D2932" s="2" t="s">
        <v>816</v>
      </c>
      <c r="E2932" s="2" t="s">
        <v>7620</v>
      </c>
      <c r="F2932" s="2" t="s">
        <v>7650</v>
      </c>
      <c r="G2932" s="2" t="s">
        <v>7625</v>
      </c>
    </row>
    <row r="2933" spans="1:7">
      <c r="A2933" s="3">
        <v>103</v>
      </c>
      <c r="B2933" s="3" t="s">
        <v>384</v>
      </c>
      <c r="C2933" s="3">
        <v>275</v>
      </c>
      <c r="D2933" s="3" t="s">
        <v>781</v>
      </c>
      <c r="E2933" s="3" t="s">
        <v>7620</v>
      </c>
      <c r="F2933" s="3" t="s">
        <v>7650</v>
      </c>
      <c r="G2933" s="3" t="s">
        <v>7622</v>
      </c>
    </row>
    <row r="2934" spans="1:7">
      <c r="A2934" s="2">
        <v>103</v>
      </c>
      <c r="B2934" s="2" t="s">
        <v>384</v>
      </c>
      <c r="C2934" s="2">
        <v>277</v>
      </c>
      <c r="D2934" s="2" t="s">
        <v>796</v>
      </c>
      <c r="E2934" s="2" t="s">
        <v>7620</v>
      </c>
      <c r="F2934" s="2" t="s">
        <v>7650</v>
      </c>
      <c r="G2934" s="2" t="s">
        <v>7625</v>
      </c>
    </row>
    <row r="2935" spans="1:7">
      <c r="A2935" s="3">
        <v>103</v>
      </c>
      <c r="B2935" s="3" t="s">
        <v>384</v>
      </c>
      <c r="C2935" s="3">
        <v>281</v>
      </c>
      <c r="D2935" s="3" t="s">
        <v>856</v>
      </c>
      <c r="E2935" s="3" t="s">
        <v>7620</v>
      </c>
      <c r="F2935" s="3" t="s">
        <v>7650</v>
      </c>
      <c r="G2935" s="3" t="s">
        <v>7625</v>
      </c>
    </row>
    <row r="2936" spans="1:7">
      <c r="A2936" s="2">
        <v>103</v>
      </c>
      <c r="B2936" s="2" t="s">
        <v>384</v>
      </c>
      <c r="C2936" s="2">
        <v>282</v>
      </c>
      <c r="D2936" s="2" t="s">
        <v>885</v>
      </c>
      <c r="E2936" s="2" t="s">
        <v>7620</v>
      </c>
      <c r="F2936" s="2" t="s">
        <v>7650</v>
      </c>
      <c r="G2936" s="2" t="s">
        <v>7625</v>
      </c>
    </row>
    <row r="2937" spans="1:7">
      <c r="A2937" s="3">
        <v>103</v>
      </c>
      <c r="B2937" s="3" t="s">
        <v>384</v>
      </c>
      <c r="C2937" s="3">
        <v>284</v>
      </c>
      <c r="D2937" s="3" t="s">
        <v>854</v>
      </c>
      <c r="E2937" s="3" t="s">
        <v>7620</v>
      </c>
      <c r="F2937" s="3" t="s">
        <v>7608</v>
      </c>
      <c r="G2937" s="3" t="s">
        <v>7625</v>
      </c>
    </row>
    <row r="2938" spans="1:7">
      <c r="A2938" s="2">
        <v>103</v>
      </c>
      <c r="B2938" s="2" t="s">
        <v>384</v>
      </c>
      <c r="C2938" s="2">
        <v>286</v>
      </c>
      <c r="D2938" s="2" t="s">
        <v>807</v>
      </c>
      <c r="E2938" s="2" t="s">
        <v>7620</v>
      </c>
      <c r="F2938" s="2" t="s">
        <v>7650</v>
      </c>
      <c r="G2938" s="2" t="s">
        <v>7625</v>
      </c>
    </row>
    <row r="2939" spans="1:7">
      <c r="A2939" s="3">
        <v>103</v>
      </c>
      <c r="B2939" s="3" t="s">
        <v>384</v>
      </c>
      <c r="C2939" s="3">
        <v>289</v>
      </c>
      <c r="D2939" s="3" t="s">
        <v>854</v>
      </c>
      <c r="E2939" s="3" t="s">
        <v>7620</v>
      </c>
      <c r="F2939" s="3" t="s">
        <v>7608</v>
      </c>
      <c r="G2939" s="3" t="s">
        <v>7625</v>
      </c>
    </row>
    <row r="2940" spans="1:7">
      <c r="A2940" s="2">
        <v>103</v>
      </c>
      <c r="B2940" s="2" t="s">
        <v>384</v>
      </c>
      <c r="C2940" s="2">
        <v>291</v>
      </c>
      <c r="D2940" s="2" t="s">
        <v>854</v>
      </c>
      <c r="E2940" s="2" t="s">
        <v>7620</v>
      </c>
      <c r="F2940" s="2" t="s">
        <v>7608</v>
      </c>
      <c r="G2940" s="2" t="s">
        <v>7625</v>
      </c>
    </row>
    <row r="2941" spans="1:7">
      <c r="A2941" s="3">
        <v>103</v>
      </c>
      <c r="B2941" s="3" t="s">
        <v>384</v>
      </c>
      <c r="C2941" s="3">
        <v>294</v>
      </c>
      <c r="D2941" s="3" t="s">
        <v>854</v>
      </c>
      <c r="E2941" s="3" t="s">
        <v>7620</v>
      </c>
      <c r="F2941" s="3" t="s">
        <v>7608</v>
      </c>
      <c r="G2941" s="3" t="s">
        <v>7625</v>
      </c>
    </row>
    <row r="2942" spans="1:7">
      <c r="A2942" s="2">
        <v>103</v>
      </c>
      <c r="B2942" s="2" t="s">
        <v>384</v>
      </c>
      <c r="C2942" s="2">
        <v>300</v>
      </c>
      <c r="D2942" s="2" t="s">
        <v>854</v>
      </c>
      <c r="E2942" s="2" t="s">
        <v>7620</v>
      </c>
      <c r="F2942" s="2" t="s">
        <v>7608</v>
      </c>
      <c r="G2942" s="2" t="s">
        <v>7625</v>
      </c>
    </row>
    <row r="2943" spans="1:7">
      <c r="A2943" s="3">
        <v>103</v>
      </c>
      <c r="B2943" s="3" t="s">
        <v>384</v>
      </c>
      <c r="C2943" s="3">
        <v>301</v>
      </c>
      <c r="D2943" s="3" t="s">
        <v>850</v>
      </c>
      <c r="E2943" s="3" t="s">
        <v>7620</v>
      </c>
      <c r="F2943" s="3" t="s">
        <v>7650</v>
      </c>
      <c r="G2943" s="3" t="s">
        <v>7625</v>
      </c>
    </row>
    <row r="2944" spans="1:7">
      <c r="A2944" s="2">
        <v>103</v>
      </c>
      <c r="B2944" s="2" t="s">
        <v>384</v>
      </c>
      <c r="C2944" s="2">
        <v>302</v>
      </c>
      <c r="D2944" s="2" t="s">
        <v>916</v>
      </c>
      <c r="E2944" s="2" t="s">
        <v>7620</v>
      </c>
      <c r="F2944" s="2" t="s">
        <v>7608</v>
      </c>
      <c r="G2944" s="2" t="s">
        <v>7625</v>
      </c>
    </row>
    <row r="2945" spans="1:7">
      <c r="A2945" s="3">
        <v>103</v>
      </c>
      <c r="B2945" s="3" t="s">
        <v>384</v>
      </c>
      <c r="C2945" s="3">
        <v>306</v>
      </c>
      <c r="D2945" s="3" t="s">
        <v>854</v>
      </c>
      <c r="E2945" s="3" t="s">
        <v>7620</v>
      </c>
      <c r="F2945" s="3" t="s">
        <v>7608</v>
      </c>
      <c r="G2945" s="3" t="s">
        <v>7625</v>
      </c>
    </row>
    <row r="2946" spans="1:7">
      <c r="A2946" s="2">
        <v>103</v>
      </c>
      <c r="B2946" s="2" t="s">
        <v>384</v>
      </c>
      <c r="C2946" s="2">
        <v>309</v>
      </c>
      <c r="D2946" s="2" t="s">
        <v>854</v>
      </c>
      <c r="E2946" s="2" t="s">
        <v>7620</v>
      </c>
      <c r="F2946" s="2" t="s">
        <v>7608</v>
      </c>
      <c r="G2946" s="2" t="s">
        <v>7625</v>
      </c>
    </row>
    <row r="2947" spans="1:7">
      <c r="A2947" s="3">
        <v>103</v>
      </c>
      <c r="B2947" s="3" t="s">
        <v>384</v>
      </c>
      <c r="C2947" s="3">
        <v>312</v>
      </c>
      <c r="D2947" s="3" t="s">
        <v>949</v>
      </c>
      <c r="E2947" s="3" t="s">
        <v>7635</v>
      </c>
      <c r="F2947" s="3" t="s">
        <v>7650</v>
      </c>
      <c r="G2947" s="3" t="s">
        <v>7625</v>
      </c>
    </row>
    <row r="2948" spans="1:7">
      <c r="A2948" s="2">
        <v>103</v>
      </c>
      <c r="B2948" s="2" t="s">
        <v>384</v>
      </c>
      <c r="C2948" s="2">
        <v>314</v>
      </c>
      <c r="D2948" s="2" t="s">
        <v>1050</v>
      </c>
      <c r="E2948" s="2" t="s">
        <v>7635</v>
      </c>
      <c r="F2948" s="2" t="s">
        <v>7650</v>
      </c>
      <c r="G2948" s="2" t="s">
        <v>7625</v>
      </c>
    </row>
    <row r="2949" spans="1:7">
      <c r="A2949" s="3">
        <v>103</v>
      </c>
      <c r="B2949" s="3" t="s">
        <v>384</v>
      </c>
      <c r="C2949" s="3">
        <v>315</v>
      </c>
      <c r="D2949" s="3" t="s">
        <v>1046</v>
      </c>
      <c r="E2949" s="3" t="s">
        <v>7726</v>
      </c>
      <c r="F2949" s="3" t="s">
        <v>7650</v>
      </c>
      <c r="G2949" s="3" t="s">
        <v>7625</v>
      </c>
    </row>
    <row r="2950" spans="1:7">
      <c r="A2950" s="2">
        <v>103</v>
      </c>
      <c r="B2950" s="2" t="s">
        <v>384</v>
      </c>
      <c r="C2950" s="2">
        <v>316</v>
      </c>
      <c r="D2950" s="2" t="s">
        <v>1028</v>
      </c>
      <c r="E2950" s="2" t="s">
        <v>7620</v>
      </c>
      <c r="F2950" s="2" t="s">
        <v>7650</v>
      </c>
      <c r="G2950" s="2" t="s">
        <v>7625</v>
      </c>
    </row>
    <row r="2951" spans="1:7">
      <c r="A2951" s="3">
        <v>103</v>
      </c>
      <c r="B2951" s="3" t="s">
        <v>384</v>
      </c>
      <c r="C2951" s="3">
        <v>320</v>
      </c>
      <c r="D2951" s="3" t="s">
        <v>1039</v>
      </c>
      <c r="E2951" s="3" t="s">
        <v>7635</v>
      </c>
      <c r="F2951" s="3" t="s">
        <v>7650</v>
      </c>
      <c r="G2951" s="3" t="s">
        <v>7625</v>
      </c>
    </row>
    <row r="2952" spans="1:7">
      <c r="A2952" s="2">
        <v>103</v>
      </c>
      <c r="B2952" s="2" t="s">
        <v>384</v>
      </c>
      <c r="C2952" s="2">
        <v>321</v>
      </c>
      <c r="D2952" s="2" t="s">
        <v>1048</v>
      </c>
      <c r="E2952" s="2" t="s">
        <v>7620</v>
      </c>
      <c r="F2952" s="2" t="s">
        <v>7650</v>
      </c>
      <c r="G2952" s="2" t="s">
        <v>7625</v>
      </c>
    </row>
    <row r="2953" spans="1:7">
      <c r="A2953" s="3">
        <v>103</v>
      </c>
      <c r="B2953" s="3" t="s">
        <v>384</v>
      </c>
      <c r="C2953" s="3">
        <v>322</v>
      </c>
      <c r="D2953" s="3" t="s">
        <v>1012</v>
      </c>
      <c r="E2953" s="3" t="s">
        <v>7635</v>
      </c>
      <c r="F2953" s="3" t="s">
        <v>7650</v>
      </c>
      <c r="G2953" s="3" t="s">
        <v>7625</v>
      </c>
    </row>
    <row r="2954" spans="1:7">
      <c r="A2954" s="2">
        <v>103</v>
      </c>
      <c r="B2954" s="2" t="s">
        <v>384</v>
      </c>
      <c r="C2954" s="2">
        <v>323</v>
      </c>
      <c r="D2954" s="2" t="s">
        <v>1016</v>
      </c>
      <c r="E2954" s="2" t="s">
        <v>7620</v>
      </c>
      <c r="F2954" s="2" t="s">
        <v>7650</v>
      </c>
      <c r="G2954" s="2" t="s">
        <v>7621</v>
      </c>
    </row>
    <row r="2955" spans="1:7">
      <c r="A2955" s="3">
        <v>103</v>
      </c>
      <c r="B2955" s="3" t="s">
        <v>384</v>
      </c>
      <c r="C2955" s="3">
        <v>328</v>
      </c>
      <c r="D2955" s="3" t="s">
        <v>1026</v>
      </c>
      <c r="E2955" s="3" t="s">
        <v>7620</v>
      </c>
      <c r="F2955" s="3" t="s">
        <v>7650</v>
      </c>
      <c r="G2955" s="3" t="s">
        <v>7621</v>
      </c>
    </row>
    <row r="2956" spans="1:7">
      <c r="A2956" s="2">
        <v>103</v>
      </c>
      <c r="B2956" s="2" t="s">
        <v>384</v>
      </c>
      <c r="C2956" s="2">
        <v>329</v>
      </c>
      <c r="D2956" s="2" t="s">
        <v>965</v>
      </c>
      <c r="E2956" s="2" t="s">
        <v>7725</v>
      </c>
      <c r="F2956" s="2" t="s">
        <v>7650</v>
      </c>
      <c r="G2956" s="2" t="s">
        <v>7636</v>
      </c>
    </row>
    <row r="2957" spans="1:7">
      <c r="A2957" s="3">
        <v>103</v>
      </c>
      <c r="B2957" s="3" t="s">
        <v>384</v>
      </c>
      <c r="C2957" s="3">
        <v>330</v>
      </c>
      <c r="D2957" s="3" t="s">
        <v>974</v>
      </c>
      <c r="E2957" s="3" t="s">
        <v>7620</v>
      </c>
      <c r="F2957" s="3" t="s">
        <v>7650</v>
      </c>
      <c r="G2957" s="3" t="s">
        <v>7621</v>
      </c>
    </row>
    <row r="2958" spans="1:7">
      <c r="A2958" s="2">
        <v>103</v>
      </c>
      <c r="B2958" s="2" t="s">
        <v>384</v>
      </c>
      <c r="C2958" s="2">
        <v>333</v>
      </c>
      <c r="D2958" s="2" t="s">
        <v>989</v>
      </c>
      <c r="E2958" s="2" t="s">
        <v>7620</v>
      </c>
      <c r="F2958" s="2" t="s">
        <v>7650</v>
      </c>
      <c r="G2958" s="2" t="s">
        <v>7622</v>
      </c>
    </row>
    <row r="2959" spans="1:7">
      <c r="A2959" s="3">
        <v>103</v>
      </c>
      <c r="B2959" s="3" t="s">
        <v>384</v>
      </c>
      <c r="C2959" s="3">
        <v>334</v>
      </c>
      <c r="D2959" s="3" t="s">
        <v>970</v>
      </c>
      <c r="E2959" s="3" t="s">
        <v>7620</v>
      </c>
      <c r="F2959" s="3" t="s">
        <v>7650</v>
      </c>
      <c r="G2959" s="3" t="s">
        <v>7621</v>
      </c>
    </row>
    <row r="2960" spans="1:7">
      <c r="A2960" s="2">
        <v>103</v>
      </c>
      <c r="B2960" s="2" t="s">
        <v>384</v>
      </c>
      <c r="C2960" s="2">
        <v>337</v>
      </c>
      <c r="D2960" s="2" t="s">
        <v>1042</v>
      </c>
      <c r="E2960" s="2" t="s">
        <v>7620</v>
      </c>
      <c r="F2960" s="2" t="s">
        <v>7650</v>
      </c>
      <c r="G2960" s="2" t="s">
        <v>7625</v>
      </c>
    </row>
    <row r="2961" spans="1:7">
      <c r="A2961" s="3">
        <v>103</v>
      </c>
      <c r="B2961" s="3" t="s">
        <v>384</v>
      </c>
      <c r="C2961" s="3">
        <v>338</v>
      </c>
      <c r="D2961" s="3" t="s">
        <v>996</v>
      </c>
      <c r="E2961" s="3" t="s">
        <v>7620</v>
      </c>
      <c r="F2961" s="3" t="s">
        <v>7650</v>
      </c>
      <c r="G2961" s="3" t="s">
        <v>7621</v>
      </c>
    </row>
    <row r="2962" spans="1:7">
      <c r="A2962" s="2">
        <v>103</v>
      </c>
      <c r="B2962" s="2" t="s">
        <v>384</v>
      </c>
      <c r="C2962" s="2">
        <v>340</v>
      </c>
      <c r="D2962" s="2" t="s">
        <v>1000</v>
      </c>
      <c r="E2962" s="2" t="s">
        <v>7620</v>
      </c>
      <c r="F2962" s="2" t="s">
        <v>7650</v>
      </c>
      <c r="G2962" s="2" t="s">
        <v>7622</v>
      </c>
    </row>
    <row r="2963" spans="1:7">
      <c r="A2963" s="3">
        <v>103</v>
      </c>
      <c r="B2963" s="3" t="s">
        <v>384</v>
      </c>
      <c r="C2963" s="3">
        <v>341</v>
      </c>
      <c r="D2963" s="3" t="s">
        <v>1052</v>
      </c>
      <c r="E2963" s="3" t="s">
        <v>7620</v>
      </c>
      <c r="F2963" s="3" t="s">
        <v>7650</v>
      </c>
      <c r="G2963" s="3" t="s">
        <v>7625</v>
      </c>
    </row>
    <row r="2964" spans="1:7">
      <c r="A2964" s="2">
        <v>103</v>
      </c>
      <c r="B2964" s="2" t="s">
        <v>384</v>
      </c>
      <c r="C2964" s="2">
        <v>342</v>
      </c>
      <c r="D2964" s="2" t="s">
        <v>854</v>
      </c>
      <c r="E2964" s="2" t="s">
        <v>7620</v>
      </c>
      <c r="F2964" s="2" t="s">
        <v>7608</v>
      </c>
      <c r="G2964" s="2" t="s">
        <v>7625</v>
      </c>
    </row>
    <row r="2965" spans="1:7">
      <c r="A2965" s="3">
        <v>103</v>
      </c>
      <c r="B2965" s="3" t="s">
        <v>384</v>
      </c>
      <c r="C2965" s="3">
        <v>343</v>
      </c>
      <c r="D2965" s="3" t="s">
        <v>977</v>
      </c>
      <c r="E2965" s="3" t="s">
        <v>7694</v>
      </c>
      <c r="F2965" s="3" t="s">
        <v>7650</v>
      </c>
      <c r="G2965" s="3" t="s">
        <v>7609</v>
      </c>
    </row>
    <row r="2966" spans="1:7">
      <c r="A2966" s="2">
        <v>104</v>
      </c>
      <c r="B2966" s="2" t="s">
        <v>493</v>
      </c>
      <c r="C2966" s="2">
        <v>191</v>
      </c>
      <c r="D2966" s="2" t="s">
        <v>719</v>
      </c>
      <c r="E2966" s="2" t="s">
        <v>7620</v>
      </c>
      <c r="F2966" s="2" t="s">
        <v>7649</v>
      </c>
      <c r="G2966" s="2" t="s">
        <v>7617</v>
      </c>
    </row>
    <row r="2967" spans="1:7">
      <c r="A2967" s="3">
        <v>104</v>
      </c>
      <c r="B2967" s="3" t="s">
        <v>493</v>
      </c>
      <c r="C2967" s="3">
        <v>195</v>
      </c>
      <c r="D2967" s="3" t="s">
        <v>734</v>
      </c>
      <c r="E2967" s="3" t="s">
        <v>7620</v>
      </c>
      <c r="F2967" s="3" t="s">
        <v>7649</v>
      </c>
      <c r="G2967" s="3" t="s">
        <v>7609</v>
      </c>
    </row>
    <row r="2968" spans="1:7">
      <c r="A2968" s="2">
        <v>104</v>
      </c>
      <c r="B2968" s="2" t="s">
        <v>493</v>
      </c>
      <c r="C2968" s="2">
        <v>198</v>
      </c>
      <c r="D2968" s="2" t="s">
        <v>698</v>
      </c>
      <c r="E2968" s="2" t="s">
        <v>7620</v>
      </c>
      <c r="F2968" s="2" t="s">
        <v>7649</v>
      </c>
      <c r="G2968" s="2" t="s">
        <v>7633</v>
      </c>
    </row>
    <row r="2969" spans="1:7">
      <c r="A2969" s="3">
        <v>104</v>
      </c>
      <c r="B2969" s="3" t="s">
        <v>493</v>
      </c>
      <c r="C2969" s="3">
        <v>199</v>
      </c>
      <c r="D2969" s="3" t="s">
        <v>702</v>
      </c>
      <c r="E2969" s="3" t="s">
        <v>7654</v>
      </c>
      <c r="F2969" s="3" t="s">
        <v>7649</v>
      </c>
      <c r="G2969" s="3" t="s">
        <v>7639</v>
      </c>
    </row>
    <row r="2970" spans="1:7">
      <c r="A2970" s="2">
        <v>104</v>
      </c>
      <c r="B2970" s="2" t="s">
        <v>493</v>
      </c>
      <c r="C2970" s="2">
        <v>200</v>
      </c>
      <c r="D2970" s="2" t="s">
        <v>707</v>
      </c>
      <c r="E2970" s="2" t="s">
        <v>7654</v>
      </c>
      <c r="F2970" s="2" t="s">
        <v>7649</v>
      </c>
      <c r="G2970" s="2" t="s">
        <v>7619</v>
      </c>
    </row>
    <row r="2971" spans="1:7">
      <c r="A2971" s="3">
        <v>104</v>
      </c>
      <c r="B2971" s="3" t="s">
        <v>493</v>
      </c>
      <c r="C2971" s="3">
        <v>205</v>
      </c>
      <c r="D2971" s="3" t="s">
        <v>746</v>
      </c>
      <c r="E2971" s="3" t="s">
        <v>7620</v>
      </c>
      <c r="F2971" s="3" t="s">
        <v>7611</v>
      </c>
      <c r="G2971" s="3" t="s">
        <v>7621</v>
      </c>
    </row>
    <row r="2972" spans="1:7">
      <c r="A2972" s="2">
        <v>104</v>
      </c>
      <c r="B2972" s="2" t="s">
        <v>493</v>
      </c>
      <c r="C2972" s="2">
        <v>207</v>
      </c>
      <c r="D2972" s="2" t="s">
        <v>749</v>
      </c>
      <c r="E2972" s="2" t="s">
        <v>7620</v>
      </c>
      <c r="F2972" s="2" t="s">
        <v>7611</v>
      </c>
      <c r="G2972" s="2" t="s">
        <v>7622</v>
      </c>
    </row>
    <row r="2973" spans="1:7">
      <c r="A2973" s="3">
        <v>104</v>
      </c>
      <c r="B2973" s="3" t="s">
        <v>493</v>
      </c>
      <c r="C2973" s="3">
        <v>208</v>
      </c>
      <c r="D2973" s="3" t="s">
        <v>754</v>
      </c>
      <c r="E2973" s="3" t="s">
        <v>7620</v>
      </c>
      <c r="F2973" s="3" t="s">
        <v>7611</v>
      </c>
      <c r="G2973" s="3" t="s">
        <v>7622</v>
      </c>
    </row>
    <row r="2974" spans="1:7">
      <c r="A2974" s="2">
        <v>104</v>
      </c>
      <c r="B2974" s="2" t="s">
        <v>493</v>
      </c>
      <c r="C2974" s="2">
        <v>209</v>
      </c>
      <c r="D2974" s="2" t="s">
        <v>758</v>
      </c>
      <c r="E2974" s="2" t="s">
        <v>7620</v>
      </c>
      <c r="F2974" s="2" t="s">
        <v>7650</v>
      </c>
      <c r="G2974" s="2" t="s">
        <v>7622</v>
      </c>
    </row>
    <row r="2975" spans="1:7">
      <c r="A2975" s="3">
        <v>104</v>
      </c>
      <c r="B2975" s="3" t="s">
        <v>493</v>
      </c>
      <c r="C2975" s="3">
        <v>221</v>
      </c>
      <c r="D2975" s="3" t="s">
        <v>813</v>
      </c>
      <c r="E2975" s="3" t="s">
        <v>7620</v>
      </c>
      <c r="F2975" s="3" t="s">
        <v>7649</v>
      </c>
      <c r="G2975" s="3" t="s">
        <v>7633</v>
      </c>
    </row>
    <row r="2976" spans="1:7">
      <c r="A2976" s="2">
        <v>104</v>
      </c>
      <c r="B2976" s="2" t="s">
        <v>493</v>
      </c>
      <c r="C2976" s="2">
        <v>264</v>
      </c>
      <c r="D2976" s="2" t="s">
        <v>775</v>
      </c>
      <c r="E2976" s="2" t="s">
        <v>7620</v>
      </c>
      <c r="F2976" s="2" t="s">
        <v>7649</v>
      </c>
      <c r="G2976" s="2" t="s">
        <v>7609</v>
      </c>
    </row>
    <row r="2977" spans="1:7">
      <c r="A2977" s="3">
        <v>104</v>
      </c>
      <c r="B2977" s="3" t="s">
        <v>493</v>
      </c>
      <c r="C2977" s="3">
        <v>341</v>
      </c>
      <c r="D2977" s="3" t="s">
        <v>1052</v>
      </c>
      <c r="E2977" s="3" t="s">
        <v>7620</v>
      </c>
      <c r="F2977" s="3" t="s">
        <v>7649</v>
      </c>
      <c r="G2977" s="3" t="s">
        <v>7636</v>
      </c>
    </row>
    <row r="2978" spans="1:7">
      <c r="A2978" s="2">
        <v>104</v>
      </c>
      <c r="B2978" s="2" t="s">
        <v>493</v>
      </c>
      <c r="C2978" s="2">
        <v>343</v>
      </c>
      <c r="D2978" s="2" t="s">
        <v>977</v>
      </c>
      <c r="E2978" s="2" t="s">
        <v>7620</v>
      </c>
      <c r="F2978" s="2" t="s">
        <v>7649</v>
      </c>
      <c r="G2978" s="2" t="s">
        <v>7622</v>
      </c>
    </row>
    <row r="2979" spans="1:7">
      <c r="A2979" s="3">
        <v>105</v>
      </c>
      <c r="B2979" s="3" t="s">
        <v>582</v>
      </c>
      <c r="C2979" s="3">
        <v>191</v>
      </c>
      <c r="D2979" s="3" t="s">
        <v>719</v>
      </c>
      <c r="E2979" s="3" t="s">
        <v>7620</v>
      </c>
      <c r="F2979" s="3" t="s">
        <v>7611</v>
      </c>
      <c r="G2979" s="3" t="s">
        <v>7621</v>
      </c>
    </row>
    <row r="2980" spans="1:7">
      <c r="A2980" s="2">
        <v>105</v>
      </c>
      <c r="B2980" s="2" t="s">
        <v>582</v>
      </c>
      <c r="C2980" s="2">
        <v>195</v>
      </c>
      <c r="D2980" s="2" t="s">
        <v>734</v>
      </c>
      <c r="E2980" s="2" t="s">
        <v>7620</v>
      </c>
      <c r="F2980" s="2" t="s">
        <v>7611</v>
      </c>
      <c r="G2980" s="2" t="s">
        <v>7622</v>
      </c>
    </row>
    <row r="2981" spans="1:7">
      <c r="A2981" s="3">
        <v>105</v>
      </c>
      <c r="B2981" s="3" t="s">
        <v>582</v>
      </c>
      <c r="C2981" s="3">
        <v>198</v>
      </c>
      <c r="D2981" s="3" t="s">
        <v>698</v>
      </c>
      <c r="E2981" s="3" t="s">
        <v>7620</v>
      </c>
      <c r="F2981" s="3" t="s">
        <v>7611</v>
      </c>
      <c r="G2981" s="3" t="s">
        <v>7633</v>
      </c>
    </row>
    <row r="2982" spans="1:7">
      <c r="A2982" s="2">
        <v>105</v>
      </c>
      <c r="B2982" s="2" t="s">
        <v>582</v>
      </c>
      <c r="C2982" s="2">
        <v>199</v>
      </c>
      <c r="D2982" s="2" t="s">
        <v>702</v>
      </c>
      <c r="E2982" s="2" t="s">
        <v>7620</v>
      </c>
      <c r="F2982" s="2" t="s">
        <v>7611</v>
      </c>
      <c r="G2982" s="2" t="s">
        <v>7621</v>
      </c>
    </row>
    <row r="2983" spans="1:7">
      <c r="A2983" s="3">
        <v>105</v>
      </c>
      <c r="B2983" s="3" t="s">
        <v>582</v>
      </c>
      <c r="C2983" s="3">
        <v>200</v>
      </c>
      <c r="D2983" s="3" t="s">
        <v>707</v>
      </c>
      <c r="E2983" s="3" t="s">
        <v>7620</v>
      </c>
      <c r="F2983" s="3" t="s">
        <v>7611</v>
      </c>
      <c r="G2983" s="3" t="s">
        <v>7622</v>
      </c>
    </row>
    <row r="2984" spans="1:7">
      <c r="A2984" s="2">
        <v>105</v>
      </c>
      <c r="B2984" s="2" t="s">
        <v>582</v>
      </c>
      <c r="C2984" s="2">
        <v>205</v>
      </c>
      <c r="D2984" s="2" t="s">
        <v>746</v>
      </c>
      <c r="E2984" s="2" t="s">
        <v>7620</v>
      </c>
      <c r="F2984" s="2" t="s">
        <v>7611</v>
      </c>
      <c r="G2984" s="2" t="s">
        <v>7621</v>
      </c>
    </row>
    <row r="2985" spans="1:7">
      <c r="A2985" s="3">
        <v>105</v>
      </c>
      <c r="B2985" s="3" t="s">
        <v>582</v>
      </c>
      <c r="C2985" s="3">
        <v>207</v>
      </c>
      <c r="D2985" s="3" t="s">
        <v>749</v>
      </c>
      <c r="E2985" s="3" t="s">
        <v>7620</v>
      </c>
      <c r="F2985" s="3" t="s">
        <v>7611</v>
      </c>
      <c r="G2985" s="3" t="s">
        <v>7622</v>
      </c>
    </row>
    <row r="2986" spans="1:7">
      <c r="A2986" s="2">
        <v>105</v>
      </c>
      <c r="B2986" s="2" t="s">
        <v>582</v>
      </c>
      <c r="C2986" s="2">
        <v>208</v>
      </c>
      <c r="D2986" s="2" t="s">
        <v>754</v>
      </c>
      <c r="E2986" s="2" t="s">
        <v>7620</v>
      </c>
      <c r="F2986" s="2" t="s">
        <v>7611</v>
      </c>
      <c r="G2986" s="2" t="s">
        <v>7622</v>
      </c>
    </row>
    <row r="2987" spans="1:7">
      <c r="A2987" s="3">
        <v>105</v>
      </c>
      <c r="B2987" s="3" t="s">
        <v>582</v>
      </c>
      <c r="C2987" s="3">
        <v>209</v>
      </c>
      <c r="D2987" s="3" t="s">
        <v>758</v>
      </c>
      <c r="E2987" s="3" t="s">
        <v>7620</v>
      </c>
      <c r="F2987" s="3" t="s">
        <v>7608</v>
      </c>
      <c r="G2987" s="3" t="s">
        <v>7625</v>
      </c>
    </row>
    <row r="2988" spans="1:7">
      <c r="A2988" s="2">
        <v>105</v>
      </c>
      <c r="B2988" s="2" t="s">
        <v>582</v>
      </c>
      <c r="C2988" s="2">
        <v>221</v>
      </c>
      <c r="D2988" s="2" t="s">
        <v>813</v>
      </c>
      <c r="E2988" s="2" t="s">
        <v>7620</v>
      </c>
      <c r="F2988" s="2" t="s">
        <v>7611</v>
      </c>
      <c r="G2988" s="2" t="s">
        <v>7625</v>
      </c>
    </row>
    <row r="2989" spans="1:7">
      <c r="A2989" s="3">
        <v>105</v>
      </c>
      <c r="B2989" s="3" t="s">
        <v>582</v>
      </c>
      <c r="C2989" s="3">
        <v>264</v>
      </c>
      <c r="D2989" s="3" t="s">
        <v>775</v>
      </c>
      <c r="E2989" s="3" t="s">
        <v>7620</v>
      </c>
      <c r="F2989" s="3" t="s">
        <v>7611</v>
      </c>
      <c r="G2989" s="3" t="s">
        <v>7625</v>
      </c>
    </row>
    <row r="2990" spans="1:7">
      <c r="A2990" s="2">
        <v>105</v>
      </c>
      <c r="B2990" s="2" t="s">
        <v>582</v>
      </c>
      <c r="C2990" s="2">
        <v>341</v>
      </c>
      <c r="D2990" s="2" t="s">
        <v>1052</v>
      </c>
      <c r="E2990" s="2" t="s">
        <v>7620</v>
      </c>
      <c r="F2990" s="2" t="s">
        <v>7611</v>
      </c>
      <c r="G2990" s="2" t="s">
        <v>7622</v>
      </c>
    </row>
    <row r="2991" spans="1:7">
      <c r="A2991" s="3">
        <v>105</v>
      </c>
      <c r="B2991" s="3" t="s">
        <v>582</v>
      </c>
      <c r="C2991" s="3">
        <v>343</v>
      </c>
      <c r="D2991" s="3" t="s">
        <v>977</v>
      </c>
      <c r="E2991" s="3" t="s">
        <v>7620</v>
      </c>
      <c r="F2991" s="3" t="s">
        <v>7611</v>
      </c>
      <c r="G2991" s="3" t="s">
        <v>7621</v>
      </c>
    </row>
    <row r="2992" spans="1:7">
      <c r="A2992" s="2">
        <v>106</v>
      </c>
      <c r="B2992" s="2" t="s">
        <v>404</v>
      </c>
      <c r="C2992" s="2">
        <v>191</v>
      </c>
      <c r="D2992" s="2" t="s">
        <v>719</v>
      </c>
      <c r="E2992" s="2" t="s">
        <v>7620</v>
      </c>
      <c r="F2992" s="2" t="s">
        <v>7650</v>
      </c>
      <c r="G2992" s="2" t="s">
        <v>7625</v>
      </c>
    </row>
    <row r="2993" spans="1:7">
      <c r="A2993" s="3">
        <v>106</v>
      </c>
      <c r="B2993" s="3" t="s">
        <v>404</v>
      </c>
      <c r="C2993" s="3">
        <v>195</v>
      </c>
      <c r="D2993" s="3" t="s">
        <v>734</v>
      </c>
      <c r="E2993" s="3" t="s">
        <v>7620</v>
      </c>
      <c r="F2993" s="3" t="s">
        <v>7650</v>
      </c>
      <c r="G2993" s="3" t="s">
        <v>7622</v>
      </c>
    </row>
    <row r="2994" spans="1:7">
      <c r="A2994" s="2">
        <v>106</v>
      </c>
      <c r="B2994" s="2" t="s">
        <v>404</v>
      </c>
      <c r="C2994" s="2">
        <v>198</v>
      </c>
      <c r="D2994" s="2" t="s">
        <v>698</v>
      </c>
      <c r="E2994" s="2" t="s">
        <v>7620</v>
      </c>
      <c r="F2994" s="2" t="s">
        <v>7650</v>
      </c>
      <c r="G2994" s="2" t="s">
        <v>7622</v>
      </c>
    </row>
    <row r="2995" spans="1:7">
      <c r="A2995" s="3">
        <v>106</v>
      </c>
      <c r="B2995" s="3" t="s">
        <v>404</v>
      </c>
      <c r="C2995" s="3">
        <v>199</v>
      </c>
      <c r="D2995" s="3" t="s">
        <v>702</v>
      </c>
      <c r="E2995" s="3" t="s">
        <v>7620</v>
      </c>
      <c r="F2995" s="3" t="s">
        <v>7650</v>
      </c>
      <c r="G2995" s="3" t="s">
        <v>7625</v>
      </c>
    </row>
    <row r="2996" spans="1:7">
      <c r="A2996" s="2">
        <v>106</v>
      </c>
      <c r="B2996" s="2" t="s">
        <v>404</v>
      </c>
      <c r="C2996" s="2">
        <v>200</v>
      </c>
      <c r="D2996" s="2" t="s">
        <v>707</v>
      </c>
      <c r="E2996" s="2" t="s">
        <v>7620</v>
      </c>
      <c r="F2996" s="2" t="s">
        <v>7650</v>
      </c>
      <c r="G2996" s="2" t="s">
        <v>7622</v>
      </c>
    </row>
    <row r="2997" spans="1:7">
      <c r="A2997" s="3">
        <v>106</v>
      </c>
      <c r="B2997" s="3" t="s">
        <v>404</v>
      </c>
      <c r="C2997" s="3">
        <v>209</v>
      </c>
      <c r="D2997" s="3" t="s">
        <v>758</v>
      </c>
      <c r="E2997" s="3" t="s">
        <v>7620</v>
      </c>
      <c r="F2997" s="3" t="s">
        <v>7650</v>
      </c>
      <c r="G2997" s="3" t="s">
        <v>7621</v>
      </c>
    </row>
    <row r="2998" spans="1:7">
      <c r="A2998" s="2">
        <v>106</v>
      </c>
      <c r="B2998" s="2" t="s">
        <v>404</v>
      </c>
      <c r="C2998" s="2">
        <v>221</v>
      </c>
      <c r="D2998" s="2" t="s">
        <v>813</v>
      </c>
      <c r="E2998" s="2" t="s">
        <v>7620</v>
      </c>
      <c r="F2998" s="2" t="s">
        <v>7650</v>
      </c>
      <c r="G2998" s="2" t="s">
        <v>7625</v>
      </c>
    </row>
    <row r="2999" spans="1:7">
      <c r="A2999" s="3">
        <v>106</v>
      </c>
      <c r="B2999" s="3" t="s">
        <v>404</v>
      </c>
      <c r="C2999" s="3">
        <v>264</v>
      </c>
      <c r="D2999" s="3" t="s">
        <v>775</v>
      </c>
      <c r="E2999" s="3" t="s">
        <v>7620</v>
      </c>
      <c r="F2999" s="3" t="s">
        <v>7650</v>
      </c>
      <c r="G2999" s="3" t="s">
        <v>7625</v>
      </c>
    </row>
    <row r="3000" spans="1:7">
      <c r="A3000" s="2">
        <v>106</v>
      </c>
      <c r="B3000" s="2" t="s">
        <v>404</v>
      </c>
      <c r="C3000" s="2">
        <v>341</v>
      </c>
      <c r="D3000" s="2" t="s">
        <v>1052</v>
      </c>
      <c r="E3000" s="2" t="s">
        <v>7620</v>
      </c>
      <c r="F3000" s="2" t="s">
        <v>7650</v>
      </c>
      <c r="G3000" s="2" t="s">
        <v>7625</v>
      </c>
    </row>
    <row r="3001" spans="1:7">
      <c r="A3001" s="3">
        <v>106</v>
      </c>
      <c r="B3001" s="3" t="s">
        <v>404</v>
      </c>
      <c r="C3001" s="3">
        <v>343</v>
      </c>
      <c r="D3001" s="3" t="s">
        <v>977</v>
      </c>
      <c r="E3001" s="3" t="s">
        <v>7620</v>
      </c>
      <c r="F3001" s="3" t="s">
        <v>7650</v>
      </c>
      <c r="G3001" s="3" t="s">
        <v>7625</v>
      </c>
    </row>
    <row r="3002" spans="1:7">
      <c r="A3002" s="2">
        <v>107</v>
      </c>
      <c r="B3002" s="2" t="s">
        <v>536</v>
      </c>
      <c r="C3002" s="2">
        <v>189</v>
      </c>
      <c r="D3002" s="2" t="s">
        <v>742</v>
      </c>
      <c r="E3002" s="2" t="s">
        <v>7653</v>
      </c>
      <c r="F3002" s="2" t="s">
        <v>7608</v>
      </c>
      <c r="G3002" s="2" t="s">
        <v>7625</v>
      </c>
    </row>
    <row r="3003" spans="1:7">
      <c r="A3003" s="3">
        <v>107</v>
      </c>
      <c r="B3003" s="3" t="s">
        <v>536</v>
      </c>
      <c r="C3003" s="3">
        <v>191</v>
      </c>
      <c r="D3003" s="3" t="s">
        <v>719</v>
      </c>
      <c r="E3003" s="3" t="s">
        <v>7618</v>
      </c>
      <c r="F3003" s="3" t="s">
        <v>7649</v>
      </c>
      <c r="G3003" s="3" t="s">
        <v>7639</v>
      </c>
    </row>
    <row r="3004" spans="1:7">
      <c r="A3004" s="2">
        <v>107</v>
      </c>
      <c r="B3004" s="2" t="s">
        <v>536</v>
      </c>
      <c r="C3004" s="2">
        <v>195</v>
      </c>
      <c r="D3004" s="2" t="s">
        <v>734</v>
      </c>
      <c r="E3004" s="2" t="s">
        <v>7618</v>
      </c>
      <c r="F3004" s="2" t="s">
        <v>7649</v>
      </c>
      <c r="G3004" s="2" t="s">
        <v>7619</v>
      </c>
    </row>
    <row r="3005" spans="1:7">
      <c r="A3005" s="3">
        <v>107</v>
      </c>
      <c r="B3005" s="3" t="s">
        <v>536</v>
      </c>
      <c r="C3005" s="3">
        <v>198</v>
      </c>
      <c r="D3005" s="3" t="s">
        <v>698</v>
      </c>
      <c r="E3005" s="3" t="s">
        <v>7620</v>
      </c>
      <c r="F3005" s="3" t="s">
        <v>7649</v>
      </c>
      <c r="G3005" s="3" t="s">
        <v>7609</v>
      </c>
    </row>
    <row r="3006" spans="1:7">
      <c r="A3006" s="2">
        <v>107</v>
      </c>
      <c r="B3006" s="2" t="s">
        <v>536</v>
      </c>
      <c r="C3006" s="2">
        <v>199</v>
      </c>
      <c r="D3006" s="2" t="s">
        <v>702</v>
      </c>
      <c r="E3006" s="2" t="s">
        <v>7660</v>
      </c>
      <c r="F3006" s="2" t="s">
        <v>7649</v>
      </c>
      <c r="G3006" s="2" t="s">
        <v>7644</v>
      </c>
    </row>
    <row r="3007" spans="1:7">
      <c r="A3007" s="3">
        <v>107</v>
      </c>
      <c r="B3007" s="3" t="s">
        <v>536</v>
      </c>
      <c r="C3007" s="3">
        <v>200</v>
      </c>
      <c r="D3007" s="3" t="s">
        <v>707</v>
      </c>
      <c r="E3007" s="3" t="s">
        <v>7654</v>
      </c>
      <c r="F3007" s="3" t="s">
        <v>7649</v>
      </c>
      <c r="G3007" s="3" t="s">
        <v>7634</v>
      </c>
    </row>
    <row r="3008" spans="1:7">
      <c r="A3008" s="2">
        <v>107</v>
      </c>
      <c r="B3008" s="2" t="s">
        <v>536</v>
      </c>
      <c r="C3008" s="2">
        <v>205</v>
      </c>
      <c r="D3008" s="2" t="s">
        <v>746</v>
      </c>
      <c r="E3008" s="2" t="s">
        <v>7620</v>
      </c>
      <c r="F3008" s="2" t="s">
        <v>7611</v>
      </c>
      <c r="G3008" s="2" t="s">
        <v>7621</v>
      </c>
    </row>
    <row r="3009" spans="1:7">
      <c r="A3009" s="3">
        <v>107</v>
      </c>
      <c r="B3009" s="3" t="s">
        <v>536</v>
      </c>
      <c r="C3009" s="3">
        <v>207</v>
      </c>
      <c r="D3009" s="3" t="s">
        <v>749</v>
      </c>
      <c r="E3009" s="3" t="s">
        <v>7618</v>
      </c>
      <c r="F3009" s="3" t="s">
        <v>7611</v>
      </c>
      <c r="G3009" s="3" t="s">
        <v>7617</v>
      </c>
    </row>
    <row r="3010" spans="1:7">
      <c r="A3010" s="2">
        <v>107</v>
      </c>
      <c r="B3010" s="2" t="s">
        <v>536</v>
      </c>
      <c r="C3010" s="2">
        <v>208</v>
      </c>
      <c r="D3010" s="2" t="s">
        <v>754</v>
      </c>
      <c r="E3010" s="2" t="s">
        <v>7620</v>
      </c>
      <c r="F3010" s="2" t="s">
        <v>7611</v>
      </c>
      <c r="G3010" s="2" t="s">
        <v>7622</v>
      </c>
    </row>
    <row r="3011" spans="1:7">
      <c r="A3011" s="3">
        <v>107</v>
      </c>
      <c r="B3011" s="3" t="s">
        <v>536</v>
      </c>
      <c r="C3011" s="3">
        <v>209</v>
      </c>
      <c r="D3011" s="3" t="s">
        <v>758</v>
      </c>
      <c r="E3011" s="3" t="s">
        <v>7618</v>
      </c>
      <c r="F3011" s="3" t="s">
        <v>7650</v>
      </c>
      <c r="G3011" s="3" t="s">
        <v>7617</v>
      </c>
    </row>
    <row r="3012" spans="1:7">
      <c r="A3012" s="2">
        <v>107</v>
      </c>
      <c r="B3012" s="2" t="s">
        <v>536</v>
      </c>
      <c r="C3012" s="2">
        <v>221</v>
      </c>
      <c r="D3012" s="2" t="s">
        <v>813</v>
      </c>
      <c r="E3012" s="2" t="s">
        <v>7618</v>
      </c>
      <c r="F3012" s="2" t="s">
        <v>7649</v>
      </c>
      <c r="G3012" s="2" t="s">
        <v>7619</v>
      </c>
    </row>
    <row r="3013" spans="1:7">
      <c r="A3013" s="3">
        <v>107</v>
      </c>
      <c r="B3013" s="3" t="s">
        <v>536</v>
      </c>
      <c r="C3013" s="3">
        <v>264</v>
      </c>
      <c r="D3013" s="3" t="s">
        <v>775</v>
      </c>
      <c r="E3013" s="3" t="s">
        <v>7618</v>
      </c>
      <c r="F3013" s="3" t="s">
        <v>7649</v>
      </c>
      <c r="G3013" s="3" t="s">
        <v>7619</v>
      </c>
    </row>
    <row r="3014" spans="1:7">
      <c r="A3014" s="2">
        <v>107</v>
      </c>
      <c r="B3014" s="2" t="s">
        <v>536</v>
      </c>
      <c r="C3014" s="2">
        <v>341</v>
      </c>
      <c r="D3014" s="2" t="s">
        <v>1052</v>
      </c>
      <c r="E3014" s="2" t="s">
        <v>7620</v>
      </c>
      <c r="F3014" s="2" t="s">
        <v>7649</v>
      </c>
      <c r="G3014" s="2" t="s">
        <v>7609</v>
      </c>
    </row>
    <row r="3015" spans="1:7">
      <c r="A3015" s="3">
        <v>107</v>
      </c>
      <c r="B3015" s="3" t="s">
        <v>536</v>
      </c>
      <c r="C3015" s="3">
        <v>343</v>
      </c>
      <c r="D3015" s="3" t="s">
        <v>977</v>
      </c>
      <c r="E3015" s="3" t="s">
        <v>7620</v>
      </c>
      <c r="F3015" s="3" t="s">
        <v>7649</v>
      </c>
      <c r="G3015" s="3" t="s">
        <v>7622</v>
      </c>
    </row>
    <row r="3016" spans="1:7">
      <c r="A3016" s="2">
        <v>108</v>
      </c>
      <c r="B3016" s="2" t="s">
        <v>548</v>
      </c>
      <c r="C3016" s="2">
        <v>191</v>
      </c>
      <c r="D3016" s="2" t="s">
        <v>719</v>
      </c>
      <c r="E3016" s="2" t="s">
        <v>7618</v>
      </c>
      <c r="F3016" s="2" t="s">
        <v>7611</v>
      </c>
      <c r="G3016" s="2" t="s">
        <v>7617</v>
      </c>
    </row>
    <row r="3017" spans="1:7">
      <c r="A3017" s="3">
        <v>108</v>
      </c>
      <c r="B3017" s="3" t="s">
        <v>548</v>
      </c>
      <c r="C3017" s="3">
        <v>195</v>
      </c>
      <c r="D3017" s="3" t="s">
        <v>734</v>
      </c>
      <c r="E3017" s="3" t="s">
        <v>7618</v>
      </c>
      <c r="F3017" s="3" t="s">
        <v>7611</v>
      </c>
      <c r="G3017" s="3" t="s">
        <v>7619</v>
      </c>
    </row>
    <row r="3018" spans="1:7">
      <c r="A3018" s="2">
        <v>108</v>
      </c>
      <c r="B3018" s="2" t="s">
        <v>548</v>
      </c>
      <c r="C3018" s="2">
        <v>198</v>
      </c>
      <c r="D3018" s="2" t="s">
        <v>698</v>
      </c>
      <c r="E3018" s="2" t="s">
        <v>7620</v>
      </c>
      <c r="F3018" s="2" t="s">
        <v>7611</v>
      </c>
      <c r="G3018" s="2" t="s">
        <v>7622</v>
      </c>
    </row>
    <row r="3019" spans="1:7">
      <c r="A3019" s="3">
        <v>108</v>
      </c>
      <c r="B3019" s="3" t="s">
        <v>548</v>
      </c>
      <c r="C3019" s="3">
        <v>199</v>
      </c>
      <c r="D3019" s="3" t="s">
        <v>702</v>
      </c>
      <c r="E3019" s="3" t="s">
        <v>7618</v>
      </c>
      <c r="F3019" s="3" t="s">
        <v>7611</v>
      </c>
      <c r="G3019" s="3" t="s">
        <v>7617</v>
      </c>
    </row>
    <row r="3020" spans="1:7">
      <c r="A3020" s="2">
        <v>108</v>
      </c>
      <c r="B3020" s="2" t="s">
        <v>548</v>
      </c>
      <c r="C3020" s="2">
        <v>200</v>
      </c>
      <c r="D3020" s="2" t="s">
        <v>707</v>
      </c>
      <c r="E3020" s="2" t="s">
        <v>7620</v>
      </c>
      <c r="F3020" s="2" t="s">
        <v>7611</v>
      </c>
      <c r="G3020" s="2" t="s">
        <v>7621</v>
      </c>
    </row>
    <row r="3021" spans="1:7">
      <c r="A3021" s="3">
        <v>108</v>
      </c>
      <c r="B3021" s="3" t="s">
        <v>548</v>
      </c>
      <c r="C3021" s="3">
        <v>205</v>
      </c>
      <c r="D3021" s="3" t="s">
        <v>746</v>
      </c>
      <c r="E3021" s="3" t="s">
        <v>7620</v>
      </c>
      <c r="F3021" s="3" t="s">
        <v>7611</v>
      </c>
      <c r="G3021" s="3" t="s">
        <v>7622</v>
      </c>
    </row>
    <row r="3022" spans="1:7">
      <c r="A3022" s="2">
        <v>108</v>
      </c>
      <c r="B3022" s="2" t="s">
        <v>548</v>
      </c>
      <c r="C3022" s="2">
        <v>207</v>
      </c>
      <c r="D3022" s="2" t="s">
        <v>749</v>
      </c>
      <c r="E3022" s="2" t="s">
        <v>7618</v>
      </c>
      <c r="F3022" s="2" t="s">
        <v>7611</v>
      </c>
      <c r="G3022" s="2" t="s">
        <v>7619</v>
      </c>
    </row>
    <row r="3023" spans="1:7">
      <c r="A3023" s="3">
        <v>108</v>
      </c>
      <c r="B3023" s="3" t="s">
        <v>548</v>
      </c>
      <c r="C3023" s="3">
        <v>208</v>
      </c>
      <c r="D3023" s="3" t="s">
        <v>754</v>
      </c>
      <c r="E3023" s="3" t="s">
        <v>7620</v>
      </c>
      <c r="F3023" s="3" t="s">
        <v>7611</v>
      </c>
      <c r="G3023" s="3" t="s">
        <v>7621</v>
      </c>
    </row>
    <row r="3024" spans="1:7">
      <c r="A3024" s="2">
        <v>108</v>
      </c>
      <c r="B3024" s="2" t="s">
        <v>548</v>
      </c>
      <c r="C3024" s="2">
        <v>209</v>
      </c>
      <c r="D3024" s="2" t="s">
        <v>758</v>
      </c>
      <c r="E3024" s="2" t="s">
        <v>7618</v>
      </c>
      <c r="F3024" s="2" t="s">
        <v>7608</v>
      </c>
      <c r="G3024" s="2" t="s">
        <v>7617</v>
      </c>
    </row>
    <row r="3025" spans="1:7">
      <c r="A3025" s="3">
        <v>108</v>
      </c>
      <c r="B3025" s="3" t="s">
        <v>548</v>
      </c>
      <c r="C3025" s="3">
        <v>221</v>
      </c>
      <c r="D3025" s="3" t="s">
        <v>813</v>
      </c>
      <c r="E3025" s="3" t="s">
        <v>7618</v>
      </c>
      <c r="F3025" s="3" t="s">
        <v>7611</v>
      </c>
      <c r="G3025" s="3" t="s">
        <v>7617</v>
      </c>
    </row>
    <row r="3026" spans="1:7">
      <c r="A3026" s="2">
        <v>108</v>
      </c>
      <c r="B3026" s="2" t="s">
        <v>548</v>
      </c>
      <c r="C3026" s="2">
        <v>264</v>
      </c>
      <c r="D3026" s="2" t="s">
        <v>775</v>
      </c>
      <c r="E3026" s="2" t="s">
        <v>7618</v>
      </c>
      <c r="F3026" s="2" t="s">
        <v>7611</v>
      </c>
      <c r="G3026" s="2" t="s">
        <v>7617</v>
      </c>
    </row>
    <row r="3027" spans="1:7">
      <c r="A3027" s="3">
        <v>108</v>
      </c>
      <c r="B3027" s="3" t="s">
        <v>548</v>
      </c>
      <c r="C3027" s="3">
        <v>341</v>
      </c>
      <c r="D3027" s="3" t="s">
        <v>1052</v>
      </c>
      <c r="E3027" s="3" t="s">
        <v>7620</v>
      </c>
      <c r="F3027" s="3" t="s">
        <v>7611</v>
      </c>
      <c r="G3027" s="3" t="s">
        <v>7622</v>
      </c>
    </row>
    <row r="3028" spans="1:7">
      <c r="A3028" s="2">
        <v>108</v>
      </c>
      <c r="B3028" s="2" t="s">
        <v>548</v>
      </c>
      <c r="C3028" s="2">
        <v>343</v>
      </c>
      <c r="D3028" s="2" t="s">
        <v>977</v>
      </c>
      <c r="E3028" s="2" t="s">
        <v>7620</v>
      </c>
      <c r="F3028" s="2" t="s">
        <v>7611</v>
      </c>
      <c r="G3028" s="2" t="s">
        <v>7625</v>
      </c>
    </row>
    <row r="3029" spans="1:7">
      <c r="A3029" s="3">
        <v>109</v>
      </c>
      <c r="B3029" s="3" t="s">
        <v>489</v>
      </c>
      <c r="C3029" s="3">
        <v>191</v>
      </c>
      <c r="D3029" s="3" t="s">
        <v>719</v>
      </c>
      <c r="E3029" s="3" t="s">
        <v>7618</v>
      </c>
      <c r="F3029" s="3" t="s">
        <v>7650</v>
      </c>
      <c r="G3029" s="3" t="s">
        <v>7617</v>
      </c>
    </row>
    <row r="3030" spans="1:7">
      <c r="A3030" s="2">
        <v>109</v>
      </c>
      <c r="B3030" s="2" t="s">
        <v>489</v>
      </c>
      <c r="C3030" s="2">
        <v>195</v>
      </c>
      <c r="D3030" s="2" t="s">
        <v>734</v>
      </c>
      <c r="E3030" s="2" t="s">
        <v>7618</v>
      </c>
      <c r="F3030" s="2" t="s">
        <v>7650</v>
      </c>
      <c r="G3030" s="2" t="s">
        <v>7617</v>
      </c>
    </row>
    <row r="3031" spans="1:7">
      <c r="A3031" s="3">
        <v>109</v>
      </c>
      <c r="B3031" s="3" t="s">
        <v>489</v>
      </c>
      <c r="C3031" s="3">
        <v>198</v>
      </c>
      <c r="D3031" s="3" t="s">
        <v>698</v>
      </c>
      <c r="E3031" s="3" t="s">
        <v>7620</v>
      </c>
      <c r="F3031" s="3" t="s">
        <v>7650</v>
      </c>
      <c r="G3031" s="3" t="s">
        <v>7621</v>
      </c>
    </row>
    <row r="3032" spans="1:7">
      <c r="A3032" s="2">
        <v>109</v>
      </c>
      <c r="B3032" s="2" t="s">
        <v>489</v>
      </c>
      <c r="C3032" s="2">
        <v>199</v>
      </c>
      <c r="D3032" s="2" t="s">
        <v>702</v>
      </c>
      <c r="E3032" s="2" t="s">
        <v>7618</v>
      </c>
      <c r="F3032" s="2" t="s">
        <v>7650</v>
      </c>
      <c r="G3032" s="2" t="s">
        <v>7617</v>
      </c>
    </row>
    <row r="3033" spans="1:7">
      <c r="A3033" s="3">
        <v>109</v>
      </c>
      <c r="B3033" s="3" t="s">
        <v>489</v>
      </c>
      <c r="C3033" s="3">
        <v>200</v>
      </c>
      <c r="D3033" s="3" t="s">
        <v>707</v>
      </c>
      <c r="E3033" s="3" t="s">
        <v>7620</v>
      </c>
      <c r="F3033" s="3" t="s">
        <v>7650</v>
      </c>
      <c r="G3033" s="3" t="s">
        <v>7625</v>
      </c>
    </row>
    <row r="3034" spans="1:7">
      <c r="A3034" s="2">
        <v>109</v>
      </c>
      <c r="B3034" s="2" t="s">
        <v>489</v>
      </c>
      <c r="C3034" s="2">
        <v>207</v>
      </c>
      <c r="D3034" s="2" t="s">
        <v>749</v>
      </c>
      <c r="E3034" s="2" t="s">
        <v>7618</v>
      </c>
      <c r="F3034" s="2" t="s">
        <v>7608</v>
      </c>
      <c r="G3034" s="2" t="s">
        <v>7633</v>
      </c>
    </row>
    <row r="3035" spans="1:7">
      <c r="A3035" s="3">
        <v>109</v>
      </c>
      <c r="B3035" s="3" t="s">
        <v>489</v>
      </c>
      <c r="C3035" s="3">
        <v>209</v>
      </c>
      <c r="D3035" s="3" t="s">
        <v>758</v>
      </c>
      <c r="E3035" s="3" t="s">
        <v>7618</v>
      </c>
      <c r="F3035" s="3" t="s">
        <v>7650</v>
      </c>
      <c r="G3035" s="3" t="s">
        <v>7617</v>
      </c>
    </row>
    <row r="3036" spans="1:7">
      <c r="A3036" s="2">
        <v>109</v>
      </c>
      <c r="B3036" s="2" t="s">
        <v>489</v>
      </c>
      <c r="C3036" s="2">
        <v>221</v>
      </c>
      <c r="D3036" s="2" t="s">
        <v>813</v>
      </c>
      <c r="E3036" s="2" t="s">
        <v>7618</v>
      </c>
      <c r="F3036" s="2" t="s">
        <v>7650</v>
      </c>
      <c r="G3036" s="2" t="s">
        <v>7617</v>
      </c>
    </row>
    <row r="3037" spans="1:7">
      <c r="A3037" s="3">
        <v>109</v>
      </c>
      <c r="B3037" s="3" t="s">
        <v>489</v>
      </c>
      <c r="C3037" s="3">
        <v>264</v>
      </c>
      <c r="D3037" s="3" t="s">
        <v>775</v>
      </c>
      <c r="E3037" s="3" t="s">
        <v>7716</v>
      </c>
      <c r="F3037" s="3" t="s">
        <v>7650</v>
      </c>
      <c r="G3037" s="3" t="s">
        <v>7624</v>
      </c>
    </row>
    <row r="3038" spans="1:7">
      <c r="A3038" s="2">
        <v>109</v>
      </c>
      <c r="B3038" s="2" t="s">
        <v>489</v>
      </c>
      <c r="C3038" s="2">
        <v>341</v>
      </c>
      <c r="D3038" s="2" t="s">
        <v>1052</v>
      </c>
      <c r="E3038" s="2" t="s">
        <v>7655</v>
      </c>
      <c r="F3038" s="2" t="s">
        <v>7650</v>
      </c>
      <c r="G3038" s="2" t="s">
        <v>7636</v>
      </c>
    </row>
    <row r="3039" spans="1:7">
      <c r="A3039" s="3">
        <v>109</v>
      </c>
      <c r="B3039" s="3" t="s">
        <v>489</v>
      </c>
      <c r="C3039" s="3">
        <v>343</v>
      </c>
      <c r="D3039" s="3" t="s">
        <v>977</v>
      </c>
      <c r="E3039" s="3" t="s">
        <v>7620</v>
      </c>
      <c r="F3039" s="3" t="s">
        <v>7650</v>
      </c>
      <c r="G3039" s="3" t="s">
        <v>7625</v>
      </c>
    </row>
    <row r="3040" spans="1:7">
      <c r="A3040" s="2">
        <v>110</v>
      </c>
      <c r="B3040" s="2" t="s">
        <v>363</v>
      </c>
      <c r="C3040" s="2">
        <v>191</v>
      </c>
      <c r="D3040" s="2" t="s">
        <v>719</v>
      </c>
      <c r="E3040" s="2" t="s">
        <v>7620</v>
      </c>
      <c r="F3040" s="2" t="s">
        <v>7650</v>
      </c>
      <c r="G3040" s="2" t="s">
        <v>7625</v>
      </c>
    </row>
    <row r="3041" spans="1:7">
      <c r="A3041" s="3">
        <v>110</v>
      </c>
      <c r="B3041" s="3" t="s">
        <v>363</v>
      </c>
      <c r="C3041" s="3">
        <v>195</v>
      </c>
      <c r="D3041" s="3" t="s">
        <v>734</v>
      </c>
      <c r="E3041" s="3" t="s">
        <v>7620</v>
      </c>
      <c r="F3041" s="3" t="s">
        <v>7650</v>
      </c>
      <c r="G3041" s="3" t="s">
        <v>7622</v>
      </c>
    </row>
    <row r="3042" spans="1:7">
      <c r="A3042" s="2">
        <v>110</v>
      </c>
      <c r="B3042" s="2" t="s">
        <v>363</v>
      </c>
      <c r="C3042" s="2">
        <v>198</v>
      </c>
      <c r="D3042" s="2" t="s">
        <v>698</v>
      </c>
      <c r="E3042" s="2" t="s">
        <v>7620</v>
      </c>
      <c r="F3042" s="2" t="s">
        <v>7650</v>
      </c>
      <c r="G3042" s="2" t="s">
        <v>7622</v>
      </c>
    </row>
    <row r="3043" spans="1:7">
      <c r="A3043" s="3">
        <v>110</v>
      </c>
      <c r="B3043" s="3" t="s">
        <v>363</v>
      </c>
      <c r="C3043" s="3">
        <v>199</v>
      </c>
      <c r="D3043" s="3" t="s">
        <v>702</v>
      </c>
      <c r="E3043" s="3" t="s">
        <v>7620</v>
      </c>
      <c r="F3043" s="3" t="s">
        <v>7650</v>
      </c>
      <c r="G3043" s="3" t="s">
        <v>7621</v>
      </c>
    </row>
    <row r="3044" spans="1:7">
      <c r="A3044" s="2">
        <v>110</v>
      </c>
      <c r="B3044" s="2" t="s">
        <v>363</v>
      </c>
      <c r="C3044" s="2">
        <v>200</v>
      </c>
      <c r="D3044" s="2" t="s">
        <v>707</v>
      </c>
      <c r="E3044" s="2" t="s">
        <v>7620</v>
      </c>
      <c r="F3044" s="2" t="s">
        <v>7650</v>
      </c>
      <c r="G3044" s="2" t="s">
        <v>7621</v>
      </c>
    </row>
    <row r="3045" spans="1:7">
      <c r="A3045" s="3">
        <v>110</v>
      </c>
      <c r="B3045" s="3" t="s">
        <v>363</v>
      </c>
      <c r="C3045" s="3">
        <v>209</v>
      </c>
      <c r="D3045" s="3" t="s">
        <v>758</v>
      </c>
      <c r="E3045" s="3" t="s">
        <v>7620</v>
      </c>
      <c r="F3045" s="3" t="s">
        <v>7650</v>
      </c>
      <c r="G3045" s="3" t="s">
        <v>7622</v>
      </c>
    </row>
    <row r="3046" spans="1:7">
      <c r="A3046" s="2">
        <v>110</v>
      </c>
      <c r="B3046" s="2" t="s">
        <v>363</v>
      </c>
      <c r="C3046" s="2">
        <v>221</v>
      </c>
      <c r="D3046" s="2" t="s">
        <v>813</v>
      </c>
      <c r="E3046" s="2" t="s">
        <v>7620</v>
      </c>
      <c r="F3046" s="2" t="s">
        <v>7650</v>
      </c>
      <c r="G3046" s="2" t="s">
        <v>7625</v>
      </c>
    </row>
    <row r="3047" spans="1:7">
      <c r="A3047" s="3">
        <v>110</v>
      </c>
      <c r="B3047" s="3" t="s">
        <v>363</v>
      </c>
      <c r="C3047" s="3">
        <v>264</v>
      </c>
      <c r="D3047" s="3" t="s">
        <v>775</v>
      </c>
      <c r="E3047" s="3" t="s">
        <v>7620</v>
      </c>
      <c r="F3047" s="3" t="s">
        <v>7650</v>
      </c>
      <c r="G3047" s="3" t="s">
        <v>7621</v>
      </c>
    </row>
    <row r="3048" spans="1:7">
      <c r="A3048" s="2">
        <v>110</v>
      </c>
      <c r="B3048" s="2" t="s">
        <v>363</v>
      </c>
      <c r="C3048" s="2">
        <v>341</v>
      </c>
      <c r="D3048" s="2" t="s">
        <v>1052</v>
      </c>
      <c r="E3048" s="2" t="s">
        <v>7620</v>
      </c>
      <c r="F3048" s="2" t="s">
        <v>7650</v>
      </c>
      <c r="G3048" s="2" t="s">
        <v>7621</v>
      </c>
    </row>
    <row r="3049" spans="1:7">
      <c r="A3049" s="3">
        <v>110</v>
      </c>
      <c r="B3049" s="3" t="s">
        <v>363</v>
      </c>
      <c r="C3049" s="3">
        <v>343</v>
      </c>
      <c r="D3049" s="3" t="s">
        <v>977</v>
      </c>
      <c r="E3049" s="3" t="s">
        <v>7620</v>
      </c>
      <c r="F3049" s="3" t="s">
        <v>7650</v>
      </c>
      <c r="G3049" s="3" t="s">
        <v>7621</v>
      </c>
    </row>
    <row r="3050" spans="1:7">
      <c r="A3050" s="2">
        <v>111</v>
      </c>
      <c r="B3050" s="2" t="s">
        <v>407</v>
      </c>
      <c r="C3050" s="2">
        <v>191</v>
      </c>
      <c r="D3050" s="2" t="s">
        <v>719</v>
      </c>
      <c r="E3050" s="2" t="s">
        <v>7618</v>
      </c>
      <c r="F3050" s="2" t="s">
        <v>7650</v>
      </c>
      <c r="G3050" s="2" t="s">
        <v>7634</v>
      </c>
    </row>
    <row r="3051" spans="1:7">
      <c r="A3051" s="3">
        <v>111</v>
      </c>
      <c r="B3051" s="3" t="s">
        <v>407</v>
      </c>
      <c r="C3051" s="3">
        <v>195</v>
      </c>
      <c r="D3051" s="3" t="s">
        <v>734</v>
      </c>
      <c r="E3051" s="3" t="s">
        <v>7618</v>
      </c>
      <c r="F3051" s="3" t="s">
        <v>7650</v>
      </c>
      <c r="G3051" s="3" t="s">
        <v>7624</v>
      </c>
    </row>
    <row r="3052" spans="1:7">
      <c r="A3052" s="2">
        <v>111</v>
      </c>
      <c r="B3052" s="2" t="s">
        <v>407</v>
      </c>
      <c r="C3052" s="2">
        <v>198</v>
      </c>
      <c r="D3052" s="2" t="s">
        <v>698</v>
      </c>
      <c r="E3052" s="2" t="s">
        <v>7620</v>
      </c>
      <c r="F3052" s="2" t="s">
        <v>7650</v>
      </c>
      <c r="G3052" s="2" t="s">
        <v>7609</v>
      </c>
    </row>
    <row r="3053" spans="1:7">
      <c r="A3053" s="3">
        <v>111</v>
      </c>
      <c r="B3053" s="3" t="s">
        <v>407</v>
      </c>
      <c r="C3053" s="3">
        <v>199</v>
      </c>
      <c r="D3053" s="3" t="s">
        <v>702</v>
      </c>
      <c r="E3053" s="3" t="s">
        <v>7618</v>
      </c>
      <c r="F3053" s="3" t="s">
        <v>7650</v>
      </c>
      <c r="G3053" s="3" t="s">
        <v>7636</v>
      </c>
    </row>
    <row r="3054" spans="1:7">
      <c r="A3054" s="2">
        <v>111</v>
      </c>
      <c r="B3054" s="2" t="s">
        <v>407</v>
      </c>
      <c r="C3054" s="2">
        <v>200</v>
      </c>
      <c r="D3054" s="2" t="s">
        <v>707</v>
      </c>
      <c r="E3054" s="2" t="s">
        <v>7620</v>
      </c>
      <c r="F3054" s="2" t="s">
        <v>7650</v>
      </c>
      <c r="G3054" s="2" t="s">
        <v>7633</v>
      </c>
    </row>
    <row r="3055" spans="1:7">
      <c r="A3055" s="3">
        <v>111</v>
      </c>
      <c r="B3055" s="3" t="s">
        <v>407</v>
      </c>
      <c r="C3055" s="3">
        <v>205</v>
      </c>
      <c r="D3055" s="3" t="s">
        <v>746</v>
      </c>
      <c r="E3055" s="3" t="s">
        <v>7620</v>
      </c>
      <c r="F3055" s="3" t="s">
        <v>7608</v>
      </c>
      <c r="G3055" s="3" t="s">
        <v>7625</v>
      </c>
    </row>
    <row r="3056" spans="1:7">
      <c r="A3056" s="2">
        <v>111</v>
      </c>
      <c r="B3056" s="2" t="s">
        <v>407</v>
      </c>
      <c r="C3056" s="2">
        <v>207</v>
      </c>
      <c r="D3056" s="2" t="s">
        <v>749</v>
      </c>
      <c r="E3056" s="2" t="s">
        <v>7618</v>
      </c>
      <c r="F3056" s="2" t="s">
        <v>7608</v>
      </c>
      <c r="G3056" s="2" t="s">
        <v>7609</v>
      </c>
    </row>
    <row r="3057" spans="1:7">
      <c r="A3057" s="3">
        <v>111</v>
      </c>
      <c r="B3057" s="3" t="s">
        <v>407</v>
      </c>
      <c r="C3057" s="3">
        <v>208</v>
      </c>
      <c r="D3057" s="3" t="s">
        <v>754</v>
      </c>
      <c r="E3057" s="3" t="s">
        <v>7620</v>
      </c>
      <c r="F3057" s="3" t="s">
        <v>7608</v>
      </c>
      <c r="G3057" s="3" t="s">
        <v>7625</v>
      </c>
    </row>
    <row r="3058" spans="1:7">
      <c r="A3058" s="2">
        <v>111</v>
      </c>
      <c r="B3058" s="2" t="s">
        <v>407</v>
      </c>
      <c r="C3058" s="2">
        <v>209</v>
      </c>
      <c r="D3058" s="2" t="s">
        <v>758</v>
      </c>
      <c r="E3058" s="2" t="s">
        <v>7618</v>
      </c>
      <c r="F3058" s="2" t="s">
        <v>7650</v>
      </c>
      <c r="G3058" s="2" t="s">
        <v>7634</v>
      </c>
    </row>
    <row r="3059" spans="1:7">
      <c r="A3059" s="3">
        <v>111</v>
      </c>
      <c r="B3059" s="3" t="s">
        <v>407</v>
      </c>
      <c r="C3059" s="3">
        <v>221</v>
      </c>
      <c r="D3059" s="3" t="s">
        <v>813</v>
      </c>
      <c r="E3059" s="3" t="s">
        <v>7618</v>
      </c>
      <c r="F3059" s="3" t="s">
        <v>7650</v>
      </c>
      <c r="G3059" s="3" t="s">
        <v>7636</v>
      </c>
    </row>
    <row r="3060" spans="1:7">
      <c r="A3060" s="2">
        <v>111</v>
      </c>
      <c r="B3060" s="2" t="s">
        <v>407</v>
      </c>
      <c r="C3060" s="2">
        <v>264</v>
      </c>
      <c r="D3060" s="2" t="s">
        <v>775</v>
      </c>
      <c r="E3060" s="2" t="s">
        <v>7618</v>
      </c>
      <c r="F3060" s="2" t="s">
        <v>7650</v>
      </c>
      <c r="G3060" s="2" t="s">
        <v>7617</v>
      </c>
    </row>
    <row r="3061" spans="1:7">
      <c r="A3061" s="3">
        <v>111</v>
      </c>
      <c r="B3061" s="3" t="s">
        <v>407</v>
      </c>
      <c r="C3061" s="3">
        <v>341</v>
      </c>
      <c r="D3061" s="3" t="s">
        <v>1052</v>
      </c>
      <c r="E3061" s="3" t="s">
        <v>7620</v>
      </c>
      <c r="F3061" s="3" t="s">
        <v>7650</v>
      </c>
      <c r="G3061" s="3" t="s">
        <v>7622</v>
      </c>
    </row>
    <row r="3062" spans="1:7">
      <c r="A3062" s="2">
        <v>111</v>
      </c>
      <c r="B3062" s="2" t="s">
        <v>407</v>
      </c>
      <c r="C3062" s="2">
        <v>343</v>
      </c>
      <c r="D3062" s="2" t="s">
        <v>977</v>
      </c>
      <c r="E3062" s="2" t="s">
        <v>7620</v>
      </c>
      <c r="F3062" s="2" t="s">
        <v>7650</v>
      </c>
      <c r="G3062" s="2" t="s">
        <v>7621</v>
      </c>
    </row>
    <row r="3063" spans="1:7">
      <c r="A3063" s="3">
        <v>112</v>
      </c>
      <c r="B3063" s="3" t="s">
        <v>517</v>
      </c>
      <c r="C3063" s="3">
        <v>189</v>
      </c>
      <c r="D3063" s="3" t="s">
        <v>742</v>
      </c>
      <c r="E3063" s="3" t="s">
        <v>7653</v>
      </c>
      <c r="F3063" s="3" t="s">
        <v>7608</v>
      </c>
      <c r="G3063" s="3" t="s">
        <v>7625</v>
      </c>
    </row>
    <row r="3064" spans="1:7">
      <c r="A3064" s="2">
        <v>112</v>
      </c>
      <c r="B3064" s="2" t="s">
        <v>517</v>
      </c>
      <c r="C3064" s="2">
        <v>191</v>
      </c>
      <c r="D3064" s="2" t="s">
        <v>719</v>
      </c>
      <c r="E3064" s="2" t="s">
        <v>7620</v>
      </c>
      <c r="F3064" s="2" t="s">
        <v>7659</v>
      </c>
      <c r="G3064" s="2" t="s">
        <v>7636</v>
      </c>
    </row>
    <row r="3065" spans="1:7">
      <c r="A3065" s="3">
        <v>112</v>
      </c>
      <c r="B3065" s="3" t="s">
        <v>517</v>
      </c>
      <c r="C3065" s="3">
        <v>195</v>
      </c>
      <c r="D3065" s="3" t="s">
        <v>734</v>
      </c>
      <c r="E3065" s="3" t="s">
        <v>7620</v>
      </c>
      <c r="F3065" s="3" t="s">
        <v>7659</v>
      </c>
      <c r="G3065" s="3" t="s">
        <v>7617</v>
      </c>
    </row>
    <row r="3066" spans="1:7">
      <c r="A3066" s="2">
        <v>112</v>
      </c>
      <c r="B3066" s="2" t="s">
        <v>517</v>
      </c>
      <c r="C3066" s="2">
        <v>198</v>
      </c>
      <c r="D3066" s="2" t="s">
        <v>698</v>
      </c>
      <c r="E3066" s="2" t="s">
        <v>7620</v>
      </c>
      <c r="F3066" s="2" t="s">
        <v>7659</v>
      </c>
      <c r="G3066" s="2" t="s">
        <v>7636</v>
      </c>
    </row>
    <row r="3067" spans="1:7">
      <c r="A3067" s="3">
        <v>112</v>
      </c>
      <c r="B3067" s="3" t="s">
        <v>517</v>
      </c>
      <c r="C3067" s="3">
        <v>199</v>
      </c>
      <c r="D3067" s="3" t="s">
        <v>702</v>
      </c>
      <c r="E3067" s="3" t="s">
        <v>7654</v>
      </c>
      <c r="F3067" s="3" t="s">
        <v>7659</v>
      </c>
      <c r="G3067" s="3" t="s">
        <v>7624</v>
      </c>
    </row>
    <row r="3068" spans="1:7">
      <c r="A3068" s="2">
        <v>112</v>
      </c>
      <c r="B3068" s="2" t="s">
        <v>517</v>
      </c>
      <c r="C3068" s="2">
        <v>200</v>
      </c>
      <c r="D3068" s="2" t="s">
        <v>707</v>
      </c>
      <c r="E3068" s="2" t="s">
        <v>7654</v>
      </c>
      <c r="F3068" s="2" t="s">
        <v>7659</v>
      </c>
      <c r="G3068" s="2" t="s">
        <v>7624</v>
      </c>
    </row>
    <row r="3069" spans="1:7">
      <c r="A3069" s="3">
        <v>112</v>
      </c>
      <c r="B3069" s="3" t="s">
        <v>517</v>
      </c>
      <c r="C3069" s="3">
        <v>201</v>
      </c>
      <c r="D3069" s="3" t="s">
        <v>695</v>
      </c>
      <c r="E3069" s="3" t="s">
        <v>7608</v>
      </c>
      <c r="F3069" s="3" t="s">
        <v>7659</v>
      </c>
      <c r="G3069" s="3" t="s">
        <v>7625</v>
      </c>
    </row>
    <row r="3070" spans="1:7">
      <c r="A3070" s="2">
        <v>112</v>
      </c>
      <c r="B3070" s="2" t="s">
        <v>517</v>
      </c>
      <c r="C3070" s="2">
        <v>204</v>
      </c>
      <c r="D3070" s="2" t="s">
        <v>685</v>
      </c>
      <c r="E3070" s="2" t="s">
        <v>7608</v>
      </c>
      <c r="F3070" s="2" t="s">
        <v>7659</v>
      </c>
      <c r="G3070" s="2" t="s">
        <v>7625</v>
      </c>
    </row>
    <row r="3071" spans="1:7">
      <c r="A3071" s="3">
        <v>112</v>
      </c>
      <c r="B3071" s="3" t="s">
        <v>517</v>
      </c>
      <c r="C3071" s="3">
        <v>205</v>
      </c>
      <c r="D3071" s="3" t="s">
        <v>746</v>
      </c>
      <c r="E3071" s="3" t="s">
        <v>7620</v>
      </c>
      <c r="F3071" s="3" t="s">
        <v>7628</v>
      </c>
      <c r="G3071" s="3" t="s">
        <v>7633</v>
      </c>
    </row>
    <row r="3072" spans="1:7">
      <c r="A3072" s="2">
        <v>112</v>
      </c>
      <c r="B3072" s="2" t="s">
        <v>517</v>
      </c>
      <c r="C3072" s="2">
        <v>207</v>
      </c>
      <c r="D3072" s="2" t="s">
        <v>749</v>
      </c>
      <c r="E3072" s="2" t="s">
        <v>7620</v>
      </c>
      <c r="F3072" s="2" t="s">
        <v>7611</v>
      </c>
      <c r="G3072" s="2" t="s">
        <v>7622</v>
      </c>
    </row>
    <row r="3073" spans="1:7">
      <c r="A3073" s="3">
        <v>112</v>
      </c>
      <c r="B3073" s="3" t="s">
        <v>517</v>
      </c>
      <c r="C3073" s="3">
        <v>208</v>
      </c>
      <c r="D3073" s="3" t="s">
        <v>754</v>
      </c>
      <c r="E3073" s="3" t="s">
        <v>7620</v>
      </c>
      <c r="F3073" s="3" t="s">
        <v>7628</v>
      </c>
      <c r="G3073" s="3" t="s">
        <v>7633</v>
      </c>
    </row>
    <row r="3074" spans="1:7">
      <c r="A3074" s="2">
        <v>112</v>
      </c>
      <c r="B3074" s="2" t="s">
        <v>517</v>
      </c>
      <c r="C3074" s="2">
        <v>209</v>
      </c>
      <c r="D3074" s="2" t="s">
        <v>758</v>
      </c>
      <c r="E3074" s="2" t="s">
        <v>7620</v>
      </c>
      <c r="F3074" s="2" t="s">
        <v>7652</v>
      </c>
      <c r="G3074" s="2" t="s">
        <v>7633</v>
      </c>
    </row>
    <row r="3075" spans="1:7">
      <c r="A3075" s="3">
        <v>112</v>
      </c>
      <c r="B3075" s="3" t="s">
        <v>517</v>
      </c>
      <c r="C3075" s="3">
        <v>221</v>
      </c>
      <c r="D3075" s="3" t="s">
        <v>813</v>
      </c>
      <c r="E3075" s="3" t="s">
        <v>7620</v>
      </c>
      <c r="F3075" s="3" t="s">
        <v>7649</v>
      </c>
      <c r="G3075" s="3" t="s">
        <v>7633</v>
      </c>
    </row>
    <row r="3076" spans="1:7">
      <c r="A3076" s="2">
        <v>112</v>
      </c>
      <c r="B3076" s="2" t="s">
        <v>517</v>
      </c>
      <c r="C3076" s="2">
        <v>264</v>
      </c>
      <c r="D3076" s="2" t="s">
        <v>775</v>
      </c>
      <c r="E3076" s="2" t="s">
        <v>7620</v>
      </c>
      <c r="F3076" s="2" t="s">
        <v>7659</v>
      </c>
      <c r="G3076" s="2" t="s">
        <v>7617</v>
      </c>
    </row>
    <row r="3077" spans="1:7">
      <c r="A3077" s="3">
        <v>112</v>
      </c>
      <c r="B3077" s="3" t="s">
        <v>517</v>
      </c>
      <c r="C3077" s="3">
        <v>312</v>
      </c>
      <c r="D3077" s="3" t="s">
        <v>949</v>
      </c>
      <c r="E3077" s="3" t="s">
        <v>7608</v>
      </c>
      <c r="F3077" s="3" t="s">
        <v>7659</v>
      </c>
      <c r="G3077" s="3" t="s">
        <v>7625</v>
      </c>
    </row>
    <row r="3078" spans="1:7">
      <c r="A3078" s="2">
        <v>112</v>
      </c>
      <c r="B3078" s="2" t="s">
        <v>517</v>
      </c>
      <c r="C3078" s="2">
        <v>341</v>
      </c>
      <c r="D3078" s="2" t="s">
        <v>1052</v>
      </c>
      <c r="E3078" s="2" t="s">
        <v>7620</v>
      </c>
      <c r="F3078" s="2" t="s">
        <v>7649</v>
      </c>
      <c r="G3078" s="2" t="s">
        <v>7609</v>
      </c>
    </row>
    <row r="3079" spans="1:7">
      <c r="A3079" s="3">
        <v>112</v>
      </c>
      <c r="B3079" s="3" t="s">
        <v>517</v>
      </c>
      <c r="C3079" s="3">
        <v>343</v>
      </c>
      <c r="D3079" s="3" t="s">
        <v>977</v>
      </c>
      <c r="E3079" s="3" t="s">
        <v>7620</v>
      </c>
      <c r="F3079" s="3" t="s">
        <v>7659</v>
      </c>
      <c r="G3079" s="3" t="s">
        <v>7609</v>
      </c>
    </row>
    <row r="3080" spans="1:7">
      <c r="A3080" s="2">
        <v>113</v>
      </c>
      <c r="B3080" s="2" t="s">
        <v>595</v>
      </c>
      <c r="C3080" s="2">
        <v>191</v>
      </c>
      <c r="D3080" s="2" t="s">
        <v>719</v>
      </c>
      <c r="E3080" s="2" t="s">
        <v>7620</v>
      </c>
      <c r="F3080" s="2" t="s">
        <v>7611</v>
      </c>
      <c r="G3080" s="2" t="s">
        <v>7621</v>
      </c>
    </row>
    <row r="3081" spans="1:7">
      <c r="A3081" s="3">
        <v>113</v>
      </c>
      <c r="B3081" s="3" t="s">
        <v>595</v>
      </c>
      <c r="C3081" s="3">
        <v>195</v>
      </c>
      <c r="D3081" s="3" t="s">
        <v>734</v>
      </c>
      <c r="E3081" s="3" t="s">
        <v>7620</v>
      </c>
      <c r="F3081" s="3" t="s">
        <v>7611</v>
      </c>
      <c r="G3081" s="3" t="s">
        <v>7622</v>
      </c>
    </row>
    <row r="3082" spans="1:7">
      <c r="A3082" s="2">
        <v>113</v>
      </c>
      <c r="B3082" s="2" t="s">
        <v>595</v>
      </c>
      <c r="C3082" s="2">
        <v>198</v>
      </c>
      <c r="D3082" s="2" t="s">
        <v>698</v>
      </c>
      <c r="E3082" s="2" t="s">
        <v>7620</v>
      </c>
      <c r="F3082" s="2" t="s">
        <v>7611</v>
      </c>
      <c r="G3082" s="2" t="s">
        <v>7622</v>
      </c>
    </row>
    <row r="3083" spans="1:7">
      <c r="A3083" s="3">
        <v>113</v>
      </c>
      <c r="B3083" s="3" t="s">
        <v>595</v>
      </c>
      <c r="C3083" s="3">
        <v>199</v>
      </c>
      <c r="D3083" s="3" t="s">
        <v>702</v>
      </c>
      <c r="E3083" s="3" t="s">
        <v>7620</v>
      </c>
      <c r="F3083" s="3" t="s">
        <v>7611</v>
      </c>
      <c r="G3083" s="3" t="s">
        <v>7621</v>
      </c>
    </row>
    <row r="3084" spans="1:7">
      <c r="A3084" s="2">
        <v>113</v>
      </c>
      <c r="B3084" s="2" t="s">
        <v>595</v>
      </c>
      <c r="C3084" s="2">
        <v>200</v>
      </c>
      <c r="D3084" s="2" t="s">
        <v>707</v>
      </c>
      <c r="E3084" s="2" t="s">
        <v>7620</v>
      </c>
      <c r="F3084" s="2" t="s">
        <v>7611</v>
      </c>
      <c r="G3084" s="2" t="s">
        <v>7621</v>
      </c>
    </row>
    <row r="3085" spans="1:7">
      <c r="A3085" s="3">
        <v>113</v>
      </c>
      <c r="B3085" s="3" t="s">
        <v>595</v>
      </c>
      <c r="C3085" s="3">
        <v>205</v>
      </c>
      <c r="D3085" s="3" t="s">
        <v>746</v>
      </c>
      <c r="E3085" s="3" t="s">
        <v>7620</v>
      </c>
      <c r="F3085" s="3" t="s">
        <v>7611</v>
      </c>
      <c r="G3085" s="3" t="s">
        <v>7622</v>
      </c>
    </row>
    <row r="3086" spans="1:7">
      <c r="A3086" s="2">
        <v>113</v>
      </c>
      <c r="B3086" s="2" t="s">
        <v>595</v>
      </c>
      <c r="C3086" s="2">
        <v>207</v>
      </c>
      <c r="D3086" s="2" t="s">
        <v>749</v>
      </c>
      <c r="E3086" s="2" t="s">
        <v>7640</v>
      </c>
      <c r="F3086" s="2" t="s">
        <v>7611</v>
      </c>
      <c r="G3086" s="2" t="s">
        <v>7619</v>
      </c>
    </row>
    <row r="3087" spans="1:7">
      <c r="A3087" s="3">
        <v>113</v>
      </c>
      <c r="B3087" s="3" t="s">
        <v>595</v>
      </c>
      <c r="C3087" s="3">
        <v>208</v>
      </c>
      <c r="D3087" s="3" t="s">
        <v>754</v>
      </c>
      <c r="E3087" s="3" t="s">
        <v>7620</v>
      </c>
      <c r="F3087" s="3" t="s">
        <v>7611</v>
      </c>
      <c r="G3087" s="3" t="s">
        <v>7621</v>
      </c>
    </row>
    <row r="3088" spans="1:7">
      <c r="A3088" s="2">
        <v>113</v>
      </c>
      <c r="B3088" s="2" t="s">
        <v>595</v>
      </c>
      <c r="C3088" s="2">
        <v>209</v>
      </c>
      <c r="D3088" s="2" t="s">
        <v>758</v>
      </c>
      <c r="E3088" s="2" t="s">
        <v>7620</v>
      </c>
      <c r="F3088" s="2" t="s">
        <v>7608</v>
      </c>
      <c r="G3088" s="2" t="s">
        <v>7625</v>
      </c>
    </row>
    <row r="3089" spans="1:7">
      <c r="A3089" s="3">
        <v>113</v>
      </c>
      <c r="B3089" s="3" t="s">
        <v>595</v>
      </c>
      <c r="C3089" s="3">
        <v>221</v>
      </c>
      <c r="D3089" s="3" t="s">
        <v>813</v>
      </c>
      <c r="E3089" s="3" t="s">
        <v>7640</v>
      </c>
      <c r="F3089" s="3" t="s">
        <v>7611</v>
      </c>
      <c r="G3089" s="3" t="s">
        <v>7617</v>
      </c>
    </row>
    <row r="3090" spans="1:7">
      <c r="A3090" s="2">
        <v>113</v>
      </c>
      <c r="B3090" s="2" t="s">
        <v>595</v>
      </c>
      <c r="C3090" s="2">
        <v>264</v>
      </c>
      <c r="D3090" s="2" t="s">
        <v>775</v>
      </c>
      <c r="E3090" s="2" t="s">
        <v>7620</v>
      </c>
      <c r="F3090" s="2" t="s">
        <v>7611</v>
      </c>
      <c r="G3090" s="2" t="s">
        <v>7621</v>
      </c>
    </row>
    <row r="3091" spans="1:7">
      <c r="A3091" s="3">
        <v>113</v>
      </c>
      <c r="B3091" s="3" t="s">
        <v>595</v>
      </c>
      <c r="C3091" s="3">
        <v>341</v>
      </c>
      <c r="D3091" s="3" t="s">
        <v>1052</v>
      </c>
      <c r="E3091" s="3" t="s">
        <v>7620</v>
      </c>
      <c r="F3091" s="3" t="s">
        <v>7611</v>
      </c>
      <c r="G3091" s="3" t="s">
        <v>7622</v>
      </c>
    </row>
    <row r="3092" spans="1:7">
      <c r="A3092" s="2">
        <v>113</v>
      </c>
      <c r="B3092" s="2" t="s">
        <v>595</v>
      </c>
      <c r="C3092" s="2">
        <v>343</v>
      </c>
      <c r="D3092" s="2" t="s">
        <v>977</v>
      </c>
      <c r="E3092" s="2" t="s">
        <v>7620</v>
      </c>
      <c r="F3092" s="2" t="s">
        <v>7611</v>
      </c>
      <c r="G3092" s="2" t="s">
        <v>7625</v>
      </c>
    </row>
    <row r="3093" spans="1:7">
      <c r="A3093" s="3">
        <v>114</v>
      </c>
      <c r="B3093" s="3" t="s">
        <v>461</v>
      </c>
      <c r="C3093" s="3">
        <v>191</v>
      </c>
      <c r="D3093" s="3" t="s">
        <v>719</v>
      </c>
      <c r="E3093" s="3" t="s">
        <v>7620</v>
      </c>
      <c r="F3093" s="3" t="s">
        <v>7649</v>
      </c>
      <c r="G3093" s="3" t="s">
        <v>7633</v>
      </c>
    </row>
    <row r="3094" spans="1:7">
      <c r="A3094" s="2">
        <v>114</v>
      </c>
      <c r="B3094" s="2" t="s">
        <v>461</v>
      </c>
      <c r="C3094" s="2">
        <v>195</v>
      </c>
      <c r="D3094" s="2" t="s">
        <v>734</v>
      </c>
      <c r="E3094" s="2" t="s">
        <v>7620</v>
      </c>
      <c r="F3094" s="2" t="s">
        <v>7649</v>
      </c>
      <c r="G3094" s="2" t="s">
        <v>7633</v>
      </c>
    </row>
    <row r="3095" spans="1:7">
      <c r="A3095" s="3">
        <v>114</v>
      </c>
      <c r="B3095" s="3" t="s">
        <v>461</v>
      </c>
      <c r="C3095" s="3">
        <v>198</v>
      </c>
      <c r="D3095" s="3" t="s">
        <v>698</v>
      </c>
      <c r="E3095" s="3" t="s">
        <v>7620</v>
      </c>
      <c r="F3095" s="3" t="s">
        <v>7649</v>
      </c>
      <c r="G3095" s="3" t="s">
        <v>7609</v>
      </c>
    </row>
    <row r="3096" spans="1:7">
      <c r="A3096" s="2">
        <v>114</v>
      </c>
      <c r="B3096" s="2" t="s">
        <v>461</v>
      </c>
      <c r="C3096" s="2">
        <v>199</v>
      </c>
      <c r="D3096" s="2" t="s">
        <v>702</v>
      </c>
      <c r="E3096" s="2" t="s">
        <v>7620</v>
      </c>
      <c r="F3096" s="2" t="s">
        <v>7649</v>
      </c>
      <c r="G3096" s="2" t="s">
        <v>7622</v>
      </c>
    </row>
    <row r="3097" spans="1:7">
      <c r="A3097" s="3">
        <v>114</v>
      </c>
      <c r="B3097" s="3" t="s">
        <v>461</v>
      </c>
      <c r="C3097" s="3">
        <v>200</v>
      </c>
      <c r="D3097" s="3" t="s">
        <v>707</v>
      </c>
      <c r="E3097" s="3" t="s">
        <v>7620</v>
      </c>
      <c r="F3097" s="3" t="s">
        <v>7649</v>
      </c>
      <c r="G3097" s="3" t="s">
        <v>7609</v>
      </c>
    </row>
    <row r="3098" spans="1:7">
      <c r="A3098" s="2">
        <v>114</v>
      </c>
      <c r="B3098" s="2" t="s">
        <v>461</v>
      </c>
      <c r="C3098" s="2">
        <v>205</v>
      </c>
      <c r="D3098" s="2" t="s">
        <v>746</v>
      </c>
      <c r="E3098" s="2" t="s">
        <v>7620</v>
      </c>
      <c r="F3098" s="2" t="s">
        <v>7611</v>
      </c>
      <c r="G3098" s="2" t="s">
        <v>7621</v>
      </c>
    </row>
    <row r="3099" spans="1:7">
      <c r="A3099" s="3">
        <v>114</v>
      </c>
      <c r="B3099" s="3" t="s">
        <v>461</v>
      </c>
      <c r="C3099" s="3">
        <v>207</v>
      </c>
      <c r="D3099" s="3" t="s">
        <v>749</v>
      </c>
      <c r="E3099" s="3" t="s">
        <v>7620</v>
      </c>
      <c r="F3099" s="3" t="s">
        <v>7611</v>
      </c>
      <c r="G3099" s="3" t="s">
        <v>7622</v>
      </c>
    </row>
    <row r="3100" spans="1:7">
      <c r="A3100" s="2">
        <v>114</v>
      </c>
      <c r="B3100" s="2" t="s">
        <v>461</v>
      </c>
      <c r="C3100" s="2">
        <v>208</v>
      </c>
      <c r="D3100" s="2" t="s">
        <v>754</v>
      </c>
      <c r="E3100" s="2" t="s">
        <v>7620</v>
      </c>
      <c r="F3100" s="2" t="s">
        <v>7611</v>
      </c>
      <c r="G3100" s="2" t="s">
        <v>7621</v>
      </c>
    </row>
    <row r="3101" spans="1:7">
      <c r="A3101" s="3">
        <v>114</v>
      </c>
      <c r="B3101" s="3" t="s">
        <v>461</v>
      </c>
      <c r="C3101" s="3">
        <v>209</v>
      </c>
      <c r="D3101" s="3" t="s">
        <v>758</v>
      </c>
      <c r="E3101" s="3" t="s">
        <v>7620</v>
      </c>
      <c r="F3101" s="3" t="s">
        <v>7650</v>
      </c>
      <c r="G3101" s="3" t="s">
        <v>7621</v>
      </c>
    </row>
    <row r="3102" spans="1:7">
      <c r="A3102" s="2">
        <v>114</v>
      </c>
      <c r="B3102" s="2" t="s">
        <v>461</v>
      </c>
      <c r="C3102" s="2">
        <v>221</v>
      </c>
      <c r="D3102" s="2" t="s">
        <v>813</v>
      </c>
      <c r="E3102" s="2" t="s">
        <v>7620</v>
      </c>
      <c r="F3102" s="2" t="s">
        <v>7649</v>
      </c>
      <c r="G3102" s="2" t="s">
        <v>7622</v>
      </c>
    </row>
    <row r="3103" spans="1:7">
      <c r="A3103" s="3">
        <v>114</v>
      </c>
      <c r="B3103" s="3" t="s">
        <v>461</v>
      </c>
      <c r="C3103" s="3">
        <v>264</v>
      </c>
      <c r="D3103" s="3" t="s">
        <v>775</v>
      </c>
      <c r="E3103" s="3" t="s">
        <v>7655</v>
      </c>
      <c r="F3103" s="3" t="s">
        <v>7649</v>
      </c>
      <c r="G3103" s="3" t="s">
        <v>7619</v>
      </c>
    </row>
    <row r="3104" spans="1:7">
      <c r="A3104" s="2">
        <v>114</v>
      </c>
      <c r="B3104" s="2" t="s">
        <v>461</v>
      </c>
      <c r="C3104" s="2">
        <v>341</v>
      </c>
      <c r="D3104" s="2" t="s">
        <v>1052</v>
      </c>
      <c r="E3104" s="2" t="s">
        <v>7655</v>
      </c>
      <c r="F3104" s="2" t="s">
        <v>7649</v>
      </c>
      <c r="G3104" s="2" t="s">
        <v>7639</v>
      </c>
    </row>
    <row r="3105" spans="1:7">
      <c r="A3105" s="3">
        <v>114</v>
      </c>
      <c r="B3105" s="3" t="s">
        <v>461</v>
      </c>
      <c r="C3105" s="3">
        <v>343</v>
      </c>
      <c r="D3105" s="3" t="s">
        <v>977</v>
      </c>
      <c r="E3105" s="3" t="s">
        <v>7620</v>
      </c>
      <c r="F3105" s="3" t="s">
        <v>7649</v>
      </c>
      <c r="G3105" s="3" t="s">
        <v>7622</v>
      </c>
    </row>
    <row r="3106" spans="1:7">
      <c r="A3106" s="2">
        <v>115</v>
      </c>
      <c r="B3106" s="2" t="s">
        <v>476</v>
      </c>
      <c r="C3106" s="2">
        <v>189</v>
      </c>
      <c r="D3106" s="2" t="s">
        <v>742</v>
      </c>
      <c r="E3106" s="2" t="s">
        <v>7653</v>
      </c>
      <c r="F3106" s="2" t="s">
        <v>7608</v>
      </c>
      <c r="G3106" s="2" t="s">
        <v>7625</v>
      </c>
    </row>
    <row r="3107" spans="1:7">
      <c r="A3107" s="3">
        <v>115</v>
      </c>
      <c r="B3107" s="3" t="s">
        <v>476</v>
      </c>
      <c r="C3107" s="3">
        <v>191</v>
      </c>
      <c r="D3107" s="3" t="s">
        <v>719</v>
      </c>
      <c r="E3107" s="3" t="s">
        <v>7620</v>
      </c>
      <c r="F3107" s="3" t="s">
        <v>7611</v>
      </c>
      <c r="G3107" s="3" t="s">
        <v>7621</v>
      </c>
    </row>
    <row r="3108" spans="1:7">
      <c r="A3108" s="2">
        <v>115</v>
      </c>
      <c r="B3108" s="2" t="s">
        <v>476</v>
      </c>
      <c r="C3108" s="2">
        <v>195</v>
      </c>
      <c r="D3108" s="2" t="s">
        <v>734</v>
      </c>
      <c r="E3108" s="2" t="s">
        <v>7620</v>
      </c>
      <c r="F3108" s="2" t="s">
        <v>7611</v>
      </c>
      <c r="G3108" s="2" t="s">
        <v>7621</v>
      </c>
    </row>
    <row r="3109" spans="1:7">
      <c r="A3109" s="3">
        <v>115</v>
      </c>
      <c r="B3109" s="3" t="s">
        <v>476</v>
      </c>
      <c r="C3109" s="3">
        <v>198</v>
      </c>
      <c r="D3109" s="3" t="s">
        <v>698</v>
      </c>
      <c r="E3109" s="3" t="s">
        <v>7620</v>
      </c>
      <c r="F3109" s="3" t="s">
        <v>7611</v>
      </c>
      <c r="G3109" s="3" t="s">
        <v>7622</v>
      </c>
    </row>
    <row r="3110" spans="1:7">
      <c r="A3110" s="2">
        <v>115</v>
      </c>
      <c r="B3110" s="2" t="s">
        <v>476</v>
      </c>
      <c r="C3110" s="2">
        <v>199</v>
      </c>
      <c r="D3110" s="2" t="s">
        <v>702</v>
      </c>
      <c r="E3110" s="2" t="s">
        <v>7654</v>
      </c>
      <c r="F3110" s="2" t="s">
        <v>7611</v>
      </c>
      <c r="G3110" s="2" t="s">
        <v>7636</v>
      </c>
    </row>
    <row r="3111" spans="1:7">
      <c r="A3111" s="3">
        <v>115</v>
      </c>
      <c r="B3111" s="3" t="s">
        <v>476</v>
      </c>
      <c r="C3111" s="3">
        <v>200</v>
      </c>
      <c r="D3111" s="3" t="s">
        <v>707</v>
      </c>
      <c r="E3111" s="3" t="s">
        <v>7654</v>
      </c>
      <c r="F3111" s="3" t="s">
        <v>7611</v>
      </c>
      <c r="G3111" s="3" t="s">
        <v>7636</v>
      </c>
    </row>
    <row r="3112" spans="1:7">
      <c r="A3112" s="2">
        <v>115</v>
      </c>
      <c r="B3112" s="2" t="s">
        <v>476</v>
      </c>
      <c r="C3112" s="2">
        <v>205</v>
      </c>
      <c r="D3112" s="2" t="s">
        <v>746</v>
      </c>
      <c r="E3112" s="2" t="s">
        <v>7620</v>
      </c>
      <c r="F3112" s="2" t="s">
        <v>7611</v>
      </c>
      <c r="G3112" s="2" t="s">
        <v>7625</v>
      </c>
    </row>
    <row r="3113" spans="1:7">
      <c r="A3113" s="3">
        <v>115</v>
      </c>
      <c r="B3113" s="3" t="s">
        <v>476</v>
      </c>
      <c r="C3113" s="3">
        <v>207</v>
      </c>
      <c r="D3113" s="3" t="s">
        <v>749</v>
      </c>
      <c r="E3113" s="3" t="s">
        <v>7620</v>
      </c>
      <c r="F3113" s="3" t="s">
        <v>7611</v>
      </c>
      <c r="G3113" s="3" t="s">
        <v>7621</v>
      </c>
    </row>
    <row r="3114" spans="1:7">
      <c r="A3114" s="2">
        <v>115</v>
      </c>
      <c r="B3114" s="2" t="s">
        <v>476</v>
      </c>
      <c r="C3114" s="2">
        <v>208</v>
      </c>
      <c r="D3114" s="2" t="s">
        <v>754</v>
      </c>
      <c r="E3114" s="2" t="s">
        <v>7620</v>
      </c>
      <c r="F3114" s="2" t="s">
        <v>7611</v>
      </c>
      <c r="G3114" s="2" t="s">
        <v>7621</v>
      </c>
    </row>
    <row r="3115" spans="1:7">
      <c r="A3115" s="3">
        <v>115</v>
      </c>
      <c r="B3115" s="3" t="s">
        <v>476</v>
      </c>
      <c r="C3115" s="3">
        <v>221</v>
      </c>
      <c r="D3115" s="3" t="s">
        <v>813</v>
      </c>
      <c r="E3115" s="3" t="s">
        <v>7620</v>
      </c>
      <c r="F3115" s="3" t="s">
        <v>7611</v>
      </c>
      <c r="G3115" s="3" t="s">
        <v>7625</v>
      </c>
    </row>
    <row r="3116" spans="1:7">
      <c r="A3116" s="2">
        <v>115</v>
      </c>
      <c r="B3116" s="2" t="s">
        <v>476</v>
      </c>
      <c r="C3116" s="2">
        <v>264</v>
      </c>
      <c r="D3116" s="2" t="s">
        <v>775</v>
      </c>
      <c r="E3116" s="2" t="s">
        <v>7620</v>
      </c>
      <c r="F3116" s="2" t="s">
        <v>7611</v>
      </c>
      <c r="G3116" s="2" t="s">
        <v>7625</v>
      </c>
    </row>
    <row r="3117" spans="1:7">
      <c r="A3117" s="3">
        <v>115</v>
      </c>
      <c r="B3117" s="3" t="s">
        <v>476</v>
      </c>
      <c r="C3117" s="3">
        <v>341</v>
      </c>
      <c r="D3117" s="3" t="s">
        <v>1052</v>
      </c>
      <c r="E3117" s="3" t="s">
        <v>7620</v>
      </c>
      <c r="F3117" s="3" t="s">
        <v>7611</v>
      </c>
      <c r="G3117" s="3" t="s">
        <v>7621</v>
      </c>
    </row>
    <row r="3118" spans="1:7">
      <c r="A3118" s="2">
        <v>115</v>
      </c>
      <c r="B3118" s="2" t="s">
        <v>476</v>
      </c>
      <c r="C3118" s="2">
        <v>343</v>
      </c>
      <c r="D3118" s="2" t="s">
        <v>977</v>
      </c>
      <c r="E3118" s="2" t="s">
        <v>7620</v>
      </c>
      <c r="F3118" s="2" t="s">
        <v>7611</v>
      </c>
      <c r="G3118" s="2" t="s">
        <v>7621</v>
      </c>
    </row>
    <row r="3119" spans="1:7">
      <c r="A3119" s="3">
        <v>116</v>
      </c>
      <c r="B3119" s="3" t="s">
        <v>584</v>
      </c>
      <c r="C3119" s="3">
        <v>191</v>
      </c>
      <c r="D3119" s="3" t="s">
        <v>719</v>
      </c>
      <c r="E3119" s="3" t="s">
        <v>7620</v>
      </c>
      <c r="F3119" s="3" t="s">
        <v>7611</v>
      </c>
      <c r="G3119" s="3" t="s">
        <v>7621</v>
      </c>
    </row>
    <row r="3120" spans="1:7">
      <c r="A3120" s="2">
        <v>116</v>
      </c>
      <c r="B3120" s="2" t="s">
        <v>584</v>
      </c>
      <c r="C3120" s="2">
        <v>195</v>
      </c>
      <c r="D3120" s="2" t="s">
        <v>734</v>
      </c>
      <c r="E3120" s="2" t="s">
        <v>7620</v>
      </c>
      <c r="F3120" s="2" t="s">
        <v>7611</v>
      </c>
      <c r="G3120" s="2" t="s">
        <v>7621</v>
      </c>
    </row>
    <row r="3121" spans="1:7">
      <c r="A3121" s="3">
        <v>116</v>
      </c>
      <c r="B3121" s="3" t="s">
        <v>584</v>
      </c>
      <c r="C3121" s="3">
        <v>198</v>
      </c>
      <c r="D3121" s="3" t="s">
        <v>698</v>
      </c>
      <c r="E3121" s="3" t="s">
        <v>7620</v>
      </c>
      <c r="F3121" s="3" t="s">
        <v>7611</v>
      </c>
      <c r="G3121" s="3" t="s">
        <v>7622</v>
      </c>
    </row>
    <row r="3122" spans="1:7">
      <c r="A3122" s="2">
        <v>116</v>
      </c>
      <c r="B3122" s="2" t="s">
        <v>584</v>
      </c>
      <c r="C3122" s="2">
        <v>199</v>
      </c>
      <c r="D3122" s="2" t="s">
        <v>702</v>
      </c>
      <c r="E3122" s="2" t="s">
        <v>7620</v>
      </c>
      <c r="F3122" s="2" t="s">
        <v>7611</v>
      </c>
      <c r="G3122" s="2" t="s">
        <v>7625</v>
      </c>
    </row>
    <row r="3123" spans="1:7">
      <c r="A3123" s="3">
        <v>116</v>
      </c>
      <c r="B3123" s="3" t="s">
        <v>584</v>
      </c>
      <c r="C3123" s="3">
        <v>200</v>
      </c>
      <c r="D3123" s="3" t="s">
        <v>707</v>
      </c>
      <c r="E3123" s="3" t="s">
        <v>7620</v>
      </c>
      <c r="F3123" s="3" t="s">
        <v>7611</v>
      </c>
      <c r="G3123" s="3" t="s">
        <v>7622</v>
      </c>
    </row>
    <row r="3124" spans="1:7">
      <c r="A3124" s="2">
        <v>116</v>
      </c>
      <c r="B3124" s="2" t="s">
        <v>584</v>
      </c>
      <c r="C3124" s="2">
        <v>205</v>
      </c>
      <c r="D3124" s="2" t="s">
        <v>746</v>
      </c>
      <c r="E3124" s="2" t="s">
        <v>7620</v>
      </c>
      <c r="F3124" s="2" t="s">
        <v>7611</v>
      </c>
      <c r="G3124" s="2" t="s">
        <v>7621</v>
      </c>
    </row>
    <row r="3125" spans="1:7">
      <c r="A3125" s="3">
        <v>116</v>
      </c>
      <c r="B3125" s="3" t="s">
        <v>584</v>
      </c>
      <c r="C3125" s="3">
        <v>207</v>
      </c>
      <c r="D3125" s="3" t="s">
        <v>749</v>
      </c>
      <c r="E3125" s="3" t="s">
        <v>7640</v>
      </c>
      <c r="F3125" s="3" t="s">
        <v>7611</v>
      </c>
      <c r="G3125" s="3" t="s">
        <v>7617</v>
      </c>
    </row>
    <row r="3126" spans="1:7">
      <c r="A3126" s="2">
        <v>116</v>
      </c>
      <c r="B3126" s="2" t="s">
        <v>584</v>
      </c>
      <c r="C3126" s="2">
        <v>208</v>
      </c>
      <c r="D3126" s="2" t="s">
        <v>754</v>
      </c>
      <c r="E3126" s="2" t="s">
        <v>7620</v>
      </c>
      <c r="F3126" s="2" t="s">
        <v>7611</v>
      </c>
      <c r="G3126" s="2" t="s">
        <v>7621</v>
      </c>
    </row>
    <row r="3127" spans="1:7">
      <c r="A3127" s="3">
        <v>116</v>
      </c>
      <c r="B3127" s="3" t="s">
        <v>584</v>
      </c>
      <c r="C3127" s="3">
        <v>221</v>
      </c>
      <c r="D3127" s="3" t="s">
        <v>813</v>
      </c>
      <c r="E3127" s="3" t="s">
        <v>7640</v>
      </c>
      <c r="F3127" s="3" t="s">
        <v>7611</v>
      </c>
      <c r="G3127" s="3" t="s">
        <v>7609</v>
      </c>
    </row>
    <row r="3128" spans="1:7">
      <c r="A3128" s="2">
        <v>116</v>
      </c>
      <c r="B3128" s="2" t="s">
        <v>584</v>
      </c>
      <c r="C3128" s="2">
        <v>264</v>
      </c>
      <c r="D3128" s="2" t="s">
        <v>775</v>
      </c>
      <c r="E3128" s="2" t="s">
        <v>7620</v>
      </c>
      <c r="F3128" s="2" t="s">
        <v>7611</v>
      </c>
      <c r="G3128" s="2" t="s">
        <v>7625</v>
      </c>
    </row>
    <row r="3129" spans="1:7">
      <c r="A3129" s="3">
        <v>116</v>
      </c>
      <c r="B3129" s="3" t="s">
        <v>584</v>
      </c>
      <c r="C3129" s="3">
        <v>341</v>
      </c>
      <c r="D3129" s="3" t="s">
        <v>1052</v>
      </c>
      <c r="E3129" s="3" t="s">
        <v>7620</v>
      </c>
      <c r="F3129" s="3" t="s">
        <v>7611</v>
      </c>
      <c r="G3129" s="3" t="s">
        <v>7621</v>
      </c>
    </row>
    <row r="3130" spans="1:7">
      <c r="A3130" s="2">
        <v>116</v>
      </c>
      <c r="B3130" s="2" t="s">
        <v>584</v>
      </c>
      <c r="C3130" s="2">
        <v>343</v>
      </c>
      <c r="D3130" s="2" t="s">
        <v>977</v>
      </c>
      <c r="E3130" s="2" t="s">
        <v>7620</v>
      </c>
      <c r="F3130" s="2" t="s">
        <v>7611</v>
      </c>
      <c r="G3130" s="2" t="s">
        <v>7625</v>
      </c>
    </row>
    <row r="3131" spans="1:7">
      <c r="A3131" s="3">
        <v>117</v>
      </c>
      <c r="B3131" s="3" t="s">
        <v>528</v>
      </c>
      <c r="C3131" s="3">
        <v>191</v>
      </c>
      <c r="D3131" s="3" t="s">
        <v>719</v>
      </c>
      <c r="E3131" s="3" t="s">
        <v>7620</v>
      </c>
      <c r="F3131" s="3" t="s">
        <v>7611</v>
      </c>
      <c r="G3131" s="3" t="s">
        <v>7621</v>
      </c>
    </row>
    <row r="3132" spans="1:7">
      <c r="A3132" s="2">
        <v>117</v>
      </c>
      <c r="B3132" s="2" t="s">
        <v>528</v>
      </c>
      <c r="C3132" s="2">
        <v>195</v>
      </c>
      <c r="D3132" s="2" t="s">
        <v>734</v>
      </c>
      <c r="E3132" s="2" t="s">
        <v>7620</v>
      </c>
      <c r="F3132" s="2" t="s">
        <v>7611</v>
      </c>
      <c r="G3132" s="2" t="s">
        <v>7633</v>
      </c>
    </row>
    <row r="3133" spans="1:7">
      <c r="A3133" s="3">
        <v>117</v>
      </c>
      <c r="B3133" s="3" t="s">
        <v>528</v>
      </c>
      <c r="C3133" s="3">
        <v>198</v>
      </c>
      <c r="D3133" s="3" t="s">
        <v>698</v>
      </c>
      <c r="E3133" s="3" t="s">
        <v>7620</v>
      </c>
      <c r="F3133" s="3" t="s">
        <v>7611</v>
      </c>
      <c r="G3133" s="3" t="s">
        <v>7633</v>
      </c>
    </row>
    <row r="3134" spans="1:7">
      <c r="A3134" s="2">
        <v>117</v>
      </c>
      <c r="B3134" s="2" t="s">
        <v>528</v>
      </c>
      <c r="C3134" s="2">
        <v>199</v>
      </c>
      <c r="D3134" s="2" t="s">
        <v>702</v>
      </c>
      <c r="E3134" s="2" t="s">
        <v>7620</v>
      </c>
      <c r="F3134" s="2" t="s">
        <v>7611</v>
      </c>
      <c r="G3134" s="2" t="s">
        <v>7621</v>
      </c>
    </row>
    <row r="3135" spans="1:7">
      <c r="A3135" s="3">
        <v>117</v>
      </c>
      <c r="B3135" s="3" t="s">
        <v>528</v>
      </c>
      <c r="C3135" s="3">
        <v>200</v>
      </c>
      <c r="D3135" s="3" t="s">
        <v>707</v>
      </c>
      <c r="E3135" s="3" t="s">
        <v>7620</v>
      </c>
      <c r="F3135" s="3" t="s">
        <v>7611</v>
      </c>
      <c r="G3135" s="3" t="s">
        <v>7622</v>
      </c>
    </row>
    <row r="3136" spans="1:7">
      <c r="A3136" s="2">
        <v>117</v>
      </c>
      <c r="B3136" s="2" t="s">
        <v>528</v>
      </c>
      <c r="C3136" s="2">
        <v>205</v>
      </c>
      <c r="D3136" s="2" t="s">
        <v>746</v>
      </c>
      <c r="E3136" s="2" t="s">
        <v>7620</v>
      </c>
      <c r="F3136" s="2" t="s">
        <v>7611</v>
      </c>
      <c r="G3136" s="2" t="s">
        <v>7622</v>
      </c>
    </row>
    <row r="3137" spans="1:7">
      <c r="A3137" s="3">
        <v>117</v>
      </c>
      <c r="B3137" s="3" t="s">
        <v>528</v>
      </c>
      <c r="C3137" s="3">
        <v>207</v>
      </c>
      <c r="D3137" s="3" t="s">
        <v>749</v>
      </c>
      <c r="E3137" s="3" t="s">
        <v>7620</v>
      </c>
      <c r="F3137" s="3" t="s">
        <v>7611</v>
      </c>
      <c r="G3137" s="3" t="s">
        <v>7622</v>
      </c>
    </row>
    <row r="3138" spans="1:7">
      <c r="A3138" s="2">
        <v>117</v>
      </c>
      <c r="B3138" s="2" t="s">
        <v>528</v>
      </c>
      <c r="C3138" s="2">
        <v>208</v>
      </c>
      <c r="D3138" s="2" t="s">
        <v>754</v>
      </c>
      <c r="E3138" s="2" t="s">
        <v>7620</v>
      </c>
      <c r="F3138" s="2" t="s">
        <v>7611</v>
      </c>
      <c r="G3138" s="2" t="s">
        <v>7621</v>
      </c>
    </row>
    <row r="3139" spans="1:7">
      <c r="A3139" s="3">
        <v>117</v>
      </c>
      <c r="B3139" s="3" t="s">
        <v>528</v>
      </c>
      <c r="C3139" s="3">
        <v>209</v>
      </c>
      <c r="D3139" s="3" t="s">
        <v>758</v>
      </c>
      <c r="E3139" s="3" t="s">
        <v>7620</v>
      </c>
      <c r="F3139" s="3" t="s">
        <v>7608</v>
      </c>
      <c r="G3139" s="3" t="s">
        <v>7621</v>
      </c>
    </row>
    <row r="3140" spans="1:7">
      <c r="A3140" s="2">
        <v>117</v>
      </c>
      <c r="B3140" s="2" t="s">
        <v>528</v>
      </c>
      <c r="C3140" s="2">
        <v>221</v>
      </c>
      <c r="D3140" s="2" t="s">
        <v>813</v>
      </c>
      <c r="E3140" s="2" t="s">
        <v>7620</v>
      </c>
      <c r="F3140" s="2" t="s">
        <v>7611</v>
      </c>
      <c r="G3140" s="2" t="s">
        <v>7621</v>
      </c>
    </row>
    <row r="3141" spans="1:7">
      <c r="A3141" s="3">
        <v>117</v>
      </c>
      <c r="B3141" s="3" t="s">
        <v>528</v>
      </c>
      <c r="C3141" s="3">
        <v>264</v>
      </c>
      <c r="D3141" s="3" t="s">
        <v>775</v>
      </c>
      <c r="E3141" s="3" t="s">
        <v>7620</v>
      </c>
      <c r="F3141" s="3" t="s">
        <v>7611</v>
      </c>
      <c r="G3141" s="3" t="s">
        <v>7621</v>
      </c>
    </row>
    <row r="3142" spans="1:7">
      <c r="A3142" s="2">
        <v>117</v>
      </c>
      <c r="B3142" s="2" t="s">
        <v>528</v>
      </c>
      <c r="C3142" s="2">
        <v>341</v>
      </c>
      <c r="D3142" s="2" t="s">
        <v>1052</v>
      </c>
      <c r="E3142" s="2" t="s">
        <v>7620</v>
      </c>
      <c r="F3142" s="2" t="s">
        <v>7611</v>
      </c>
      <c r="G3142" s="2" t="s">
        <v>7621</v>
      </c>
    </row>
    <row r="3143" spans="1:7">
      <c r="A3143" s="3">
        <v>117</v>
      </c>
      <c r="B3143" s="3" t="s">
        <v>528</v>
      </c>
      <c r="C3143" s="3">
        <v>343</v>
      </c>
      <c r="D3143" s="3" t="s">
        <v>977</v>
      </c>
      <c r="E3143" s="3" t="s">
        <v>7620</v>
      </c>
      <c r="F3143" s="3" t="s">
        <v>7611</v>
      </c>
      <c r="G3143" s="3" t="s">
        <v>7625</v>
      </c>
    </row>
    <row r="3144" spans="1:7">
      <c r="A3144" s="2">
        <v>118</v>
      </c>
      <c r="B3144" s="2" t="s">
        <v>514</v>
      </c>
      <c r="C3144" s="2">
        <v>189</v>
      </c>
      <c r="D3144" s="2" t="s">
        <v>742</v>
      </c>
      <c r="E3144" s="2" t="s">
        <v>7653</v>
      </c>
      <c r="F3144" s="2" t="s">
        <v>7608</v>
      </c>
      <c r="G3144" s="2" t="s">
        <v>7625</v>
      </c>
    </row>
    <row r="3145" spans="1:7">
      <c r="A3145" s="3">
        <v>118</v>
      </c>
      <c r="B3145" s="3" t="s">
        <v>514</v>
      </c>
      <c r="C3145" s="3">
        <v>191</v>
      </c>
      <c r="D3145" s="3" t="s">
        <v>719</v>
      </c>
      <c r="E3145" s="3" t="s">
        <v>7620</v>
      </c>
      <c r="F3145" s="3" t="s">
        <v>7611</v>
      </c>
      <c r="G3145" s="3" t="s">
        <v>7621</v>
      </c>
    </row>
    <row r="3146" spans="1:7">
      <c r="A3146" s="2">
        <v>118</v>
      </c>
      <c r="B3146" s="2" t="s">
        <v>514</v>
      </c>
      <c r="C3146" s="2">
        <v>195</v>
      </c>
      <c r="D3146" s="2" t="s">
        <v>734</v>
      </c>
      <c r="E3146" s="2" t="s">
        <v>7620</v>
      </c>
      <c r="F3146" s="2" t="s">
        <v>7611</v>
      </c>
      <c r="G3146" s="2" t="s">
        <v>7622</v>
      </c>
    </row>
    <row r="3147" spans="1:7">
      <c r="A3147" s="3">
        <v>118</v>
      </c>
      <c r="B3147" s="3" t="s">
        <v>514</v>
      </c>
      <c r="C3147" s="3">
        <v>198</v>
      </c>
      <c r="D3147" s="3" t="s">
        <v>698</v>
      </c>
      <c r="E3147" s="3" t="s">
        <v>7620</v>
      </c>
      <c r="F3147" s="3" t="s">
        <v>7611</v>
      </c>
      <c r="G3147" s="3" t="s">
        <v>7622</v>
      </c>
    </row>
    <row r="3148" spans="1:7">
      <c r="A3148" s="2">
        <v>118</v>
      </c>
      <c r="B3148" s="2" t="s">
        <v>514</v>
      </c>
      <c r="C3148" s="2">
        <v>199</v>
      </c>
      <c r="D3148" s="2" t="s">
        <v>702</v>
      </c>
      <c r="E3148" s="2" t="s">
        <v>7654</v>
      </c>
      <c r="F3148" s="2" t="s">
        <v>7611</v>
      </c>
      <c r="G3148" s="2" t="s">
        <v>7636</v>
      </c>
    </row>
    <row r="3149" spans="1:7">
      <c r="A3149" s="3">
        <v>118</v>
      </c>
      <c r="B3149" s="3" t="s">
        <v>514</v>
      </c>
      <c r="C3149" s="3">
        <v>200</v>
      </c>
      <c r="D3149" s="3" t="s">
        <v>707</v>
      </c>
      <c r="E3149" s="3" t="s">
        <v>7654</v>
      </c>
      <c r="F3149" s="3" t="s">
        <v>7611</v>
      </c>
      <c r="G3149" s="3" t="s">
        <v>7636</v>
      </c>
    </row>
    <row r="3150" spans="1:7">
      <c r="A3150" s="2">
        <v>118</v>
      </c>
      <c r="B3150" s="2" t="s">
        <v>514</v>
      </c>
      <c r="C3150" s="2">
        <v>205</v>
      </c>
      <c r="D3150" s="2" t="s">
        <v>746</v>
      </c>
      <c r="E3150" s="2" t="s">
        <v>7620</v>
      </c>
      <c r="F3150" s="2" t="s">
        <v>7611</v>
      </c>
      <c r="G3150" s="2" t="s">
        <v>7622</v>
      </c>
    </row>
    <row r="3151" spans="1:7">
      <c r="A3151" s="3">
        <v>118</v>
      </c>
      <c r="B3151" s="3" t="s">
        <v>514</v>
      </c>
      <c r="C3151" s="3">
        <v>207</v>
      </c>
      <c r="D3151" s="3" t="s">
        <v>749</v>
      </c>
      <c r="E3151" s="3" t="s">
        <v>7620</v>
      </c>
      <c r="F3151" s="3" t="s">
        <v>7611</v>
      </c>
      <c r="G3151" s="3" t="s">
        <v>7622</v>
      </c>
    </row>
    <row r="3152" spans="1:7">
      <c r="A3152" s="2">
        <v>118</v>
      </c>
      <c r="B3152" s="2" t="s">
        <v>514</v>
      </c>
      <c r="C3152" s="2">
        <v>208</v>
      </c>
      <c r="D3152" s="2" t="s">
        <v>754</v>
      </c>
      <c r="E3152" s="2" t="s">
        <v>7620</v>
      </c>
      <c r="F3152" s="2" t="s">
        <v>7611</v>
      </c>
      <c r="G3152" s="2" t="s">
        <v>7621</v>
      </c>
    </row>
    <row r="3153" spans="1:7">
      <c r="A3153" s="3">
        <v>118</v>
      </c>
      <c r="B3153" s="3" t="s">
        <v>514</v>
      </c>
      <c r="C3153" s="3">
        <v>209</v>
      </c>
      <c r="D3153" s="3" t="s">
        <v>758</v>
      </c>
      <c r="E3153" s="3" t="s">
        <v>7620</v>
      </c>
      <c r="F3153" s="3" t="s">
        <v>7608</v>
      </c>
      <c r="G3153" s="3" t="s">
        <v>7625</v>
      </c>
    </row>
    <row r="3154" spans="1:7">
      <c r="A3154" s="2">
        <v>118</v>
      </c>
      <c r="B3154" s="2" t="s">
        <v>514</v>
      </c>
      <c r="C3154" s="2">
        <v>221</v>
      </c>
      <c r="D3154" s="2" t="s">
        <v>813</v>
      </c>
      <c r="E3154" s="2" t="s">
        <v>7696</v>
      </c>
      <c r="F3154" s="2" t="s">
        <v>7611</v>
      </c>
      <c r="G3154" s="2" t="s">
        <v>7617</v>
      </c>
    </row>
    <row r="3155" spans="1:7">
      <c r="A3155" s="3">
        <v>118</v>
      </c>
      <c r="B3155" s="3" t="s">
        <v>514</v>
      </c>
      <c r="C3155" s="3">
        <v>264</v>
      </c>
      <c r="D3155" s="3" t="s">
        <v>775</v>
      </c>
      <c r="E3155" s="3" t="s">
        <v>7620</v>
      </c>
      <c r="F3155" s="3" t="s">
        <v>7611</v>
      </c>
      <c r="G3155" s="3" t="s">
        <v>7621</v>
      </c>
    </row>
    <row r="3156" spans="1:7">
      <c r="A3156" s="2">
        <v>118</v>
      </c>
      <c r="B3156" s="2" t="s">
        <v>514</v>
      </c>
      <c r="C3156" s="2">
        <v>341</v>
      </c>
      <c r="D3156" s="2" t="s">
        <v>1052</v>
      </c>
      <c r="E3156" s="2" t="s">
        <v>7620</v>
      </c>
      <c r="F3156" s="2" t="s">
        <v>7611</v>
      </c>
      <c r="G3156" s="2" t="s">
        <v>7621</v>
      </c>
    </row>
    <row r="3157" spans="1:7">
      <c r="A3157" s="3">
        <v>118</v>
      </c>
      <c r="B3157" s="3" t="s">
        <v>514</v>
      </c>
      <c r="C3157" s="3">
        <v>343</v>
      </c>
      <c r="D3157" s="3" t="s">
        <v>977</v>
      </c>
      <c r="E3157" s="3" t="s">
        <v>7620</v>
      </c>
      <c r="F3157" s="3" t="s">
        <v>7611</v>
      </c>
      <c r="G3157" s="3" t="s">
        <v>7625</v>
      </c>
    </row>
    <row r="3158" spans="1:7">
      <c r="A3158" s="2">
        <v>119</v>
      </c>
      <c r="B3158" s="2" t="s">
        <v>367</v>
      </c>
      <c r="C3158" s="2">
        <v>191</v>
      </c>
      <c r="D3158" s="2" t="s">
        <v>719</v>
      </c>
      <c r="E3158" s="2" t="s">
        <v>7620</v>
      </c>
      <c r="F3158" s="2" t="s">
        <v>7659</v>
      </c>
      <c r="G3158" s="2" t="s">
        <v>7619</v>
      </c>
    </row>
    <row r="3159" spans="1:7">
      <c r="A3159" s="3">
        <v>119</v>
      </c>
      <c r="B3159" s="3" t="s">
        <v>367</v>
      </c>
      <c r="C3159" s="3">
        <v>195</v>
      </c>
      <c r="D3159" s="3" t="s">
        <v>734</v>
      </c>
      <c r="E3159" s="3" t="s">
        <v>7729</v>
      </c>
      <c r="F3159" s="3" t="s">
        <v>7659</v>
      </c>
      <c r="G3159" s="3" t="s">
        <v>7641</v>
      </c>
    </row>
    <row r="3160" spans="1:7">
      <c r="A3160" s="2">
        <v>119</v>
      </c>
      <c r="B3160" s="2" t="s">
        <v>367</v>
      </c>
      <c r="C3160" s="2">
        <v>198</v>
      </c>
      <c r="D3160" s="2" t="s">
        <v>698</v>
      </c>
      <c r="E3160" s="2" t="s">
        <v>7620</v>
      </c>
      <c r="F3160" s="2" t="s">
        <v>7659</v>
      </c>
      <c r="G3160" s="2" t="s">
        <v>7634</v>
      </c>
    </row>
    <row r="3161" spans="1:7">
      <c r="A3161" s="3">
        <v>119</v>
      </c>
      <c r="B3161" s="3" t="s">
        <v>367</v>
      </c>
      <c r="C3161" s="3">
        <v>199</v>
      </c>
      <c r="D3161" s="3" t="s">
        <v>702</v>
      </c>
      <c r="E3161" s="3" t="s">
        <v>7729</v>
      </c>
      <c r="F3161" s="3" t="s">
        <v>7659</v>
      </c>
      <c r="G3161" s="3" t="s">
        <v>7632</v>
      </c>
    </row>
    <row r="3162" spans="1:7">
      <c r="A3162" s="2">
        <v>119</v>
      </c>
      <c r="B3162" s="2" t="s">
        <v>367</v>
      </c>
      <c r="C3162" s="2">
        <v>200</v>
      </c>
      <c r="D3162" s="2" t="s">
        <v>707</v>
      </c>
      <c r="E3162" s="2" t="s">
        <v>7620</v>
      </c>
      <c r="F3162" s="2" t="s">
        <v>7659</v>
      </c>
      <c r="G3162" s="2" t="s">
        <v>7636</v>
      </c>
    </row>
    <row r="3163" spans="1:7">
      <c r="A3163" s="3">
        <v>119</v>
      </c>
      <c r="B3163" s="3" t="s">
        <v>367</v>
      </c>
      <c r="C3163" s="3">
        <v>201</v>
      </c>
      <c r="D3163" s="3" t="s">
        <v>695</v>
      </c>
      <c r="E3163" s="3" t="s">
        <v>7675</v>
      </c>
      <c r="F3163" s="3" t="s">
        <v>7659</v>
      </c>
      <c r="G3163" s="3" t="s">
        <v>7617</v>
      </c>
    </row>
    <row r="3164" spans="1:7">
      <c r="A3164" s="2">
        <v>119</v>
      </c>
      <c r="B3164" s="2" t="s">
        <v>367</v>
      </c>
      <c r="C3164" s="2">
        <v>204</v>
      </c>
      <c r="D3164" s="2" t="s">
        <v>685</v>
      </c>
      <c r="E3164" s="2" t="s">
        <v>7608</v>
      </c>
      <c r="F3164" s="2" t="s">
        <v>7659</v>
      </c>
      <c r="G3164" s="2" t="s">
        <v>7625</v>
      </c>
    </row>
    <row r="3165" spans="1:7">
      <c r="A3165" s="3">
        <v>119</v>
      </c>
      <c r="B3165" s="3" t="s">
        <v>367</v>
      </c>
      <c r="C3165" s="3">
        <v>205</v>
      </c>
      <c r="D3165" s="3" t="s">
        <v>746</v>
      </c>
      <c r="E3165" s="3" t="s">
        <v>7620</v>
      </c>
      <c r="F3165" s="3" t="s">
        <v>7628</v>
      </c>
      <c r="G3165" s="3" t="s">
        <v>7609</v>
      </c>
    </row>
    <row r="3166" spans="1:7">
      <c r="A3166" s="2">
        <v>119</v>
      </c>
      <c r="B3166" s="2" t="s">
        <v>367</v>
      </c>
      <c r="C3166" s="2">
        <v>207</v>
      </c>
      <c r="D3166" s="2" t="s">
        <v>749</v>
      </c>
      <c r="E3166" s="2" t="s">
        <v>7620</v>
      </c>
      <c r="F3166" s="2" t="s">
        <v>7611</v>
      </c>
      <c r="G3166" s="2" t="s">
        <v>7622</v>
      </c>
    </row>
    <row r="3167" spans="1:7">
      <c r="A3167" s="3">
        <v>119</v>
      </c>
      <c r="B3167" s="3" t="s">
        <v>367</v>
      </c>
      <c r="C3167" s="3">
        <v>208</v>
      </c>
      <c r="D3167" s="3" t="s">
        <v>754</v>
      </c>
      <c r="E3167" s="3" t="s">
        <v>7620</v>
      </c>
      <c r="F3167" s="3" t="s">
        <v>7628</v>
      </c>
      <c r="G3167" s="3" t="s">
        <v>7617</v>
      </c>
    </row>
    <row r="3168" spans="1:7">
      <c r="A3168" s="2">
        <v>119</v>
      </c>
      <c r="B3168" s="2" t="s">
        <v>367</v>
      </c>
      <c r="C3168" s="2">
        <v>209</v>
      </c>
      <c r="D3168" s="2" t="s">
        <v>758</v>
      </c>
      <c r="E3168" s="2" t="s">
        <v>7729</v>
      </c>
      <c r="F3168" s="2" t="s">
        <v>7652</v>
      </c>
      <c r="G3168" s="2" t="s">
        <v>7632</v>
      </c>
    </row>
    <row r="3169" spans="1:7">
      <c r="A3169" s="3">
        <v>119</v>
      </c>
      <c r="B3169" s="3" t="s">
        <v>367</v>
      </c>
      <c r="C3169" s="3">
        <v>221</v>
      </c>
      <c r="D3169" s="3" t="s">
        <v>813</v>
      </c>
      <c r="E3169" s="3" t="s">
        <v>7620</v>
      </c>
      <c r="F3169" s="3" t="s">
        <v>7649</v>
      </c>
      <c r="G3169" s="3" t="s">
        <v>7633</v>
      </c>
    </row>
    <row r="3170" spans="1:7">
      <c r="A3170" s="2">
        <v>119</v>
      </c>
      <c r="B3170" s="2" t="s">
        <v>367</v>
      </c>
      <c r="C3170" s="2">
        <v>264</v>
      </c>
      <c r="D3170" s="2" t="s">
        <v>775</v>
      </c>
      <c r="E3170" s="2" t="s">
        <v>7620</v>
      </c>
      <c r="F3170" s="2" t="s">
        <v>7659</v>
      </c>
      <c r="G3170" s="2" t="s">
        <v>7617</v>
      </c>
    </row>
    <row r="3171" spans="1:7">
      <c r="A3171" s="3">
        <v>119</v>
      </c>
      <c r="B3171" s="3" t="s">
        <v>367</v>
      </c>
      <c r="C3171" s="3">
        <v>312</v>
      </c>
      <c r="D3171" s="3" t="s">
        <v>949</v>
      </c>
      <c r="E3171" s="3" t="s">
        <v>7608</v>
      </c>
      <c r="F3171" s="3" t="s">
        <v>7659</v>
      </c>
      <c r="G3171" s="3" t="s">
        <v>7625</v>
      </c>
    </row>
    <row r="3172" spans="1:7">
      <c r="A3172" s="2">
        <v>119</v>
      </c>
      <c r="B3172" s="2" t="s">
        <v>367</v>
      </c>
      <c r="C3172" s="2">
        <v>341</v>
      </c>
      <c r="D3172" s="2" t="s">
        <v>1052</v>
      </c>
      <c r="E3172" s="2" t="s">
        <v>7620</v>
      </c>
      <c r="F3172" s="2" t="s">
        <v>7649</v>
      </c>
      <c r="G3172" s="2" t="s">
        <v>7609</v>
      </c>
    </row>
    <row r="3173" spans="1:7">
      <c r="A3173" s="3">
        <v>119</v>
      </c>
      <c r="B3173" s="3" t="s">
        <v>367</v>
      </c>
      <c r="C3173" s="3">
        <v>343</v>
      </c>
      <c r="D3173" s="3" t="s">
        <v>977</v>
      </c>
      <c r="E3173" s="3" t="s">
        <v>7620</v>
      </c>
      <c r="F3173" s="3" t="s">
        <v>7659</v>
      </c>
      <c r="G3173" s="3" t="s">
        <v>7617</v>
      </c>
    </row>
    <row r="3174" spans="1:7">
      <c r="A3174" s="2">
        <v>120</v>
      </c>
      <c r="B3174" s="2" t="s">
        <v>465</v>
      </c>
      <c r="C3174" s="2">
        <v>191</v>
      </c>
      <c r="D3174" s="2" t="s">
        <v>719</v>
      </c>
      <c r="E3174" s="2" t="s">
        <v>7620</v>
      </c>
      <c r="F3174" s="2" t="s">
        <v>7649</v>
      </c>
      <c r="G3174" s="2" t="s">
        <v>7633</v>
      </c>
    </row>
    <row r="3175" spans="1:7">
      <c r="A3175" s="3">
        <v>120</v>
      </c>
      <c r="B3175" s="3" t="s">
        <v>465</v>
      </c>
      <c r="C3175" s="3">
        <v>195</v>
      </c>
      <c r="D3175" s="3" t="s">
        <v>734</v>
      </c>
      <c r="E3175" s="3" t="s">
        <v>7620</v>
      </c>
      <c r="F3175" s="3" t="s">
        <v>7649</v>
      </c>
      <c r="G3175" s="3" t="s">
        <v>7633</v>
      </c>
    </row>
    <row r="3176" spans="1:7">
      <c r="A3176" s="2">
        <v>120</v>
      </c>
      <c r="B3176" s="2" t="s">
        <v>465</v>
      </c>
      <c r="C3176" s="2">
        <v>198</v>
      </c>
      <c r="D3176" s="2" t="s">
        <v>698</v>
      </c>
      <c r="E3176" s="2" t="s">
        <v>7620</v>
      </c>
      <c r="F3176" s="2" t="s">
        <v>7649</v>
      </c>
      <c r="G3176" s="2" t="s">
        <v>7633</v>
      </c>
    </row>
    <row r="3177" spans="1:7">
      <c r="A3177" s="3">
        <v>120</v>
      </c>
      <c r="B3177" s="3" t="s">
        <v>465</v>
      </c>
      <c r="C3177" s="3">
        <v>199</v>
      </c>
      <c r="D3177" s="3" t="s">
        <v>702</v>
      </c>
      <c r="E3177" s="3" t="s">
        <v>7620</v>
      </c>
      <c r="F3177" s="3" t="s">
        <v>7649</v>
      </c>
      <c r="G3177" s="3" t="s">
        <v>7633</v>
      </c>
    </row>
    <row r="3178" spans="1:7">
      <c r="A3178" s="2">
        <v>120</v>
      </c>
      <c r="B3178" s="2" t="s">
        <v>465</v>
      </c>
      <c r="C3178" s="2">
        <v>200</v>
      </c>
      <c r="D3178" s="2" t="s">
        <v>707</v>
      </c>
      <c r="E3178" s="2" t="s">
        <v>7620</v>
      </c>
      <c r="F3178" s="2" t="s">
        <v>7649</v>
      </c>
      <c r="G3178" s="2" t="s">
        <v>7622</v>
      </c>
    </row>
    <row r="3179" spans="1:7">
      <c r="A3179" s="3">
        <v>120</v>
      </c>
      <c r="B3179" s="3" t="s">
        <v>465</v>
      </c>
      <c r="C3179" s="3">
        <v>205</v>
      </c>
      <c r="D3179" s="3" t="s">
        <v>746</v>
      </c>
      <c r="E3179" s="3" t="s">
        <v>7620</v>
      </c>
      <c r="F3179" s="3" t="s">
        <v>7611</v>
      </c>
      <c r="G3179" s="3" t="s">
        <v>7621</v>
      </c>
    </row>
    <row r="3180" spans="1:7">
      <c r="A3180" s="2">
        <v>120</v>
      </c>
      <c r="B3180" s="2" t="s">
        <v>465</v>
      </c>
      <c r="C3180" s="2">
        <v>207</v>
      </c>
      <c r="D3180" s="2" t="s">
        <v>749</v>
      </c>
      <c r="E3180" s="2" t="s">
        <v>7620</v>
      </c>
      <c r="F3180" s="2" t="s">
        <v>7611</v>
      </c>
      <c r="G3180" s="2" t="s">
        <v>7622</v>
      </c>
    </row>
    <row r="3181" spans="1:7">
      <c r="A3181" s="3">
        <v>120</v>
      </c>
      <c r="B3181" s="3" t="s">
        <v>465</v>
      </c>
      <c r="C3181" s="3">
        <v>208</v>
      </c>
      <c r="D3181" s="3" t="s">
        <v>754</v>
      </c>
      <c r="E3181" s="3" t="s">
        <v>7620</v>
      </c>
      <c r="F3181" s="3" t="s">
        <v>7611</v>
      </c>
      <c r="G3181" s="3" t="s">
        <v>7621</v>
      </c>
    </row>
    <row r="3182" spans="1:7">
      <c r="A3182" s="2">
        <v>120</v>
      </c>
      <c r="B3182" s="2" t="s">
        <v>465</v>
      </c>
      <c r="C3182" s="2">
        <v>209</v>
      </c>
      <c r="D3182" s="2" t="s">
        <v>758</v>
      </c>
      <c r="E3182" s="2" t="s">
        <v>7620</v>
      </c>
      <c r="F3182" s="2" t="s">
        <v>7650</v>
      </c>
      <c r="G3182" s="2" t="s">
        <v>7621</v>
      </c>
    </row>
    <row r="3183" spans="1:7">
      <c r="A3183" s="3">
        <v>120</v>
      </c>
      <c r="B3183" s="3" t="s">
        <v>465</v>
      </c>
      <c r="C3183" s="3">
        <v>221</v>
      </c>
      <c r="D3183" s="3" t="s">
        <v>813</v>
      </c>
      <c r="E3183" s="3" t="s">
        <v>7620</v>
      </c>
      <c r="F3183" s="3" t="s">
        <v>7649</v>
      </c>
      <c r="G3183" s="3" t="s">
        <v>7633</v>
      </c>
    </row>
    <row r="3184" spans="1:7">
      <c r="A3184" s="2">
        <v>120</v>
      </c>
      <c r="B3184" s="2" t="s">
        <v>465</v>
      </c>
      <c r="C3184" s="2">
        <v>264</v>
      </c>
      <c r="D3184" s="2" t="s">
        <v>775</v>
      </c>
      <c r="E3184" s="2" t="s">
        <v>7620</v>
      </c>
      <c r="F3184" s="2" t="s">
        <v>7649</v>
      </c>
      <c r="G3184" s="2" t="s">
        <v>7633</v>
      </c>
    </row>
    <row r="3185" spans="1:7">
      <c r="A3185" s="3">
        <v>120</v>
      </c>
      <c r="B3185" s="3" t="s">
        <v>465</v>
      </c>
      <c r="C3185" s="3">
        <v>341</v>
      </c>
      <c r="D3185" s="3" t="s">
        <v>1052</v>
      </c>
      <c r="E3185" s="3" t="s">
        <v>7620</v>
      </c>
      <c r="F3185" s="3" t="s">
        <v>7649</v>
      </c>
      <c r="G3185" s="3" t="s">
        <v>7609</v>
      </c>
    </row>
    <row r="3186" spans="1:7">
      <c r="A3186" s="2">
        <v>120</v>
      </c>
      <c r="B3186" s="2" t="s">
        <v>465</v>
      </c>
      <c r="C3186" s="2">
        <v>343</v>
      </c>
      <c r="D3186" s="2" t="s">
        <v>977</v>
      </c>
      <c r="E3186" s="2" t="s">
        <v>7620</v>
      </c>
      <c r="F3186" s="2" t="s">
        <v>7649</v>
      </c>
      <c r="G3186" s="2" t="s">
        <v>7622</v>
      </c>
    </row>
    <row r="3187" spans="1:7">
      <c r="A3187" s="3">
        <v>121</v>
      </c>
      <c r="B3187" s="3" t="s">
        <v>510</v>
      </c>
      <c r="C3187" s="3">
        <v>191</v>
      </c>
      <c r="D3187" s="3" t="s">
        <v>719</v>
      </c>
      <c r="E3187" s="3" t="s">
        <v>7620</v>
      </c>
      <c r="F3187" s="3" t="s">
        <v>7611</v>
      </c>
      <c r="G3187" s="3" t="s">
        <v>7621</v>
      </c>
    </row>
    <row r="3188" spans="1:7">
      <c r="A3188" s="2">
        <v>121</v>
      </c>
      <c r="B3188" s="2" t="s">
        <v>510</v>
      </c>
      <c r="C3188" s="2">
        <v>195</v>
      </c>
      <c r="D3188" s="2" t="s">
        <v>734</v>
      </c>
      <c r="E3188" s="2" t="s">
        <v>7620</v>
      </c>
      <c r="F3188" s="2" t="s">
        <v>7611</v>
      </c>
      <c r="G3188" s="2" t="s">
        <v>7621</v>
      </c>
    </row>
    <row r="3189" spans="1:7">
      <c r="A3189" s="3">
        <v>121</v>
      </c>
      <c r="B3189" s="3" t="s">
        <v>510</v>
      </c>
      <c r="C3189" s="3">
        <v>198</v>
      </c>
      <c r="D3189" s="3" t="s">
        <v>698</v>
      </c>
      <c r="E3189" s="3" t="s">
        <v>7620</v>
      </c>
      <c r="F3189" s="3" t="s">
        <v>7611</v>
      </c>
      <c r="G3189" s="3" t="s">
        <v>7622</v>
      </c>
    </row>
    <row r="3190" spans="1:7">
      <c r="A3190" s="2">
        <v>121</v>
      </c>
      <c r="B3190" s="2" t="s">
        <v>510</v>
      </c>
      <c r="C3190" s="2">
        <v>199</v>
      </c>
      <c r="D3190" s="2" t="s">
        <v>702</v>
      </c>
      <c r="E3190" s="2" t="s">
        <v>7620</v>
      </c>
      <c r="F3190" s="2" t="s">
        <v>7611</v>
      </c>
      <c r="G3190" s="2" t="s">
        <v>7621</v>
      </c>
    </row>
    <row r="3191" spans="1:7">
      <c r="A3191" s="3">
        <v>121</v>
      </c>
      <c r="B3191" s="3" t="s">
        <v>510</v>
      </c>
      <c r="C3191" s="3">
        <v>200</v>
      </c>
      <c r="D3191" s="3" t="s">
        <v>707</v>
      </c>
      <c r="E3191" s="3" t="s">
        <v>7620</v>
      </c>
      <c r="F3191" s="3" t="s">
        <v>7611</v>
      </c>
      <c r="G3191" s="3" t="s">
        <v>7625</v>
      </c>
    </row>
    <row r="3192" spans="1:7">
      <c r="A3192" s="2">
        <v>121</v>
      </c>
      <c r="B3192" s="2" t="s">
        <v>510</v>
      </c>
      <c r="C3192" s="2">
        <v>205</v>
      </c>
      <c r="D3192" s="2" t="s">
        <v>746</v>
      </c>
      <c r="E3192" s="2" t="s">
        <v>7620</v>
      </c>
      <c r="F3192" s="2" t="s">
        <v>7611</v>
      </c>
      <c r="G3192" s="2" t="s">
        <v>7621</v>
      </c>
    </row>
    <row r="3193" spans="1:7">
      <c r="A3193" s="3">
        <v>121</v>
      </c>
      <c r="B3193" s="3" t="s">
        <v>510</v>
      </c>
      <c r="C3193" s="3">
        <v>207</v>
      </c>
      <c r="D3193" s="3" t="s">
        <v>749</v>
      </c>
      <c r="E3193" s="3" t="s">
        <v>7640</v>
      </c>
      <c r="F3193" s="3" t="s">
        <v>7611</v>
      </c>
      <c r="G3193" s="3" t="s">
        <v>7636</v>
      </c>
    </row>
    <row r="3194" spans="1:7">
      <c r="A3194" s="2">
        <v>121</v>
      </c>
      <c r="B3194" s="2" t="s">
        <v>510</v>
      </c>
      <c r="C3194" s="2">
        <v>208</v>
      </c>
      <c r="D3194" s="2" t="s">
        <v>754</v>
      </c>
      <c r="E3194" s="2" t="s">
        <v>7620</v>
      </c>
      <c r="F3194" s="2" t="s">
        <v>7611</v>
      </c>
      <c r="G3194" s="2" t="s">
        <v>7621</v>
      </c>
    </row>
    <row r="3195" spans="1:7">
      <c r="A3195" s="3">
        <v>121</v>
      </c>
      <c r="B3195" s="3" t="s">
        <v>510</v>
      </c>
      <c r="C3195" s="3">
        <v>221</v>
      </c>
      <c r="D3195" s="3" t="s">
        <v>813</v>
      </c>
      <c r="E3195" s="3" t="s">
        <v>7640</v>
      </c>
      <c r="F3195" s="3" t="s">
        <v>7611</v>
      </c>
      <c r="G3195" s="3" t="s">
        <v>7636</v>
      </c>
    </row>
    <row r="3196" spans="1:7">
      <c r="A3196" s="2">
        <v>121</v>
      </c>
      <c r="B3196" s="2" t="s">
        <v>510</v>
      </c>
      <c r="C3196" s="2">
        <v>264</v>
      </c>
      <c r="D3196" s="2" t="s">
        <v>775</v>
      </c>
      <c r="E3196" s="2" t="s">
        <v>7620</v>
      </c>
      <c r="F3196" s="2" t="s">
        <v>7611</v>
      </c>
      <c r="G3196" s="2" t="s">
        <v>7621</v>
      </c>
    </row>
    <row r="3197" spans="1:7">
      <c r="A3197" s="3">
        <v>121</v>
      </c>
      <c r="B3197" s="3" t="s">
        <v>510</v>
      </c>
      <c r="C3197" s="3">
        <v>341</v>
      </c>
      <c r="D3197" s="3" t="s">
        <v>1052</v>
      </c>
      <c r="E3197" s="3" t="s">
        <v>7620</v>
      </c>
      <c r="F3197" s="3" t="s">
        <v>7611</v>
      </c>
      <c r="G3197" s="3" t="s">
        <v>7633</v>
      </c>
    </row>
    <row r="3198" spans="1:7">
      <c r="A3198" s="2">
        <v>121</v>
      </c>
      <c r="B3198" s="2" t="s">
        <v>510</v>
      </c>
      <c r="C3198" s="2">
        <v>343</v>
      </c>
      <c r="D3198" s="2" t="s">
        <v>977</v>
      </c>
      <c r="E3198" s="2" t="s">
        <v>7620</v>
      </c>
      <c r="F3198" s="2" t="s">
        <v>7611</v>
      </c>
      <c r="G3198" s="2" t="s">
        <v>7625</v>
      </c>
    </row>
    <row r="3199" spans="1:7">
      <c r="A3199" s="3">
        <v>122</v>
      </c>
      <c r="B3199" s="3" t="s">
        <v>391</v>
      </c>
      <c r="C3199" s="3">
        <v>191</v>
      </c>
      <c r="D3199" s="3" t="s">
        <v>719</v>
      </c>
      <c r="E3199" s="3" t="s">
        <v>7618</v>
      </c>
      <c r="F3199" s="3" t="s">
        <v>7649</v>
      </c>
      <c r="G3199" s="3" t="s">
        <v>7619</v>
      </c>
    </row>
    <row r="3200" spans="1:7">
      <c r="A3200" s="2">
        <v>122</v>
      </c>
      <c r="B3200" s="2" t="s">
        <v>391</v>
      </c>
      <c r="C3200" s="2">
        <v>195</v>
      </c>
      <c r="D3200" s="2" t="s">
        <v>734</v>
      </c>
      <c r="E3200" s="2" t="s">
        <v>7618</v>
      </c>
      <c r="F3200" s="2" t="s">
        <v>7649</v>
      </c>
      <c r="G3200" s="2" t="s">
        <v>7639</v>
      </c>
    </row>
    <row r="3201" spans="1:7">
      <c r="A3201" s="3">
        <v>122</v>
      </c>
      <c r="B3201" s="3" t="s">
        <v>391</v>
      </c>
      <c r="C3201" s="3">
        <v>198</v>
      </c>
      <c r="D3201" s="3" t="s">
        <v>698</v>
      </c>
      <c r="E3201" s="3" t="s">
        <v>7620</v>
      </c>
      <c r="F3201" s="3" t="s">
        <v>7649</v>
      </c>
      <c r="G3201" s="3" t="s">
        <v>7609</v>
      </c>
    </row>
    <row r="3202" spans="1:7">
      <c r="A3202" s="2">
        <v>122</v>
      </c>
      <c r="B3202" s="2" t="s">
        <v>391</v>
      </c>
      <c r="C3202" s="2">
        <v>199</v>
      </c>
      <c r="D3202" s="2" t="s">
        <v>702</v>
      </c>
      <c r="E3202" s="2" t="s">
        <v>7618</v>
      </c>
      <c r="F3202" s="2" t="s">
        <v>7649</v>
      </c>
      <c r="G3202" s="2" t="s">
        <v>7619</v>
      </c>
    </row>
    <row r="3203" spans="1:7">
      <c r="A3203" s="3">
        <v>122</v>
      </c>
      <c r="B3203" s="3" t="s">
        <v>391</v>
      </c>
      <c r="C3203" s="3">
        <v>200</v>
      </c>
      <c r="D3203" s="3" t="s">
        <v>707</v>
      </c>
      <c r="E3203" s="3" t="s">
        <v>7620</v>
      </c>
      <c r="F3203" s="3" t="s">
        <v>7649</v>
      </c>
      <c r="G3203" s="3" t="s">
        <v>7633</v>
      </c>
    </row>
    <row r="3204" spans="1:7">
      <c r="A3204" s="2">
        <v>122</v>
      </c>
      <c r="B3204" s="2" t="s">
        <v>391</v>
      </c>
      <c r="C3204" s="2">
        <v>205</v>
      </c>
      <c r="D3204" s="2" t="s">
        <v>746</v>
      </c>
      <c r="E3204" s="2" t="s">
        <v>7620</v>
      </c>
      <c r="F3204" s="2" t="s">
        <v>7611</v>
      </c>
      <c r="G3204" s="2" t="s">
        <v>7622</v>
      </c>
    </row>
    <row r="3205" spans="1:7">
      <c r="A3205" s="3">
        <v>122</v>
      </c>
      <c r="B3205" s="3" t="s">
        <v>391</v>
      </c>
      <c r="C3205" s="3">
        <v>207</v>
      </c>
      <c r="D3205" s="3" t="s">
        <v>749</v>
      </c>
      <c r="E3205" s="3" t="s">
        <v>7623</v>
      </c>
      <c r="F3205" s="3" t="s">
        <v>7611</v>
      </c>
      <c r="G3205" s="3" t="s">
        <v>7632</v>
      </c>
    </row>
    <row r="3206" spans="1:7">
      <c r="A3206" s="2">
        <v>122</v>
      </c>
      <c r="B3206" s="2" t="s">
        <v>391</v>
      </c>
      <c r="C3206" s="2">
        <v>208</v>
      </c>
      <c r="D3206" s="2" t="s">
        <v>754</v>
      </c>
      <c r="E3206" s="2" t="s">
        <v>7620</v>
      </c>
      <c r="F3206" s="2" t="s">
        <v>7611</v>
      </c>
      <c r="G3206" s="2" t="s">
        <v>7621</v>
      </c>
    </row>
    <row r="3207" spans="1:7">
      <c r="A3207" s="3">
        <v>122</v>
      </c>
      <c r="B3207" s="3" t="s">
        <v>391</v>
      </c>
      <c r="C3207" s="3">
        <v>209</v>
      </c>
      <c r="D3207" s="3" t="s">
        <v>758</v>
      </c>
      <c r="E3207" s="3" t="s">
        <v>7618</v>
      </c>
      <c r="F3207" s="3" t="s">
        <v>7650</v>
      </c>
      <c r="G3207" s="3" t="s">
        <v>7619</v>
      </c>
    </row>
    <row r="3208" spans="1:7">
      <c r="A3208" s="2">
        <v>122</v>
      </c>
      <c r="B3208" s="2" t="s">
        <v>391</v>
      </c>
      <c r="C3208" s="2">
        <v>221</v>
      </c>
      <c r="D3208" s="2" t="s">
        <v>813</v>
      </c>
      <c r="E3208" s="2" t="s">
        <v>7623</v>
      </c>
      <c r="F3208" s="2" t="s">
        <v>7649</v>
      </c>
      <c r="G3208" s="2" t="s">
        <v>7632</v>
      </c>
    </row>
    <row r="3209" spans="1:7">
      <c r="A3209" s="3">
        <v>122</v>
      </c>
      <c r="B3209" s="3" t="s">
        <v>391</v>
      </c>
      <c r="C3209" s="3">
        <v>264</v>
      </c>
      <c r="D3209" s="3" t="s">
        <v>775</v>
      </c>
      <c r="E3209" s="3" t="s">
        <v>7618</v>
      </c>
      <c r="F3209" s="3" t="s">
        <v>7649</v>
      </c>
      <c r="G3209" s="3" t="s">
        <v>7619</v>
      </c>
    </row>
    <row r="3210" spans="1:7">
      <c r="A3210" s="2">
        <v>122</v>
      </c>
      <c r="B3210" s="2" t="s">
        <v>391</v>
      </c>
      <c r="C3210" s="2">
        <v>341</v>
      </c>
      <c r="D3210" s="2" t="s">
        <v>1052</v>
      </c>
      <c r="E3210" s="2" t="s">
        <v>7620</v>
      </c>
      <c r="F3210" s="2" t="s">
        <v>7649</v>
      </c>
      <c r="G3210" s="2" t="s">
        <v>7609</v>
      </c>
    </row>
    <row r="3211" spans="1:7">
      <c r="A3211" s="3">
        <v>122</v>
      </c>
      <c r="B3211" s="3" t="s">
        <v>391</v>
      </c>
      <c r="C3211" s="3">
        <v>343</v>
      </c>
      <c r="D3211" s="3" t="s">
        <v>977</v>
      </c>
      <c r="E3211" s="3" t="s">
        <v>7620</v>
      </c>
      <c r="F3211" s="3" t="s">
        <v>7649</v>
      </c>
      <c r="G3211" s="3" t="s">
        <v>7622</v>
      </c>
    </row>
    <row r="3212" spans="1:7">
      <c r="A3212" s="2">
        <v>123</v>
      </c>
      <c r="B3212" s="2" t="s">
        <v>571</v>
      </c>
      <c r="C3212" s="2">
        <v>191</v>
      </c>
      <c r="D3212" s="2" t="s">
        <v>719</v>
      </c>
      <c r="E3212" s="2" t="s">
        <v>7620</v>
      </c>
      <c r="F3212" s="2" t="s">
        <v>7628</v>
      </c>
      <c r="G3212" s="2" t="s">
        <v>7633</v>
      </c>
    </row>
    <row r="3213" spans="1:7">
      <c r="A3213" s="3">
        <v>123</v>
      </c>
      <c r="B3213" s="3" t="s">
        <v>571</v>
      </c>
      <c r="C3213" s="3">
        <v>195</v>
      </c>
      <c r="D3213" s="3" t="s">
        <v>734</v>
      </c>
      <c r="E3213" s="3" t="s">
        <v>7620</v>
      </c>
      <c r="F3213" s="3" t="s">
        <v>7628</v>
      </c>
      <c r="G3213" s="3" t="s">
        <v>7609</v>
      </c>
    </row>
    <row r="3214" spans="1:7">
      <c r="A3214" s="2">
        <v>123</v>
      </c>
      <c r="B3214" s="2" t="s">
        <v>571</v>
      </c>
      <c r="C3214" s="2">
        <v>198</v>
      </c>
      <c r="D3214" s="2" t="s">
        <v>698</v>
      </c>
      <c r="E3214" s="2" t="s">
        <v>7620</v>
      </c>
      <c r="F3214" s="2" t="s">
        <v>7628</v>
      </c>
      <c r="G3214" s="2" t="s">
        <v>7633</v>
      </c>
    </row>
    <row r="3215" spans="1:7">
      <c r="A3215" s="3">
        <v>123</v>
      </c>
      <c r="B3215" s="3" t="s">
        <v>571</v>
      </c>
      <c r="C3215" s="3">
        <v>199</v>
      </c>
      <c r="D3215" s="3" t="s">
        <v>702</v>
      </c>
      <c r="E3215" s="3" t="s">
        <v>7620</v>
      </c>
      <c r="F3215" s="3" t="s">
        <v>7628</v>
      </c>
      <c r="G3215" s="3" t="s">
        <v>7622</v>
      </c>
    </row>
    <row r="3216" spans="1:7">
      <c r="A3216" s="2">
        <v>123</v>
      </c>
      <c r="B3216" s="2" t="s">
        <v>571</v>
      </c>
      <c r="C3216" s="2">
        <v>200</v>
      </c>
      <c r="D3216" s="2" t="s">
        <v>707</v>
      </c>
      <c r="E3216" s="2" t="s">
        <v>7620</v>
      </c>
      <c r="F3216" s="2" t="s">
        <v>7628</v>
      </c>
      <c r="G3216" s="2" t="s">
        <v>7633</v>
      </c>
    </row>
    <row r="3217" spans="1:7">
      <c r="A3217" s="3">
        <v>123</v>
      </c>
      <c r="B3217" s="3" t="s">
        <v>571</v>
      </c>
      <c r="C3217" s="3">
        <v>205</v>
      </c>
      <c r="D3217" s="3" t="s">
        <v>746</v>
      </c>
      <c r="E3217" s="3" t="s">
        <v>7620</v>
      </c>
      <c r="F3217" s="3" t="s">
        <v>7628</v>
      </c>
      <c r="G3217" s="3" t="s">
        <v>7633</v>
      </c>
    </row>
    <row r="3218" spans="1:7">
      <c r="A3218" s="2">
        <v>123</v>
      </c>
      <c r="B3218" s="2" t="s">
        <v>571</v>
      </c>
      <c r="C3218" s="2">
        <v>207</v>
      </c>
      <c r="D3218" s="2" t="s">
        <v>749</v>
      </c>
      <c r="E3218" s="2" t="s">
        <v>7620</v>
      </c>
      <c r="F3218" s="2" t="s">
        <v>7611</v>
      </c>
      <c r="G3218" s="2" t="s">
        <v>7621</v>
      </c>
    </row>
    <row r="3219" spans="1:7">
      <c r="A3219" s="3">
        <v>123</v>
      </c>
      <c r="B3219" s="3" t="s">
        <v>571</v>
      </c>
      <c r="C3219" s="3">
        <v>208</v>
      </c>
      <c r="D3219" s="3" t="s">
        <v>754</v>
      </c>
      <c r="E3219" s="3" t="s">
        <v>7620</v>
      </c>
      <c r="F3219" s="3" t="s">
        <v>7628</v>
      </c>
      <c r="G3219" s="3" t="s">
        <v>7609</v>
      </c>
    </row>
    <row r="3220" spans="1:7">
      <c r="A3220" s="2">
        <v>123</v>
      </c>
      <c r="B3220" s="2" t="s">
        <v>571</v>
      </c>
      <c r="C3220" s="2">
        <v>209</v>
      </c>
      <c r="D3220" s="2" t="s">
        <v>758</v>
      </c>
      <c r="E3220" s="2" t="s">
        <v>7620</v>
      </c>
      <c r="F3220" s="2" t="s">
        <v>7635</v>
      </c>
      <c r="G3220" s="2" t="s">
        <v>7621</v>
      </c>
    </row>
    <row r="3221" spans="1:7">
      <c r="A3221" s="3">
        <v>123</v>
      </c>
      <c r="B3221" s="3" t="s">
        <v>571</v>
      </c>
      <c r="C3221" s="3">
        <v>221</v>
      </c>
      <c r="D3221" s="3" t="s">
        <v>813</v>
      </c>
      <c r="E3221" s="3" t="s">
        <v>7620</v>
      </c>
      <c r="F3221" s="3" t="s">
        <v>7611</v>
      </c>
      <c r="G3221" s="3" t="s">
        <v>7625</v>
      </c>
    </row>
    <row r="3222" spans="1:7">
      <c r="A3222" s="2">
        <v>123</v>
      </c>
      <c r="B3222" s="2" t="s">
        <v>571</v>
      </c>
      <c r="C3222" s="2">
        <v>264</v>
      </c>
      <c r="D3222" s="2" t="s">
        <v>775</v>
      </c>
      <c r="E3222" s="2" t="s">
        <v>7620</v>
      </c>
      <c r="F3222" s="2" t="s">
        <v>7628</v>
      </c>
      <c r="G3222" s="2" t="s">
        <v>7622</v>
      </c>
    </row>
    <row r="3223" spans="1:7">
      <c r="A3223" s="3">
        <v>123</v>
      </c>
      <c r="B3223" s="3" t="s">
        <v>571</v>
      </c>
      <c r="C3223" s="3">
        <v>341</v>
      </c>
      <c r="D3223" s="3" t="s">
        <v>1052</v>
      </c>
      <c r="E3223" s="3" t="s">
        <v>7620</v>
      </c>
      <c r="F3223" s="3" t="s">
        <v>7611</v>
      </c>
      <c r="G3223" s="3" t="s">
        <v>7621</v>
      </c>
    </row>
    <row r="3224" spans="1:7">
      <c r="A3224" s="2">
        <v>123</v>
      </c>
      <c r="B3224" s="2" t="s">
        <v>571</v>
      </c>
      <c r="C3224" s="2">
        <v>343</v>
      </c>
      <c r="D3224" s="2" t="s">
        <v>977</v>
      </c>
      <c r="E3224" s="2" t="s">
        <v>7620</v>
      </c>
      <c r="F3224" s="2" t="s">
        <v>7628</v>
      </c>
      <c r="G3224" s="2" t="s">
        <v>7622</v>
      </c>
    </row>
    <row r="3225" spans="1:7">
      <c r="A3225" s="3">
        <v>124</v>
      </c>
      <c r="B3225" s="3" t="s">
        <v>524</v>
      </c>
      <c r="C3225" s="3">
        <v>191</v>
      </c>
      <c r="D3225" s="3" t="s">
        <v>719</v>
      </c>
      <c r="E3225" s="3" t="s">
        <v>7620</v>
      </c>
      <c r="F3225" s="3" t="s">
        <v>7611</v>
      </c>
      <c r="G3225" s="3" t="s">
        <v>7621</v>
      </c>
    </row>
    <row r="3226" spans="1:7">
      <c r="A3226" s="2">
        <v>124</v>
      </c>
      <c r="B3226" s="2" t="s">
        <v>524</v>
      </c>
      <c r="C3226" s="2">
        <v>195</v>
      </c>
      <c r="D3226" s="2" t="s">
        <v>734</v>
      </c>
      <c r="E3226" s="2" t="s">
        <v>7620</v>
      </c>
      <c r="F3226" s="2" t="s">
        <v>7611</v>
      </c>
      <c r="G3226" s="2" t="s">
        <v>7622</v>
      </c>
    </row>
    <row r="3227" spans="1:7">
      <c r="A3227" s="3">
        <v>124</v>
      </c>
      <c r="B3227" s="3" t="s">
        <v>524</v>
      </c>
      <c r="C3227" s="3">
        <v>198</v>
      </c>
      <c r="D3227" s="3" t="s">
        <v>698</v>
      </c>
      <c r="E3227" s="3" t="s">
        <v>7620</v>
      </c>
      <c r="F3227" s="3" t="s">
        <v>7611</v>
      </c>
      <c r="G3227" s="3" t="s">
        <v>7622</v>
      </c>
    </row>
    <row r="3228" spans="1:7">
      <c r="A3228" s="2">
        <v>124</v>
      </c>
      <c r="B3228" s="2" t="s">
        <v>524</v>
      </c>
      <c r="C3228" s="2">
        <v>199</v>
      </c>
      <c r="D3228" s="2" t="s">
        <v>702</v>
      </c>
      <c r="E3228" s="2" t="s">
        <v>7620</v>
      </c>
      <c r="F3228" s="2" t="s">
        <v>7611</v>
      </c>
      <c r="G3228" s="2" t="s">
        <v>7622</v>
      </c>
    </row>
    <row r="3229" spans="1:7">
      <c r="A3229" s="3">
        <v>124</v>
      </c>
      <c r="B3229" s="3" t="s">
        <v>524</v>
      </c>
      <c r="C3229" s="3">
        <v>200</v>
      </c>
      <c r="D3229" s="3" t="s">
        <v>707</v>
      </c>
      <c r="E3229" s="3" t="s">
        <v>7620</v>
      </c>
      <c r="F3229" s="3" t="s">
        <v>7611</v>
      </c>
      <c r="G3229" s="3" t="s">
        <v>7622</v>
      </c>
    </row>
    <row r="3230" spans="1:7">
      <c r="A3230" s="2">
        <v>124</v>
      </c>
      <c r="B3230" s="2" t="s">
        <v>524</v>
      </c>
      <c r="C3230" s="2">
        <v>205</v>
      </c>
      <c r="D3230" s="2" t="s">
        <v>746</v>
      </c>
      <c r="E3230" s="2" t="s">
        <v>7620</v>
      </c>
      <c r="F3230" s="2" t="s">
        <v>7611</v>
      </c>
      <c r="G3230" s="2" t="s">
        <v>7622</v>
      </c>
    </row>
    <row r="3231" spans="1:7">
      <c r="A3231" s="3">
        <v>124</v>
      </c>
      <c r="B3231" s="3" t="s">
        <v>524</v>
      </c>
      <c r="C3231" s="3">
        <v>207</v>
      </c>
      <c r="D3231" s="3" t="s">
        <v>749</v>
      </c>
      <c r="E3231" s="3" t="s">
        <v>7620</v>
      </c>
      <c r="F3231" s="3" t="s">
        <v>7611</v>
      </c>
      <c r="G3231" s="3" t="s">
        <v>7622</v>
      </c>
    </row>
    <row r="3232" spans="1:7">
      <c r="A3232" s="2">
        <v>124</v>
      </c>
      <c r="B3232" s="2" t="s">
        <v>524</v>
      </c>
      <c r="C3232" s="2">
        <v>208</v>
      </c>
      <c r="D3232" s="2" t="s">
        <v>754</v>
      </c>
      <c r="E3232" s="2" t="s">
        <v>7620</v>
      </c>
      <c r="F3232" s="2" t="s">
        <v>7611</v>
      </c>
      <c r="G3232" s="2" t="s">
        <v>7621</v>
      </c>
    </row>
    <row r="3233" spans="1:7">
      <c r="A3233" s="3">
        <v>124</v>
      </c>
      <c r="B3233" s="3" t="s">
        <v>524</v>
      </c>
      <c r="C3233" s="3">
        <v>209</v>
      </c>
      <c r="D3233" s="3" t="s">
        <v>758</v>
      </c>
      <c r="E3233" s="3" t="s">
        <v>7620</v>
      </c>
      <c r="F3233" s="3" t="s">
        <v>7608</v>
      </c>
      <c r="G3233" s="3" t="s">
        <v>7625</v>
      </c>
    </row>
    <row r="3234" spans="1:7">
      <c r="A3234" s="2">
        <v>124</v>
      </c>
      <c r="B3234" s="2" t="s">
        <v>524</v>
      </c>
      <c r="C3234" s="2">
        <v>221</v>
      </c>
      <c r="D3234" s="2" t="s">
        <v>813</v>
      </c>
      <c r="E3234" s="2" t="s">
        <v>7620</v>
      </c>
      <c r="F3234" s="2" t="s">
        <v>7611</v>
      </c>
      <c r="G3234" s="2" t="s">
        <v>7621</v>
      </c>
    </row>
    <row r="3235" spans="1:7">
      <c r="A3235" s="3">
        <v>124</v>
      </c>
      <c r="B3235" s="3" t="s">
        <v>524</v>
      </c>
      <c r="C3235" s="3">
        <v>264</v>
      </c>
      <c r="D3235" s="3" t="s">
        <v>775</v>
      </c>
      <c r="E3235" s="3" t="s">
        <v>7620</v>
      </c>
      <c r="F3235" s="3" t="s">
        <v>7611</v>
      </c>
      <c r="G3235" s="3" t="s">
        <v>7621</v>
      </c>
    </row>
    <row r="3236" spans="1:7">
      <c r="A3236" s="2">
        <v>124</v>
      </c>
      <c r="B3236" s="2" t="s">
        <v>524</v>
      </c>
      <c r="C3236" s="2">
        <v>341</v>
      </c>
      <c r="D3236" s="2" t="s">
        <v>1052</v>
      </c>
      <c r="E3236" s="2" t="s">
        <v>7620</v>
      </c>
      <c r="F3236" s="2" t="s">
        <v>7611</v>
      </c>
      <c r="G3236" s="2" t="s">
        <v>7621</v>
      </c>
    </row>
    <row r="3237" spans="1:7">
      <c r="A3237" s="3">
        <v>124</v>
      </c>
      <c r="B3237" s="3" t="s">
        <v>524</v>
      </c>
      <c r="C3237" s="3">
        <v>343</v>
      </c>
      <c r="D3237" s="3" t="s">
        <v>977</v>
      </c>
      <c r="E3237" s="3" t="s">
        <v>7620</v>
      </c>
      <c r="F3237" s="3" t="s">
        <v>7611</v>
      </c>
      <c r="G3237" s="3" t="s">
        <v>7625</v>
      </c>
    </row>
    <row r="3238" spans="1:7">
      <c r="A3238" s="2">
        <v>125</v>
      </c>
      <c r="B3238" s="2" t="s">
        <v>565</v>
      </c>
      <c r="C3238" s="2">
        <v>191</v>
      </c>
      <c r="D3238" s="2" t="s">
        <v>719</v>
      </c>
      <c r="E3238" s="2" t="s">
        <v>7620</v>
      </c>
      <c r="F3238" s="2" t="s">
        <v>7611</v>
      </c>
      <c r="G3238" s="2" t="s">
        <v>7622</v>
      </c>
    </row>
    <row r="3239" spans="1:7">
      <c r="A3239" s="3">
        <v>125</v>
      </c>
      <c r="B3239" s="3" t="s">
        <v>565</v>
      </c>
      <c r="C3239" s="3">
        <v>195</v>
      </c>
      <c r="D3239" s="3" t="s">
        <v>734</v>
      </c>
      <c r="E3239" s="3" t="s">
        <v>7620</v>
      </c>
      <c r="F3239" s="3" t="s">
        <v>7611</v>
      </c>
      <c r="G3239" s="3" t="s">
        <v>7622</v>
      </c>
    </row>
    <row r="3240" spans="1:7">
      <c r="A3240" s="2">
        <v>125</v>
      </c>
      <c r="B3240" s="2" t="s">
        <v>565</v>
      </c>
      <c r="C3240" s="2">
        <v>198</v>
      </c>
      <c r="D3240" s="2" t="s">
        <v>698</v>
      </c>
      <c r="E3240" s="2" t="s">
        <v>7620</v>
      </c>
      <c r="F3240" s="2" t="s">
        <v>7611</v>
      </c>
      <c r="G3240" s="2" t="s">
        <v>7621</v>
      </c>
    </row>
    <row r="3241" spans="1:7">
      <c r="A3241" s="3">
        <v>125</v>
      </c>
      <c r="B3241" s="3" t="s">
        <v>565</v>
      </c>
      <c r="C3241" s="3">
        <v>199</v>
      </c>
      <c r="D3241" s="3" t="s">
        <v>702</v>
      </c>
      <c r="E3241" s="3" t="s">
        <v>7654</v>
      </c>
      <c r="F3241" s="3" t="s">
        <v>7611</v>
      </c>
      <c r="G3241" s="3" t="s">
        <v>7636</v>
      </c>
    </row>
    <row r="3242" spans="1:7">
      <c r="A3242" s="2">
        <v>125</v>
      </c>
      <c r="B3242" s="2" t="s">
        <v>565</v>
      </c>
      <c r="C3242" s="2">
        <v>200</v>
      </c>
      <c r="D3242" s="2" t="s">
        <v>707</v>
      </c>
      <c r="E3242" s="2" t="s">
        <v>7654</v>
      </c>
      <c r="F3242" s="2" t="s">
        <v>7611</v>
      </c>
      <c r="G3242" s="2" t="s">
        <v>7617</v>
      </c>
    </row>
    <row r="3243" spans="1:7">
      <c r="A3243" s="3">
        <v>125</v>
      </c>
      <c r="B3243" s="3" t="s">
        <v>565</v>
      </c>
      <c r="C3243" s="3">
        <v>205</v>
      </c>
      <c r="D3243" s="3" t="s">
        <v>746</v>
      </c>
      <c r="E3243" s="3" t="s">
        <v>7620</v>
      </c>
      <c r="F3243" s="3" t="s">
        <v>7611</v>
      </c>
      <c r="G3243" s="3" t="s">
        <v>7621</v>
      </c>
    </row>
    <row r="3244" spans="1:7">
      <c r="A3244" s="2">
        <v>125</v>
      </c>
      <c r="B3244" s="2" t="s">
        <v>565</v>
      </c>
      <c r="C3244" s="2">
        <v>207</v>
      </c>
      <c r="D3244" s="2" t="s">
        <v>749</v>
      </c>
      <c r="E3244" s="2" t="s">
        <v>7620</v>
      </c>
      <c r="F3244" s="2" t="s">
        <v>7611</v>
      </c>
      <c r="G3244" s="2" t="s">
        <v>7621</v>
      </c>
    </row>
    <row r="3245" spans="1:7">
      <c r="A3245" s="3">
        <v>125</v>
      </c>
      <c r="B3245" s="3" t="s">
        <v>565</v>
      </c>
      <c r="C3245" s="3">
        <v>208</v>
      </c>
      <c r="D3245" s="3" t="s">
        <v>754</v>
      </c>
      <c r="E3245" s="3" t="s">
        <v>7620</v>
      </c>
      <c r="F3245" s="3" t="s">
        <v>7611</v>
      </c>
      <c r="G3245" s="3" t="s">
        <v>7622</v>
      </c>
    </row>
    <row r="3246" spans="1:7">
      <c r="A3246" s="2">
        <v>125</v>
      </c>
      <c r="B3246" s="2" t="s">
        <v>565</v>
      </c>
      <c r="C3246" s="2">
        <v>209</v>
      </c>
      <c r="D3246" s="2" t="s">
        <v>758</v>
      </c>
      <c r="E3246" s="2" t="s">
        <v>7620</v>
      </c>
      <c r="F3246" s="2" t="s">
        <v>7608</v>
      </c>
      <c r="G3246" s="2" t="s">
        <v>7625</v>
      </c>
    </row>
    <row r="3247" spans="1:7">
      <c r="A3247" s="3">
        <v>125</v>
      </c>
      <c r="B3247" s="3" t="s">
        <v>565</v>
      </c>
      <c r="C3247" s="3">
        <v>221</v>
      </c>
      <c r="D3247" s="3" t="s">
        <v>813</v>
      </c>
      <c r="E3247" s="3" t="s">
        <v>7620</v>
      </c>
      <c r="F3247" s="3" t="s">
        <v>7611</v>
      </c>
      <c r="G3247" s="3" t="s">
        <v>7621</v>
      </c>
    </row>
    <row r="3248" spans="1:7">
      <c r="A3248" s="2">
        <v>125</v>
      </c>
      <c r="B3248" s="2" t="s">
        <v>565</v>
      </c>
      <c r="C3248" s="2">
        <v>264</v>
      </c>
      <c r="D3248" s="2" t="s">
        <v>775</v>
      </c>
      <c r="E3248" s="2" t="s">
        <v>7620</v>
      </c>
      <c r="F3248" s="2" t="s">
        <v>7611</v>
      </c>
      <c r="G3248" s="2" t="s">
        <v>7621</v>
      </c>
    </row>
    <row r="3249" spans="1:7">
      <c r="A3249" s="3">
        <v>125</v>
      </c>
      <c r="B3249" s="3" t="s">
        <v>565</v>
      </c>
      <c r="C3249" s="3">
        <v>341</v>
      </c>
      <c r="D3249" s="3" t="s">
        <v>1052</v>
      </c>
      <c r="E3249" s="3" t="s">
        <v>7620</v>
      </c>
      <c r="F3249" s="3" t="s">
        <v>7611</v>
      </c>
      <c r="G3249" s="3" t="s">
        <v>7622</v>
      </c>
    </row>
    <row r="3250" spans="1:7">
      <c r="A3250" s="2">
        <v>125</v>
      </c>
      <c r="B3250" s="2" t="s">
        <v>565</v>
      </c>
      <c r="C3250" s="2">
        <v>343</v>
      </c>
      <c r="D3250" s="2" t="s">
        <v>977</v>
      </c>
      <c r="E3250" s="2" t="s">
        <v>7620</v>
      </c>
      <c r="F3250" s="2" t="s">
        <v>7611</v>
      </c>
      <c r="G3250" s="2" t="s">
        <v>7625</v>
      </c>
    </row>
    <row r="3251" spans="1:7">
      <c r="A3251" s="3">
        <v>126</v>
      </c>
      <c r="B3251" s="3" t="s">
        <v>410</v>
      </c>
      <c r="C3251" s="3">
        <v>189</v>
      </c>
      <c r="D3251" s="3" t="s">
        <v>742</v>
      </c>
      <c r="E3251" s="3" t="s">
        <v>7653</v>
      </c>
      <c r="F3251" s="3" t="s">
        <v>7608</v>
      </c>
      <c r="G3251" s="3" t="s">
        <v>7622</v>
      </c>
    </row>
    <row r="3252" spans="1:7">
      <c r="A3252" s="2">
        <v>126</v>
      </c>
      <c r="B3252" s="2" t="s">
        <v>410</v>
      </c>
      <c r="C3252" s="2">
        <v>195</v>
      </c>
      <c r="D3252" s="2" t="s">
        <v>734</v>
      </c>
      <c r="E3252" s="2" t="s">
        <v>7620</v>
      </c>
      <c r="F3252" s="2" t="s">
        <v>7608</v>
      </c>
      <c r="G3252" s="2" t="s">
        <v>7625</v>
      </c>
    </row>
    <row r="3253" spans="1:7">
      <c r="A3253" s="3">
        <v>126</v>
      </c>
      <c r="B3253" s="3" t="s">
        <v>410</v>
      </c>
      <c r="C3253" s="3">
        <v>198</v>
      </c>
      <c r="D3253" s="3" t="s">
        <v>698</v>
      </c>
      <c r="E3253" s="3" t="s">
        <v>7620</v>
      </c>
      <c r="F3253" s="3" t="s">
        <v>7608</v>
      </c>
      <c r="G3253" s="3" t="s">
        <v>7625</v>
      </c>
    </row>
    <row r="3254" spans="1:7">
      <c r="A3254" s="2">
        <v>126</v>
      </c>
      <c r="B3254" s="2" t="s">
        <v>410</v>
      </c>
      <c r="C3254" s="2">
        <v>199</v>
      </c>
      <c r="D3254" s="2" t="s">
        <v>702</v>
      </c>
      <c r="E3254" s="2" t="s">
        <v>7654</v>
      </c>
      <c r="F3254" s="2" t="s">
        <v>7608</v>
      </c>
      <c r="G3254" s="2" t="s">
        <v>7633</v>
      </c>
    </row>
    <row r="3255" spans="1:7">
      <c r="A3255" s="3">
        <v>126</v>
      </c>
      <c r="B3255" s="3" t="s">
        <v>410</v>
      </c>
      <c r="C3255" s="3">
        <v>200</v>
      </c>
      <c r="D3255" s="3" t="s">
        <v>707</v>
      </c>
      <c r="E3255" s="3" t="s">
        <v>7654</v>
      </c>
      <c r="F3255" s="3" t="s">
        <v>7608</v>
      </c>
      <c r="G3255" s="3" t="s">
        <v>7617</v>
      </c>
    </row>
    <row r="3256" spans="1:7">
      <c r="A3256" s="2">
        <v>126</v>
      </c>
      <c r="B3256" s="2" t="s">
        <v>410</v>
      </c>
      <c r="C3256" s="2">
        <v>207</v>
      </c>
      <c r="D3256" s="2" t="s">
        <v>749</v>
      </c>
      <c r="E3256" s="2" t="s">
        <v>7620</v>
      </c>
      <c r="F3256" s="2" t="s">
        <v>7608</v>
      </c>
      <c r="G3256" s="2" t="s">
        <v>7625</v>
      </c>
    </row>
    <row r="3257" spans="1:7">
      <c r="A3257" s="3">
        <v>127</v>
      </c>
      <c r="B3257" s="3" t="s">
        <v>575</v>
      </c>
      <c r="C3257" s="3">
        <v>191</v>
      </c>
      <c r="D3257" s="3" t="s">
        <v>719</v>
      </c>
      <c r="E3257" s="3" t="s">
        <v>7620</v>
      </c>
      <c r="F3257" s="3" t="s">
        <v>7611</v>
      </c>
      <c r="G3257" s="3" t="s">
        <v>7625</v>
      </c>
    </row>
    <row r="3258" spans="1:7">
      <c r="A3258" s="2">
        <v>127</v>
      </c>
      <c r="B3258" s="2" t="s">
        <v>575</v>
      </c>
      <c r="C3258" s="2">
        <v>195</v>
      </c>
      <c r="D3258" s="2" t="s">
        <v>734</v>
      </c>
      <c r="E3258" s="2" t="s">
        <v>7620</v>
      </c>
      <c r="F3258" s="2" t="s">
        <v>7611</v>
      </c>
      <c r="G3258" s="2" t="s">
        <v>7621</v>
      </c>
    </row>
    <row r="3259" spans="1:7">
      <c r="A3259" s="3">
        <v>127</v>
      </c>
      <c r="B3259" s="3" t="s">
        <v>575</v>
      </c>
      <c r="C3259" s="3">
        <v>198</v>
      </c>
      <c r="D3259" s="3" t="s">
        <v>698</v>
      </c>
      <c r="E3259" s="3" t="s">
        <v>7620</v>
      </c>
      <c r="F3259" s="3" t="s">
        <v>7611</v>
      </c>
      <c r="G3259" s="3" t="s">
        <v>7622</v>
      </c>
    </row>
    <row r="3260" spans="1:7">
      <c r="A3260" s="2">
        <v>127</v>
      </c>
      <c r="B3260" s="2" t="s">
        <v>575</v>
      </c>
      <c r="C3260" s="2">
        <v>199</v>
      </c>
      <c r="D3260" s="2" t="s">
        <v>702</v>
      </c>
      <c r="E3260" s="2" t="s">
        <v>7620</v>
      </c>
      <c r="F3260" s="2" t="s">
        <v>7611</v>
      </c>
      <c r="G3260" s="2" t="s">
        <v>7625</v>
      </c>
    </row>
    <row r="3261" spans="1:7">
      <c r="A3261" s="3">
        <v>127</v>
      </c>
      <c r="B3261" s="3" t="s">
        <v>575</v>
      </c>
      <c r="C3261" s="3">
        <v>200</v>
      </c>
      <c r="D3261" s="3" t="s">
        <v>707</v>
      </c>
      <c r="E3261" s="3" t="s">
        <v>7620</v>
      </c>
      <c r="F3261" s="3" t="s">
        <v>7611</v>
      </c>
      <c r="G3261" s="3" t="s">
        <v>7622</v>
      </c>
    </row>
    <row r="3262" spans="1:7">
      <c r="A3262" s="2">
        <v>127</v>
      </c>
      <c r="B3262" s="2" t="s">
        <v>575</v>
      </c>
      <c r="C3262" s="2">
        <v>205</v>
      </c>
      <c r="D3262" s="2" t="s">
        <v>746</v>
      </c>
      <c r="E3262" s="2" t="s">
        <v>7620</v>
      </c>
      <c r="F3262" s="2" t="s">
        <v>7611</v>
      </c>
      <c r="G3262" s="2" t="s">
        <v>7621</v>
      </c>
    </row>
    <row r="3263" spans="1:7">
      <c r="A3263" s="3">
        <v>127</v>
      </c>
      <c r="B3263" s="3" t="s">
        <v>575</v>
      </c>
      <c r="C3263" s="3">
        <v>207</v>
      </c>
      <c r="D3263" s="3" t="s">
        <v>749</v>
      </c>
      <c r="E3263" s="3" t="s">
        <v>7620</v>
      </c>
      <c r="F3263" s="3" t="s">
        <v>7611</v>
      </c>
      <c r="G3263" s="3" t="s">
        <v>7622</v>
      </c>
    </row>
    <row r="3264" spans="1:7">
      <c r="A3264" s="2">
        <v>127</v>
      </c>
      <c r="B3264" s="2" t="s">
        <v>575</v>
      </c>
      <c r="C3264" s="2">
        <v>208</v>
      </c>
      <c r="D3264" s="2" t="s">
        <v>754</v>
      </c>
      <c r="E3264" s="2" t="s">
        <v>7620</v>
      </c>
      <c r="F3264" s="2" t="s">
        <v>7611</v>
      </c>
      <c r="G3264" s="2" t="s">
        <v>7625</v>
      </c>
    </row>
    <row r="3265" spans="1:7">
      <c r="A3265" s="3">
        <v>127</v>
      </c>
      <c r="B3265" s="3" t="s">
        <v>575</v>
      </c>
      <c r="C3265" s="3">
        <v>221</v>
      </c>
      <c r="D3265" s="3" t="s">
        <v>813</v>
      </c>
      <c r="E3265" s="3" t="s">
        <v>7620</v>
      </c>
      <c r="F3265" s="3" t="s">
        <v>7611</v>
      </c>
      <c r="G3265" s="3" t="s">
        <v>7625</v>
      </c>
    </row>
    <row r="3266" spans="1:7">
      <c r="A3266" s="2">
        <v>127</v>
      </c>
      <c r="B3266" s="2" t="s">
        <v>575</v>
      </c>
      <c r="C3266" s="2">
        <v>264</v>
      </c>
      <c r="D3266" s="2" t="s">
        <v>775</v>
      </c>
      <c r="E3266" s="2" t="s">
        <v>7620</v>
      </c>
      <c r="F3266" s="2" t="s">
        <v>7611</v>
      </c>
      <c r="G3266" s="2" t="s">
        <v>7625</v>
      </c>
    </row>
    <row r="3267" spans="1:7">
      <c r="A3267" s="3">
        <v>127</v>
      </c>
      <c r="B3267" s="3" t="s">
        <v>575</v>
      </c>
      <c r="C3267" s="3">
        <v>341</v>
      </c>
      <c r="D3267" s="3" t="s">
        <v>1052</v>
      </c>
      <c r="E3267" s="3" t="s">
        <v>7620</v>
      </c>
      <c r="F3267" s="3" t="s">
        <v>7611</v>
      </c>
      <c r="G3267" s="3" t="s">
        <v>7621</v>
      </c>
    </row>
    <row r="3268" spans="1:7">
      <c r="A3268" s="2">
        <v>127</v>
      </c>
      <c r="B3268" s="2" t="s">
        <v>575</v>
      </c>
      <c r="C3268" s="2">
        <v>343</v>
      </c>
      <c r="D3268" s="2" t="s">
        <v>977</v>
      </c>
      <c r="E3268" s="2" t="s">
        <v>7620</v>
      </c>
      <c r="F3268" s="2" t="s">
        <v>7611</v>
      </c>
      <c r="G3268" s="2" t="s">
        <v>7625</v>
      </c>
    </row>
    <row r="3269" spans="1:7">
      <c r="A3269" s="3">
        <v>128</v>
      </c>
      <c r="B3269" s="3" t="s">
        <v>355</v>
      </c>
      <c r="C3269" s="3">
        <v>191</v>
      </c>
      <c r="D3269" s="3" t="s">
        <v>719</v>
      </c>
      <c r="E3269" s="3" t="s">
        <v>7620</v>
      </c>
      <c r="F3269" s="3" t="s">
        <v>7611</v>
      </c>
      <c r="G3269" s="3" t="s">
        <v>7621</v>
      </c>
    </row>
    <row r="3270" spans="1:7">
      <c r="A3270" s="2">
        <v>128</v>
      </c>
      <c r="B3270" s="2" t="s">
        <v>355</v>
      </c>
      <c r="C3270" s="2">
        <v>195</v>
      </c>
      <c r="D3270" s="2" t="s">
        <v>734</v>
      </c>
      <c r="E3270" s="2" t="s">
        <v>7620</v>
      </c>
      <c r="F3270" s="2" t="s">
        <v>7611</v>
      </c>
      <c r="G3270" s="2" t="s">
        <v>7621</v>
      </c>
    </row>
    <row r="3271" spans="1:7">
      <c r="A3271" s="3">
        <v>128</v>
      </c>
      <c r="B3271" s="3" t="s">
        <v>355</v>
      </c>
      <c r="C3271" s="3">
        <v>198</v>
      </c>
      <c r="D3271" s="3" t="s">
        <v>698</v>
      </c>
      <c r="E3271" s="3" t="s">
        <v>7620</v>
      </c>
      <c r="F3271" s="3" t="s">
        <v>7611</v>
      </c>
      <c r="G3271" s="3" t="s">
        <v>7621</v>
      </c>
    </row>
    <row r="3272" spans="1:7">
      <c r="A3272" s="2">
        <v>128</v>
      </c>
      <c r="B3272" s="2" t="s">
        <v>355</v>
      </c>
      <c r="C3272" s="2">
        <v>199</v>
      </c>
      <c r="D3272" s="2" t="s">
        <v>702</v>
      </c>
      <c r="E3272" s="2" t="s">
        <v>7620</v>
      </c>
      <c r="F3272" s="2" t="s">
        <v>7611</v>
      </c>
      <c r="G3272" s="2" t="s">
        <v>7621</v>
      </c>
    </row>
    <row r="3273" spans="1:7">
      <c r="A3273" s="3">
        <v>128</v>
      </c>
      <c r="B3273" s="3" t="s">
        <v>355</v>
      </c>
      <c r="C3273" s="3">
        <v>200</v>
      </c>
      <c r="D3273" s="3" t="s">
        <v>707</v>
      </c>
      <c r="E3273" s="3" t="s">
        <v>7620</v>
      </c>
      <c r="F3273" s="3" t="s">
        <v>7611</v>
      </c>
      <c r="G3273" s="3" t="s">
        <v>7625</v>
      </c>
    </row>
    <row r="3274" spans="1:7">
      <c r="A3274" s="2">
        <v>128</v>
      </c>
      <c r="B3274" s="2" t="s">
        <v>355</v>
      </c>
      <c r="C3274" s="2">
        <v>205</v>
      </c>
      <c r="D3274" s="2" t="s">
        <v>746</v>
      </c>
      <c r="E3274" s="2" t="s">
        <v>7620</v>
      </c>
      <c r="F3274" s="2" t="s">
        <v>7611</v>
      </c>
      <c r="G3274" s="2" t="s">
        <v>7621</v>
      </c>
    </row>
    <row r="3275" spans="1:7">
      <c r="A3275" s="3">
        <v>128</v>
      </c>
      <c r="B3275" s="3" t="s">
        <v>355</v>
      </c>
      <c r="C3275" s="3">
        <v>207</v>
      </c>
      <c r="D3275" s="3" t="s">
        <v>749</v>
      </c>
      <c r="E3275" s="3" t="s">
        <v>7620</v>
      </c>
      <c r="F3275" s="3" t="s">
        <v>7611</v>
      </c>
      <c r="G3275" s="3" t="s">
        <v>7622</v>
      </c>
    </row>
    <row r="3276" spans="1:7">
      <c r="A3276" s="2">
        <v>128</v>
      </c>
      <c r="B3276" s="2" t="s">
        <v>355</v>
      </c>
      <c r="C3276" s="2">
        <v>208</v>
      </c>
      <c r="D3276" s="2" t="s">
        <v>754</v>
      </c>
      <c r="E3276" s="2" t="s">
        <v>7620</v>
      </c>
      <c r="F3276" s="2" t="s">
        <v>7611</v>
      </c>
      <c r="G3276" s="2" t="s">
        <v>7621</v>
      </c>
    </row>
    <row r="3277" spans="1:7">
      <c r="A3277" s="3">
        <v>128</v>
      </c>
      <c r="B3277" s="3" t="s">
        <v>355</v>
      </c>
      <c r="C3277" s="3">
        <v>221</v>
      </c>
      <c r="D3277" s="3" t="s">
        <v>813</v>
      </c>
      <c r="E3277" s="3" t="s">
        <v>7620</v>
      </c>
      <c r="F3277" s="3" t="s">
        <v>7611</v>
      </c>
      <c r="G3277" s="3" t="s">
        <v>7621</v>
      </c>
    </row>
    <row r="3278" spans="1:7">
      <c r="A3278" s="2">
        <v>128</v>
      </c>
      <c r="B3278" s="2" t="s">
        <v>355</v>
      </c>
      <c r="C3278" s="2">
        <v>264</v>
      </c>
      <c r="D3278" s="2" t="s">
        <v>775</v>
      </c>
      <c r="E3278" s="2" t="s">
        <v>7620</v>
      </c>
      <c r="F3278" s="2" t="s">
        <v>7611</v>
      </c>
      <c r="G3278" s="2" t="s">
        <v>7621</v>
      </c>
    </row>
    <row r="3279" spans="1:7">
      <c r="A3279" s="3">
        <v>128</v>
      </c>
      <c r="B3279" s="3" t="s">
        <v>355</v>
      </c>
      <c r="C3279" s="3">
        <v>341</v>
      </c>
      <c r="D3279" s="3" t="s">
        <v>1052</v>
      </c>
      <c r="E3279" s="3" t="s">
        <v>7620</v>
      </c>
      <c r="F3279" s="3" t="s">
        <v>7611</v>
      </c>
      <c r="G3279" s="3" t="s">
        <v>7622</v>
      </c>
    </row>
    <row r="3280" spans="1:7">
      <c r="A3280" s="2">
        <v>128</v>
      </c>
      <c r="B3280" s="2" t="s">
        <v>355</v>
      </c>
      <c r="C3280" s="2">
        <v>343</v>
      </c>
      <c r="D3280" s="2" t="s">
        <v>977</v>
      </c>
      <c r="E3280" s="2" t="s">
        <v>7620</v>
      </c>
      <c r="F3280" s="2" t="s">
        <v>7611</v>
      </c>
      <c r="G3280" s="2" t="s">
        <v>7625</v>
      </c>
    </row>
    <row r="3281" spans="1:7">
      <c r="A3281" s="3">
        <v>129</v>
      </c>
      <c r="B3281" s="3" t="s">
        <v>499</v>
      </c>
      <c r="C3281" s="3">
        <v>191</v>
      </c>
      <c r="D3281" s="3" t="s">
        <v>719</v>
      </c>
      <c r="E3281" s="3" t="s">
        <v>7620</v>
      </c>
      <c r="F3281" s="3" t="s">
        <v>7611</v>
      </c>
      <c r="G3281" s="3" t="s">
        <v>7621</v>
      </c>
    </row>
    <row r="3282" spans="1:7">
      <c r="A3282" s="2">
        <v>129</v>
      </c>
      <c r="B3282" s="2" t="s">
        <v>499</v>
      </c>
      <c r="C3282" s="2">
        <v>195</v>
      </c>
      <c r="D3282" s="2" t="s">
        <v>734</v>
      </c>
      <c r="E3282" s="2" t="s">
        <v>7620</v>
      </c>
      <c r="F3282" s="2" t="s">
        <v>7611</v>
      </c>
      <c r="G3282" s="2" t="s">
        <v>7621</v>
      </c>
    </row>
    <row r="3283" spans="1:7">
      <c r="A3283" s="3">
        <v>129</v>
      </c>
      <c r="B3283" s="3" t="s">
        <v>499</v>
      </c>
      <c r="C3283" s="3">
        <v>198</v>
      </c>
      <c r="D3283" s="3" t="s">
        <v>698</v>
      </c>
      <c r="E3283" s="3" t="s">
        <v>7620</v>
      </c>
      <c r="F3283" s="3" t="s">
        <v>7611</v>
      </c>
      <c r="G3283" s="3" t="s">
        <v>7621</v>
      </c>
    </row>
    <row r="3284" spans="1:7">
      <c r="A3284" s="2">
        <v>129</v>
      </c>
      <c r="B3284" s="2" t="s">
        <v>499</v>
      </c>
      <c r="C3284" s="2">
        <v>199</v>
      </c>
      <c r="D3284" s="2" t="s">
        <v>702</v>
      </c>
      <c r="E3284" s="2" t="s">
        <v>7620</v>
      </c>
      <c r="F3284" s="2" t="s">
        <v>7611</v>
      </c>
      <c r="G3284" s="2" t="s">
        <v>7621</v>
      </c>
    </row>
    <row r="3285" spans="1:7">
      <c r="A3285" s="3">
        <v>129</v>
      </c>
      <c r="B3285" s="3" t="s">
        <v>499</v>
      </c>
      <c r="C3285" s="3">
        <v>200</v>
      </c>
      <c r="D3285" s="3" t="s">
        <v>707</v>
      </c>
      <c r="E3285" s="3" t="s">
        <v>7620</v>
      </c>
      <c r="F3285" s="3" t="s">
        <v>7611</v>
      </c>
      <c r="G3285" s="3" t="s">
        <v>7625</v>
      </c>
    </row>
    <row r="3286" spans="1:7">
      <c r="A3286" s="2">
        <v>129</v>
      </c>
      <c r="B3286" s="2" t="s">
        <v>499</v>
      </c>
      <c r="C3286" s="2">
        <v>205</v>
      </c>
      <c r="D3286" s="2" t="s">
        <v>746</v>
      </c>
      <c r="E3286" s="2" t="s">
        <v>7620</v>
      </c>
      <c r="F3286" s="2" t="s">
        <v>7611</v>
      </c>
      <c r="G3286" s="2" t="s">
        <v>7625</v>
      </c>
    </row>
    <row r="3287" spans="1:7">
      <c r="A3287" s="3">
        <v>129</v>
      </c>
      <c r="B3287" s="3" t="s">
        <v>499</v>
      </c>
      <c r="C3287" s="3">
        <v>207</v>
      </c>
      <c r="D3287" s="3" t="s">
        <v>749</v>
      </c>
      <c r="E3287" s="3" t="s">
        <v>7620</v>
      </c>
      <c r="F3287" s="3" t="s">
        <v>7611</v>
      </c>
      <c r="G3287" s="3" t="s">
        <v>7621</v>
      </c>
    </row>
    <row r="3288" spans="1:7">
      <c r="A3288" s="2">
        <v>129</v>
      </c>
      <c r="B3288" s="2" t="s">
        <v>499</v>
      </c>
      <c r="C3288" s="2">
        <v>208</v>
      </c>
      <c r="D3288" s="2" t="s">
        <v>754</v>
      </c>
      <c r="E3288" s="2" t="s">
        <v>7620</v>
      </c>
      <c r="F3288" s="2" t="s">
        <v>7611</v>
      </c>
      <c r="G3288" s="2" t="s">
        <v>7622</v>
      </c>
    </row>
    <row r="3289" spans="1:7">
      <c r="A3289" s="3">
        <v>129</v>
      </c>
      <c r="B3289" s="3" t="s">
        <v>499</v>
      </c>
      <c r="C3289" s="3">
        <v>221</v>
      </c>
      <c r="D3289" s="3" t="s">
        <v>813</v>
      </c>
      <c r="E3289" s="3" t="s">
        <v>7696</v>
      </c>
      <c r="F3289" s="3" t="s">
        <v>7611</v>
      </c>
      <c r="G3289" s="3" t="s">
        <v>7609</v>
      </c>
    </row>
    <row r="3290" spans="1:7">
      <c r="A3290" s="2">
        <v>129</v>
      </c>
      <c r="B3290" s="2" t="s">
        <v>499</v>
      </c>
      <c r="C3290" s="2">
        <v>264</v>
      </c>
      <c r="D3290" s="2" t="s">
        <v>775</v>
      </c>
      <c r="E3290" s="2" t="s">
        <v>7620</v>
      </c>
      <c r="F3290" s="2" t="s">
        <v>7611</v>
      </c>
      <c r="G3290" s="2" t="s">
        <v>7625</v>
      </c>
    </row>
    <row r="3291" spans="1:7">
      <c r="A3291" s="3">
        <v>129</v>
      </c>
      <c r="B3291" s="3" t="s">
        <v>499</v>
      </c>
      <c r="C3291" s="3">
        <v>341</v>
      </c>
      <c r="D3291" s="3" t="s">
        <v>1052</v>
      </c>
      <c r="E3291" s="3" t="s">
        <v>7620</v>
      </c>
      <c r="F3291" s="3" t="s">
        <v>7611</v>
      </c>
      <c r="G3291" s="3" t="s">
        <v>7622</v>
      </c>
    </row>
    <row r="3292" spans="1:7">
      <c r="A3292" s="2">
        <v>129</v>
      </c>
      <c r="B3292" s="2" t="s">
        <v>499</v>
      </c>
      <c r="C3292" s="2">
        <v>343</v>
      </c>
      <c r="D3292" s="2" t="s">
        <v>977</v>
      </c>
      <c r="E3292" s="2" t="s">
        <v>7620</v>
      </c>
      <c r="F3292" s="2" t="s">
        <v>7611</v>
      </c>
      <c r="G3292" s="2" t="s">
        <v>7621</v>
      </c>
    </row>
    <row r="3293" spans="1:7">
      <c r="A3293" s="3">
        <v>130</v>
      </c>
      <c r="B3293" s="3" t="s">
        <v>504</v>
      </c>
      <c r="C3293" s="3">
        <v>189</v>
      </c>
      <c r="D3293" s="3" t="s">
        <v>742</v>
      </c>
      <c r="E3293" s="3" t="s">
        <v>7653</v>
      </c>
      <c r="F3293" s="3" t="s">
        <v>7608</v>
      </c>
      <c r="G3293" s="3" t="s">
        <v>7625</v>
      </c>
    </row>
    <row r="3294" spans="1:7">
      <c r="A3294" s="2">
        <v>130</v>
      </c>
      <c r="B3294" s="2" t="s">
        <v>504</v>
      </c>
      <c r="C3294" s="2">
        <v>191</v>
      </c>
      <c r="D3294" s="2" t="s">
        <v>719</v>
      </c>
      <c r="E3294" s="2" t="s">
        <v>7618</v>
      </c>
      <c r="F3294" s="2" t="s">
        <v>7611</v>
      </c>
      <c r="G3294" s="2" t="s">
        <v>7634</v>
      </c>
    </row>
    <row r="3295" spans="1:7">
      <c r="A3295" s="3">
        <v>130</v>
      </c>
      <c r="B3295" s="3" t="s">
        <v>504</v>
      </c>
      <c r="C3295" s="3">
        <v>195</v>
      </c>
      <c r="D3295" s="3" t="s">
        <v>734</v>
      </c>
      <c r="E3295" s="3" t="s">
        <v>7618</v>
      </c>
      <c r="F3295" s="3" t="s">
        <v>7611</v>
      </c>
      <c r="G3295" s="3" t="s">
        <v>7636</v>
      </c>
    </row>
    <row r="3296" spans="1:7">
      <c r="A3296" s="2">
        <v>130</v>
      </c>
      <c r="B3296" s="2" t="s">
        <v>504</v>
      </c>
      <c r="C3296" s="2">
        <v>198</v>
      </c>
      <c r="D3296" s="2" t="s">
        <v>698</v>
      </c>
      <c r="E3296" s="2" t="s">
        <v>7620</v>
      </c>
      <c r="F3296" s="2" t="s">
        <v>7611</v>
      </c>
      <c r="G3296" s="2" t="s">
        <v>7622</v>
      </c>
    </row>
    <row r="3297" spans="1:7">
      <c r="A3297" s="3">
        <v>130</v>
      </c>
      <c r="B3297" s="3" t="s">
        <v>504</v>
      </c>
      <c r="C3297" s="3">
        <v>199</v>
      </c>
      <c r="D3297" s="3" t="s">
        <v>702</v>
      </c>
      <c r="E3297" s="3" t="s">
        <v>7660</v>
      </c>
      <c r="F3297" s="3" t="s">
        <v>7611</v>
      </c>
      <c r="G3297" s="3" t="s">
        <v>7644</v>
      </c>
    </row>
    <row r="3298" spans="1:7">
      <c r="A3298" s="2">
        <v>130</v>
      </c>
      <c r="B3298" s="2" t="s">
        <v>504</v>
      </c>
      <c r="C3298" s="2">
        <v>200</v>
      </c>
      <c r="D3298" s="2" t="s">
        <v>707</v>
      </c>
      <c r="E3298" s="2" t="s">
        <v>7654</v>
      </c>
      <c r="F3298" s="2" t="s">
        <v>7611</v>
      </c>
      <c r="G3298" s="2" t="s">
        <v>7636</v>
      </c>
    </row>
    <row r="3299" spans="1:7">
      <c r="A3299" s="3">
        <v>130</v>
      </c>
      <c r="B3299" s="3" t="s">
        <v>504</v>
      </c>
      <c r="C3299" s="3">
        <v>205</v>
      </c>
      <c r="D3299" s="3" t="s">
        <v>746</v>
      </c>
      <c r="E3299" s="3" t="s">
        <v>7620</v>
      </c>
      <c r="F3299" s="3" t="s">
        <v>7611</v>
      </c>
      <c r="G3299" s="3" t="s">
        <v>7621</v>
      </c>
    </row>
    <row r="3300" spans="1:7">
      <c r="A3300" s="2">
        <v>130</v>
      </c>
      <c r="B3300" s="2" t="s">
        <v>504</v>
      </c>
      <c r="C3300" s="2">
        <v>207</v>
      </c>
      <c r="D3300" s="2" t="s">
        <v>749</v>
      </c>
      <c r="E3300" s="2" t="s">
        <v>7618</v>
      </c>
      <c r="F3300" s="2" t="s">
        <v>7611</v>
      </c>
      <c r="G3300" s="2" t="s">
        <v>7617</v>
      </c>
    </row>
    <row r="3301" spans="1:7">
      <c r="A3301" s="3">
        <v>130</v>
      </c>
      <c r="B3301" s="3" t="s">
        <v>504</v>
      </c>
      <c r="C3301" s="3">
        <v>208</v>
      </c>
      <c r="D3301" s="3" t="s">
        <v>754</v>
      </c>
      <c r="E3301" s="3" t="s">
        <v>7620</v>
      </c>
      <c r="F3301" s="3" t="s">
        <v>7611</v>
      </c>
      <c r="G3301" s="3" t="s">
        <v>7622</v>
      </c>
    </row>
    <row r="3302" spans="1:7">
      <c r="A3302" s="2">
        <v>130</v>
      </c>
      <c r="B3302" s="2" t="s">
        <v>504</v>
      </c>
      <c r="C3302" s="2">
        <v>209</v>
      </c>
      <c r="D3302" s="2" t="s">
        <v>758</v>
      </c>
      <c r="E3302" s="2" t="s">
        <v>7618</v>
      </c>
      <c r="F3302" s="2" t="s">
        <v>7608</v>
      </c>
      <c r="G3302" s="2" t="s">
        <v>7609</v>
      </c>
    </row>
    <row r="3303" spans="1:7">
      <c r="A3303" s="3">
        <v>130</v>
      </c>
      <c r="B3303" s="3" t="s">
        <v>504</v>
      </c>
      <c r="C3303" s="3">
        <v>221</v>
      </c>
      <c r="D3303" s="3" t="s">
        <v>813</v>
      </c>
      <c r="E3303" s="3" t="s">
        <v>7618</v>
      </c>
      <c r="F3303" s="3" t="s">
        <v>7611</v>
      </c>
      <c r="G3303" s="3" t="s">
        <v>7619</v>
      </c>
    </row>
    <row r="3304" spans="1:7">
      <c r="A3304" s="2">
        <v>130</v>
      </c>
      <c r="B3304" s="2" t="s">
        <v>504</v>
      </c>
      <c r="C3304" s="2">
        <v>264</v>
      </c>
      <c r="D3304" s="2" t="s">
        <v>775</v>
      </c>
      <c r="E3304" s="2" t="s">
        <v>7618</v>
      </c>
      <c r="F3304" s="2" t="s">
        <v>7611</v>
      </c>
      <c r="G3304" s="2" t="s">
        <v>7617</v>
      </c>
    </row>
    <row r="3305" spans="1:7">
      <c r="A3305" s="3">
        <v>130</v>
      </c>
      <c r="B3305" s="3" t="s">
        <v>504</v>
      </c>
      <c r="C3305" s="3">
        <v>341</v>
      </c>
      <c r="D3305" s="3" t="s">
        <v>1052</v>
      </c>
      <c r="E3305" s="3" t="s">
        <v>7620</v>
      </c>
      <c r="F3305" s="3" t="s">
        <v>7611</v>
      </c>
      <c r="G3305" s="3" t="s">
        <v>7622</v>
      </c>
    </row>
    <row r="3306" spans="1:7">
      <c r="A3306" s="2">
        <v>130</v>
      </c>
      <c r="B3306" s="2" t="s">
        <v>504</v>
      </c>
      <c r="C3306" s="2">
        <v>343</v>
      </c>
      <c r="D3306" s="2" t="s">
        <v>977</v>
      </c>
      <c r="E3306" s="2" t="s">
        <v>7620</v>
      </c>
      <c r="F3306" s="2" t="s">
        <v>7611</v>
      </c>
      <c r="G3306" s="2" t="s">
        <v>7625</v>
      </c>
    </row>
    <row r="3307" spans="1:7">
      <c r="A3307" s="3">
        <v>131</v>
      </c>
      <c r="B3307" s="3" t="s">
        <v>577</v>
      </c>
      <c r="C3307" s="3">
        <v>191</v>
      </c>
      <c r="D3307" s="3" t="s">
        <v>719</v>
      </c>
      <c r="E3307" s="3" t="s">
        <v>7620</v>
      </c>
      <c r="F3307" s="3" t="s">
        <v>7611</v>
      </c>
      <c r="G3307" s="3" t="s">
        <v>7625</v>
      </c>
    </row>
    <row r="3308" spans="1:7">
      <c r="A3308" s="2">
        <v>131</v>
      </c>
      <c r="B3308" s="2" t="s">
        <v>577</v>
      </c>
      <c r="C3308" s="2">
        <v>195</v>
      </c>
      <c r="D3308" s="2" t="s">
        <v>734</v>
      </c>
      <c r="E3308" s="2" t="s">
        <v>7620</v>
      </c>
      <c r="F3308" s="2" t="s">
        <v>7611</v>
      </c>
      <c r="G3308" s="2" t="s">
        <v>7621</v>
      </c>
    </row>
    <row r="3309" spans="1:7">
      <c r="A3309" s="3">
        <v>131</v>
      </c>
      <c r="B3309" s="3" t="s">
        <v>577</v>
      </c>
      <c r="C3309" s="3">
        <v>198</v>
      </c>
      <c r="D3309" s="3" t="s">
        <v>698</v>
      </c>
      <c r="E3309" s="3" t="s">
        <v>7620</v>
      </c>
      <c r="F3309" s="3" t="s">
        <v>7611</v>
      </c>
      <c r="G3309" s="3" t="s">
        <v>7622</v>
      </c>
    </row>
    <row r="3310" spans="1:7">
      <c r="A3310" s="2">
        <v>131</v>
      </c>
      <c r="B3310" s="2" t="s">
        <v>577</v>
      </c>
      <c r="C3310" s="2">
        <v>199</v>
      </c>
      <c r="D3310" s="2" t="s">
        <v>702</v>
      </c>
      <c r="E3310" s="2" t="s">
        <v>7620</v>
      </c>
      <c r="F3310" s="2" t="s">
        <v>7611</v>
      </c>
      <c r="G3310" s="2" t="s">
        <v>7625</v>
      </c>
    </row>
    <row r="3311" spans="1:7">
      <c r="A3311" s="3">
        <v>131</v>
      </c>
      <c r="B3311" s="3" t="s">
        <v>577</v>
      </c>
      <c r="C3311" s="3">
        <v>200</v>
      </c>
      <c r="D3311" s="3" t="s">
        <v>707</v>
      </c>
      <c r="E3311" s="3" t="s">
        <v>7620</v>
      </c>
      <c r="F3311" s="3" t="s">
        <v>7611</v>
      </c>
      <c r="G3311" s="3" t="s">
        <v>7622</v>
      </c>
    </row>
    <row r="3312" spans="1:7">
      <c r="A3312" s="2">
        <v>131</v>
      </c>
      <c r="B3312" s="2" t="s">
        <v>577</v>
      </c>
      <c r="C3312" s="2">
        <v>205</v>
      </c>
      <c r="D3312" s="2" t="s">
        <v>746</v>
      </c>
      <c r="E3312" s="2" t="s">
        <v>7620</v>
      </c>
      <c r="F3312" s="2" t="s">
        <v>7611</v>
      </c>
      <c r="G3312" s="2" t="s">
        <v>7621</v>
      </c>
    </row>
    <row r="3313" spans="1:7">
      <c r="A3313" s="3">
        <v>131</v>
      </c>
      <c r="B3313" s="3" t="s">
        <v>577</v>
      </c>
      <c r="C3313" s="3">
        <v>207</v>
      </c>
      <c r="D3313" s="3" t="s">
        <v>749</v>
      </c>
      <c r="E3313" s="3" t="s">
        <v>7620</v>
      </c>
      <c r="F3313" s="3" t="s">
        <v>7611</v>
      </c>
      <c r="G3313" s="3" t="s">
        <v>7622</v>
      </c>
    </row>
    <row r="3314" spans="1:7">
      <c r="A3314" s="2">
        <v>131</v>
      </c>
      <c r="B3314" s="2" t="s">
        <v>577</v>
      </c>
      <c r="C3314" s="2">
        <v>208</v>
      </c>
      <c r="D3314" s="2" t="s">
        <v>754</v>
      </c>
      <c r="E3314" s="2" t="s">
        <v>7620</v>
      </c>
      <c r="F3314" s="2" t="s">
        <v>7611</v>
      </c>
      <c r="G3314" s="2" t="s">
        <v>7625</v>
      </c>
    </row>
    <row r="3315" spans="1:7">
      <c r="A3315" s="3">
        <v>131</v>
      </c>
      <c r="B3315" s="3" t="s">
        <v>577</v>
      </c>
      <c r="C3315" s="3">
        <v>221</v>
      </c>
      <c r="D3315" s="3" t="s">
        <v>813</v>
      </c>
      <c r="E3315" s="3" t="s">
        <v>7620</v>
      </c>
      <c r="F3315" s="3" t="s">
        <v>7611</v>
      </c>
      <c r="G3315" s="3" t="s">
        <v>7625</v>
      </c>
    </row>
    <row r="3316" spans="1:7">
      <c r="A3316" s="2">
        <v>131</v>
      </c>
      <c r="B3316" s="2" t="s">
        <v>577</v>
      </c>
      <c r="C3316" s="2">
        <v>264</v>
      </c>
      <c r="D3316" s="2" t="s">
        <v>775</v>
      </c>
      <c r="E3316" s="2" t="s">
        <v>7620</v>
      </c>
      <c r="F3316" s="2" t="s">
        <v>7611</v>
      </c>
      <c r="G3316" s="2" t="s">
        <v>7625</v>
      </c>
    </row>
    <row r="3317" spans="1:7">
      <c r="A3317" s="3">
        <v>131</v>
      </c>
      <c r="B3317" s="3" t="s">
        <v>577</v>
      </c>
      <c r="C3317" s="3">
        <v>341</v>
      </c>
      <c r="D3317" s="3" t="s">
        <v>1052</v>
      </c>
      <c r="E3317" s="3" t="s">
        <v>7620</v>
      </c>
      <c r="F3317" s="3" t="s">
        <v>7611</v>
      </c>
      <c r="G3317" s="3" t="s">
        <v>7621</v>
      </c>
    </row>
    <row r="3318" spans="1:7">
      <c r="A3318" s="2">
        <v>131</v>
      </c>
      <c r="B3318" s="2" t="s">
        <v>577</v>
      </c>
      <c r="C3318" s="2">
        <v>343</v>
      </c>
      <c r="D3318" s="2" t="s">
        <v>977</v>
      </c>
      <c r="E3318" s="2" t="s">
        <v>7620</v>
      </c>
      <c r="F3318" s="2" t="s">
        <v>7611</v>
      </c>
      <c r="G3318" s="2" t="s">
        <v>7625</v>
      </c>
    </row>
    <row r="3319" spans="1:7">
      <c r="A3319" s="3">
        <v>133</v>
      </c>
      <c r="B3319" s="3" t="s">
        <v>212</v>
      </c>
      <c r="C3319" s="3">
        <v>191</v>
      </c>
      <c r="D3319" s="3" t="s">
        <v>719</v>
      </c>
      <c r="E3319" s="3" t="s">
        <v>7618</v>
      </c>
      <c r="F3319" s="3" t="s">
        <v>7608</v>
      </c>
      <c r="G3319" s="3" t="s">
        <v>7609</v>
      </c>
    </row>
    <row r="3320" spans="1:7">
      <c r="A3320" s="2">
        <v>133</v>
      </c>
      <c r="B3320" s="2" t="s">
        <v>212</v>
      </c>
      <c r="C3320" s="2">
        <v>195</v>
      </c>
      <c r="D3320" s="2" t="s">
        <v>734</v>
      </c>
      <c r="E3320" s="2" t="s">
        <v>7618</v>
      </c>
      <c r="F3320" s="2" t="s">
        <v>7608</v>
      </c>
      <c r="G3320" s="2" t="s">
        <v>7609</v>
      </c>
    </row>
    <row r="3321" spans="1:7">
      <c r="A3321" s="3">
        <v>133</v>
      </c>
      <c r="B3321" s="3" t="s">
        <v>212</v>
      </c>
      <c r="C3321" s="3">
        <v>198</v>
      </c>
      <c r="D3321" s="3" t="s">
        <v>698</v>
      </c>
      <c r="E3321" s="3" t="s">
        <v>7620</v>
      </c>
      <c r="F3321" s="3" t="s">
        <v>7608</v>
      </c>
      <c r="G3321" s="3" t="s">
        <v>7621</v>
      </c>
    </row>
    <row r="3322" spans="1:7">
      <c r="A3322" s="2">
        <v>133</v>
      </c>
      <c r="B3322" s="2" t="s">
        <v>212</v>
      </c>
      <c r="C3322" s="2">
        <v>199</v>
      </c>
      <c r="D3322" s="2" t="s">
        <v>702</v>
      </c>
      <c r="E3322" s="2" t="s">
        <v>7618</v>
      </c>
      <c r="F3322" s="2" t="s">
        <v>7608</v>
      </c>
      <c r="G3322" s="2" t="s">
        <v>7633</v>
      </c>
    </row>
    <row r="3323" spans="1:7">
      <c r="A3323" s="3">
        <v>133</v>
      </c>
      <c r="B3323" s="3" t="s">
        <v>212</v>
      </c>
      <c r="C3323" s="3">
        <v>200</v>
      </c>
      <c r="D3323" s="3" t="s">
        <v>707</v>
      </c>
      <c r="E3323" s="3" t="s">
        <v>7620</v>
      </c>
      <c r="F3323" s="3" t="s">
        <v>7608</v>
      </c>
      <c r="G3323" s="3" t="s">
        <v>7621</v>
      </c>
    </row>
    <row r="3324" spans="1:7">
      <c r="A3324" s="2">
        <v>133</v>
      </c>
      <c r="B3324" s="2" t="s">
        <v>212</v>
      </c>
      <c r="C3324" s="2">
        <v>205</v>
      </c>
      <c r="D3324" s="2" t="s">
        <v>746</v>
      </c>
      <c r="E3324" s="2" t="s">
        <v>7620</v>
      </c>
      <c r="F3324" s="2" t="s">
        <v>7608</v>
      </c>
      <c r="G3324" s="2" t="s">
        <v>7625</v>
      </c>
    </row>
    <row r="3325" spans="1:7">
      <c r="A3325" s="3">
        <v>133</v>
      </c>
      <c r="B3325" s="3" t="s">
        <v>212</v>
      </c>
      <c r="C3325" s="3">
        <v>207</v>
      </c>
      <c r="D3325" s="3" t="s">
        <v>749</v>
      </c>
      <c r="E3325" s="3" t="s">
        <v>7618</v>
      </c>
      <c r="F3325" s="3" t="s">
        <v>7608</v>
      </c>
      <c r="G3325" s="3" t="s">
        <v>7609</v>
      </c>
    </row>
    <row r="3326" spans="1:7">
      <c r="A3326" s="2">
        <v>133</v>
      </c>
      <c r="B3326" s="2" t="s">
        <v>212</v>
      </c>
      <c r="C3326" s="2">
        <v>209</v>
      </c>
      <c r="D3326" s="2" t="s">
        <v>758</v>
      </c>
      <c r="E3326" s="2" t="s">
        <v>7618</v>
      </c>
      <c r="F3326" s="2" t="s">
        <v>7608</v>
      </c>
      <c r="G3326" s="2" t="s">
        <v>7609</v>
      </c>
    </row>
    <row r="3327" spans="1:7">
      <c r="A3327" s="3">
        <v>133</v>
      </c>
      <c r="B3327" s="3" t="s">
        <v>212</v>
      </c>
      <c r="C3327" s="3">
        <v>221</v>
      </c>
      <c r="D3327" s="3" t="s">
        <v>813</v>
      </c>
      <c r="E3327" s="3" t="s">
        <v>7618</v>
      </c>
      <c r="F3327" s="3" t="s">
        <v>7608</v>
      </c>
      <c r="G3327" s="3" t="s">
        <v>7633</v>
      </c>
    </row>
    <row r="3328" spans="1:7">
      <c r="A3328" s="2">
        <v>133</v>
      </c>
      <c r="B3328" s="2" t="s">
        <v>212</v>
      </c>
      <c r="C3328" s="2">
        <v>264</v>
      </c>
      <c r="D3328" s="2" t="s">
        <v>775</v>
      </c>
      <c r="E3328" s="2" t="s">
        <v>7618</v>
      </c>
      <c r="F3328" s="2" t="s">
        <v>7608</v>
      </c>
      <c r="G3328" s="2" t="s">
        <v>7633</v>
      </c>
    </row>
    <row r="3329" spans="1:7">
      <c r="A3329" s="3">
        <v>134</v>
      </c>
      <c r="B3329" s="3" t="s">
        <v>591</v>
      </c>
      <c r="C3329" s="3">
        <v>191</v>
      </c>
      <c r="D3329" s="3" t="s">
        <v>719</v>
      </c>
      <c r="E3329" s="3" t="s">
        <v>7618</v>
      </c>
      <c r="F3329" s="3" t="s">
        <v>7611</v>
      </c>
      <c r="G3329" s="3" t="s">
        <v>7617</v>
      </c>
    </row>
    <row r="3330" spans="1:7">
      <c r="A3330" s="2">
        <v>134</v>
      </c>
      <c r="B3330" s="2" t="s">
        <v>591</v>
      </c>
      <c r="C3330" s="2">
        <v>195</v>
      </c>
      <c r="D3330" s="2" t="s">
        <v>734</v>
      </c>
      <c r="E3330" s="2" t="s">
        <v>7618</v>
      </c>
      <c r="F3330" s="2" t="s">
        <v>7611</v>
      </c>
      <c r="G3330" s="2" t="s">
        <v>7619</v>
      </c>
    </row>
    <row r="3331" spans="1:7">
      <c r="A3331" s="3">
        <v>134</v>
      </c>
      <c r="B3331" s="3" t="s">
        <v>591</v>
      </c>
      <c r="C3331" s="3">
        <v>198</v>
      </c>
      <c r="D3331" s="3" t="s">
        <v>698</v>
      </c>
      <c r="E3331" s="3" t="s">
        <v>7620</v>
      </c>
      <c r="F3331" s="3" t="s">
        <v>7611</v>
      </c>
      <c r="G3331" s="3" t="s">
        <v>7633</v>
      </c>
    </row>
    <row r="3332" spans="1:7">
      <c r="A3332" s="2">
        <v>134</v>
      </c>
      <c r="B3332" s="2" t="s">
        <v>591</v>
      </c>
      <c r="C3332" s="2">
        <v>199</v>
      </c>
      <c r="D3332" s="2" t="s">
        <v>702</v>
      </c>
      <c r="E3332" s="2" t="s">
        <v>7618</v>
      </c>
      <c r="F3332" s="2" t="s">
        <v>7611</v>
      </c>
      <c r="G3332" s="2" t="s">
        <v>7617</v>
      </c>
    </row>
    <row r="3333" spans="1:7">
      <c r="A3333" s="3">
        <v>134</v>
      </c>
      <c r="B3333" s="3" t="s">
        <v>591</v>
      </c>
      <c r="C3333" s="3">
        <v>200</v>
      </c>
      <c r="D3333" s="3" t="s">
        <v>707</v>
      </c>
      <c r="E3333" s="3" t="s">
        <v>7620</v>
      </c>
      <c r="F3333" s="3" t="s">
        <v>7611</v>
      </c>
      <c r="G3333" s="3" t="s">
        <v>7622</v>
      </c>
    </row>
    <row r="3334" spans="1:7">
      <c r="A3334" s="2">
        <v>134</v>
      </c>
      <c r="B3334" s="2" t="s">
        <v>591</v>
      </c>
      <c r="C3334" s="2">
        <v>205</v>
      </c>
      <c r="D3334" s="2" t="s">
        <v>746</v>
      </c>
      <c r="E3334" s="2" t="s">
        <v>7620</v>
      </c>
      <c r="F3334" s="2" t="s">
        <v>7611</v>
      </c>
      <c r="G3334" s="2" t="s">
        <v>7622</v>
      </c>
    </row>
    <row r="3335" spans="1:7">
      <c r="A3335" s="3">
        <v>134</v>
      </c>
      <c r="B3335" s="3" t="s">
        <v>591</v>
      </c>
      <c r="C3335" s="3">
        <v>207</v>
      </c>
      <c r="D3335" s="3" t="s">
        <v>749</v>
      </c>
      <c r="E3335" s="3" t="s">
        <v>7623</v>
      </c>
      <c r="F3335" s="3" t="s">
        <v>7611</v>
      </c>
      <c r="G3335" s="3" t="s">
        <v>7632</v>
      </c>
    </row>
    <row r="3336" spans="1:7">
      <c r="A3336" s="2">
        <v>134</v>
      </c>
      <c r="B3336" s="2" t="s">
        <v>591</v>
      </c>
      <c r="C3336" s="2">
        <v>208</v>
      </c>
      <c r="D3336" s="2" t="s">
        <v>754</v>
      </c>
      <c r="E3336" s="2" t="s">
        <v>7620</v>
      </c>
      <c r="F3336" s="2" t="s">
        <v>7611</v>
      </c>
      <c r="G3336" s="2" t="s">
        <v>7621</v>
      </c>
    </row>
    <row r="3337" spans="1:7">
      <c r="A3337" s="3">
        <v>134</v>
      </c>
      <c r="B3337" s="3" t="s">
        <v>591</v>
      </c>
      <c r="C3337" s="3">
        <v>209</v>
      </c>
      <c r="D3337" s="3" t="s">
        <v>758</v>
      </c>
      <c r="E3337" s="3" t="s">
        <v>7618</v>
      </c>
      <c r="F3337" s="3" t="s">
        <v>7608</v>
      </c>
      <c r="G3337" s="3" t="s">
        <v>7617</v>
      </c>
    </row>
    <row r="3338" spans="1:7">
      <c r="A3338" s="2">
        <v>134</v>
      </c>
      <c r="B3338" s="2" t="s">
        <v>591</v>
      </c>
      <c r="C3338" s="2">
        <v>221</v>
      </c>
      <c r="D3338" s="2" t="s">
        <v>813</v>
      </c>
      <c r="E3338" s="2" t="s">
        <v>7623</v>
      </c>
      <c r="F3338" s="2" t="s">
        <v>7611</v>
      </c>
      <c r="G3338" s="2" t="s">
        <v>7624</v>
      </c>
    </row>
    <row r="3339" spans="1:7">
      <c r="A3339" s="3">
        <v>134</v>
      </c>
      <c r="B3339" s="3" t="s">
        <v>591</v>
      </c>
      <c r="C3339" s="3">
        <v>264</v>
      </c>
      <c r="D3339" s="3" t="s">
        <v>775</v>
      </c>
      <c r="E3339" s="3" t="s">
        <v>7618</v>
      </c>
      <c r="F3339" s="3" t="s">
        <v>7611</v>
      </c>
      <c r="G3339" s="3" t="s">
        <v>7617</v>
      </c>
    </row>
    <row r="3340" spans="1:7">
      <c r="A3340" s="2">
        <v>134</v>
      </c>
      <c r="B3340" s="2" t="s">
        <v>591</v>
      </c>
      <c r="C3340" s="2">
        <v>341</v>
      </c>
      <c r="D3340" s="2" t="s">
        <v>1052</v>
      </c>
      <c r="E3340" s="2" t="s">
        <v>7620</v>
      </c>
      <c r="F3340" s="2" t="s">
        <v>7611</v>
      </c>
      <c r="G3340" s="2" t="s">
        <v>7622</v>
      </c>
    </row>
    <row r="3341" spans="1:7">
      <c r="A3341" s="3">
        <v>134</v>
      </c>
      <c r="B3341" s="3" t="s">
        <v>591</v>
      </c>
      <c r="C3341" s="3">
        <v>343</v>
      </c>
      <c r="D3341" s="3" t="s">
        <v>977</v>
      </c>
      <c r="E3341" s="3" t="s">
        <v>7620</v>
      </c>
      <c r="F3341" s="3" t="s">
        <v>7611</v>
      </c>
      <c r="G3341" s="3" t="s">
        <v>7625</v>
      </c>
    </row>
    <row r="3342" spans="1:7">
      <c r="A3342" s="2">
        <v>135</v>
      </c>
      <c r="B3342" s="2" t="s">
        <v>469</v>
      </c>
      <c r="C3342" s="2">
        <v>191</v>
      </c>
      <c r="D3342" s="2" t="s">
        <v>719</v>
      </c>
      <c r="E3342" s="2" t="s">
        <v>7620</v>
      </c>
      <c r="F3342" s="2" t="s">
        <v>7611</v>
      </c>
      <c r="G3342" s="2" t="s">
        <v>7622</v>
      </c>
    </row>
    <row r="3343" spans="1:7">
      <c r="A3343" s="3">
        <v>135</v>
      </c>
      <c r="B3343" s="3" t="s">
        <v>469</v>
      </c>
      <c r="C3343" s="3">
        <v>195</v>
      </c>
      <c r="D3343" s="3" t="s">
        <v>734</v>
      </c>
      <c r="E3343" s="3" t="s">
        <v>7620</v>
      </c>
      <c r="F3343" s="3" t="s">
        <v>7611</v>
      </c>
      <c r="G3343" s="3" t="s">
        <v>7633</v>
      </c>
    </row>
    <row r="3344" spans="1:7">
      <c r="A3344" s="2">
        <v>135</v>
      </c>
      <c r="B3344" s="2" t="s">
        <v>469</v>
      </c>
      <c r="C3344" s="2">
        <v>198</v>
      </c>
      <c r="D3344" s="2" t="s">
        <v>698</v>
      </c>
      <c r="E3344" s="2" t="s">
        <v>7620</v>
      </c>
      <c r="F3344" s="2" t="s">
        <v>7611</v>
      </c>
      <c r="G3344" s="2" t="s">
        <v>7621</v>
      </c>
    </row>
    <row r="3345" spans="1:7">
      <c r="A3345" s="3">
        <v>135</v>
      </c>
      <c r="B3345" s="3" t="s">
        <v>469</v>
      </c>
      <c r="C3345" s="3">
        <v>199</v>
      </c>
      <c r="D3345" s="3" t="s">
        <v>702</v>
      </c>
      <c r="E3345" s="3" t="s">
        <v>7620</v>
      </c>
      <c r="F3345" s="3" t="s">
        <v>7611</v>
      </c>
      <c r="G3345" s="3" t="s">
        <v>7622</v>
      </c>
    </row>
    <row r="3346" spans="1:7">
      <c r="A3346" s="2">
        <v>135</v>
      </c>
      <c r="B3346" s="2" t="s">
        <v>469</v>
      </c>
      <c r="C3346" s="2">
        <v>200</v>
      </c>
      <c r="D3346" s="2" t="s">
        <v>707</v>
      </c>
      <c r="E3346" s="2" t="s">
        <v>7620</v>
      </c>
      <c r="F3346" s="2" t="s">
        <v>7611</v>
      </c>
      <c r="G3346" s="2" t="s">
        <v>7625</v>
      </c>
    </row>
    <row r="3347" spans="1:7">
      <c r="A3347" s="3">
        <v>135</v>
      </c>
      <c r="B3347" s="3" t="s">
        <v>469</v>
      </c>
      <c r="C3347" s="3">
        <v>205</v>
      </c>
      <c r="D3347" s="3" t="s">
        <v>746</v>
      </c>
      <c r="E3347" s="3" t="s">
        <v>7620</v>
      </c>
      <c r="F3347" s="3" t="s">
        <v>7611</v>
      </c>
      <c r="G3347" s="3" t="s">
        <v>7621</v>
      </c>
    </row>
    <row r="3348" spans="1:7">
      <c r="A3348" s="2">
        <v>135</v>
      </c>
      <c r="B3348" s="2" t="s">
        <v>469</v>
      </c>
      <c r="C3348" s="2">
        <v>207</v>
      </c>
      <c r="D3348" s="2" t="s">
        <v>749</v>
      </c>
      <c r="E3348" s="2" t="s">
        <v>7620</v>
      </c>
      <c r="F3348" s="2" t="s">
        <v>7611</v>
      </c>
      <c r="G3348" s="2" t="s">
        <v>7621</v>
      </c>
    </row>
    <row r="3349" spans="1:7">
      <c r="A3349" s="3">
        <v>135</v>
      </c>
      <c r="B3349" s="3" t="s">
        <v>469</v>
      </c>
      <c r="C3349" s="3">
        <v>208</v>
      </c>
      <c r="D3349" s="3" t="s">
        <v>754</v>
      </c>
      <c r="E3349" s="3" t="s">
        <v>7620</v>
      </c>
      <c r="F3349" s="3" t="s">
        <v>7611</v>
      </c>
      <c r="G3349" s="3" t="s">
        <v>7622</v>
      </c>
    </row>
    <row r="3350" spans="1:7">
      <c r="A3350" s="2">
        <v>135</v>
      </c>
      <c r="B3350" s="2" t="s">
        <v>469</v>
      </c>
      <c r="C3350" s="2">
        <v>209</v>
      </c>
      <c r="D3350" s="2" t="s">
        <v>758</v>
      </c>
      <c r="E3350" s="2" t="s">
        <v>7620</v>
      </c>
      <c r="F3350" s="2" t="s">
        <v>7608</v>
      </c>
      <c r="G3350" s="2" t="s">
        <v>7625</v>
      </c>
    </row>
    <row r="3351" spans="1:7">
      <c r="A3351" s="3">
        <v>135</v>
      </c>
      <c r="B3351" s="3" t="s">
        <v>469</v>
      </c>
      <c r="C3351" s="3">
        <v>221</v>
      </c>
      <c r="D3351" s="3" t="s">
        <v>813</v>
      </c>
      <c r="E3351" s="3" t="s">
        <v>7696</v>
      </c>
      <c r="F3351" s="3" t="s">
        <v>7611</v>
      </c>
      <c r="G3351" s="3" t="s">
        <v>7617</v>
      </c>
    </row>
    <row r="3352" spans="1:7">
      <c r="A3352" s="2">
        <v>135</v>
      </c>
      <c r="B3352" s="2" t="s">
        <v>469</v>
      </c>
      <c r="C3352" s="2">
        <v>264</v>
      </c>
      <c r="D3352" s="2" t="s">
        <v>775</v>
      </c>
      <c r="E3352" s="2" t="s">
        <v>7620</v>
      </c>
      <c r="F3352" s="2" t="s">
        <v>7611</v>
      </c>
      <c r="G3352" s="2" t="s">
        <v>7625</v>
      </c>
    </row>
    <row r="3353" spans="1:7">
      <c r="A3353" s="3">
        <v>135</v>
      </c>
      <c r="B3353" s="3" t="s">
        <v>469</v>
      </c>
      <c r="C3353" s="3">
        <v>341</v>
      </c>
      <c r="D3353" s="3" t="s">
        <v>1052</v>
      </c>
      <c r="E3353" s="3" t="s">
        <v>7620</v>
      </c>
      <c r="F3353" s="3" t="s">
        <v>7611</v>
      </c>
      <c r="G3353" s="3" t="s">
        <v>7621</v>
      </c>
    </row>
    <row r="3354" spans="1:7">
      <c r="A3354" s="2">
        <v>135</v>
      </c>
      <c r="B3354" s="2" t="s">
        <v>469</v>
      </c>
      <c r="C3354" s="2">
        <v>343</v>
      </c>
      <c r="D3354" s="2" t="s">
        <v>977</v>
      </c>
      <c r="E3354" s="2" t="s">
        <v>7620</v>
      </c>
      <c r="F3354" s="2" t="s">
        <v>7611</v>
      </c>
      <c r="G3354" s="2" t="s">
        <v>7622</v>
      </c>
    </row>
    <row r="3355" spans="1:7">
      <c r="A3355" s="3">
        <v>136</v>
      </c>
      <c r="B3355" s="3" t="s">
        <v>413</v>
      </c>
      <c r="C3355" s="3">
        <v>191</v>
      </c>
      <c r="D3355" s="3" t="s">
        <v>719</v>
      </c>
      <c r="E3355" s="3" t="s">
        <v>7618</v>
      </c>
      <c r="F3355" s="3" t="s">
        <v>7611</v>
      </c>
      <c r="G3355" s="3" t="s">
        <v>7634</v>
      </c>
    </row>
    <row r="3356" spans="1:7">
      <c r="A3356" s="2">
        <v>136</v>
      </c>
      <c r="B3356" s="2" t="s">
        <v>413</v>
      </c>
      <c r="C3356" s="2">
        <v>195</v>
      </c>
      <c r="D3356" s="2" t="s">
        <v>734</v>
      </c>
      <c r="E3356" s="2" t="s">
        <v>7618</v>
      </c>
      <c r="F3356" s="2" t="s">
        <v>7611</v>
      </c>
      <c r="G3356" s="2" t="s">
        <v>7636</v>
      </c>
    </row>
    <row r="3357" spans="1:7">
      <c r="A3357" s="3">
        <v>136</v>
      </c>
      <c r="B3357" s="3" t="s">
        <v>413</v>
      </c>
      <c r="C3357" s="3">
        <v>198</v>
      </c>
      <c r="D3357" s="3" t="s">
        <v>698</v>
      </c>
      <c r="E3357" s="3" t="s">
        <v>7620</v>
      </c>
      <c r="F3357" s="3" t="s">
        <v>7611</v>
      </c>
      <c r="G3357" s="3" t="s">
        <v>7621</v>
      </c>
    </row>
    <row r="3358" spans="1:7">
      <c r="A3358" s="2">
        <v>136</v>
      </c>
      <c r="B3358" s="2" t="s">
        <v>413</v>
      </c>
      <c r="C3358" s="2">
        <v>199</v>
      </c>
      <c r="D3358" s="2" t="s">
        <v>702</v>
      </c>
      <c r="E3358" s="2" t="s">
        <v>7618</v>
      </c>
      <c r="F3358" s="2" t="s">
        <v>7611</v>
      </c>
      <c r="G3358" s="2" t="s">
        <v>7636</v>
      </c>
    </row>
    <row r="3359" spans="1:7">
      <c r="A3359" s="3">
        <v>136</v>
      </c>
      <c r="B3359" s="3" t="s">
        <v>413</v>
      </c>
      <c r="C3359" s="3">
        <v>200</v>
      </c>
      <c r="D3359" s="3" t="s">
        <v>707</v>
      </c>
      <c r="E3359" s="3" t="s">
        <v>7620</v>
      </c>
      <c r="F3359" s="3" t="s">
        <v>7611</v>
      </c>
      <c r="G3359" s="3" t="s">
        <v>7621</v>
      </c>
    </row>
    <row r="3360" spans="1:7">
      <c r="A3360" s="2">
        <v>136</v>
      </c>
      <c r="B3360" s="2" t="s">
        <v>413</v>
      </c>
      <c r="C3360" s="2">
        <v>205</v>
      </c>
      <c r="D3360" s="2" t="s">
        <v>746</v>
      </c>
      <c r="E3360" s="2" t="s">
        <v>7620</v>
      </c>
      <c r="F3360" s="2" t="s">
        <v>7611</v>
      </c>
      <c r="G3360" s="2" t="s">
        <v>7621</v>
      </c>
    </row>
    <row r="3361" spans="1:7">
      <c r="A3361" s="3">
        <v>136</v>
      </c>
      <c r="B3361" s="3" t="s">
        <v>413</v>
      </c>
      <c r="C3361" s="3">
        <v>207</v>
      </c>
      <c r="D3361" s="3" t="s">
        <v>749</v>
      </c>
      <c r="E3361" s="3" t="s">
        <v>7623</v>
      </c>
      <c r="F3361" s="3" t="s">
        <v>7611</v>
      </c>
      <c r="G3361" s="3" t="s">
        <v>7639</v>
      </c>
    </row>
    <row r="3362" spans="1:7">
      <c r="A3362" s="2">
        <v>136</v>
      </c>
      <c r="B3362" s="2" t="s">
        <v>413</v>
      </c>
      <c r="C3362" s="2">
        <v>208</v>
      </c>
      <c r="D3362" s="2" t="s">
        <v>754</v>
      </c>
      <c r="E3362" s="2" t="s">
        <v>7620</v>
      </c>
      <c r="F3362" s="2" t="s">
        <v>7611</v>
      </c>
      <c r="G3362" s="2" t="s">
        <v>7622</v>
      </c>
    </row>
    <row r="3363" spans="1:7">
      <c r="A3363" s="3">
        <v>136</v>
      </c>
      <c r="B3363" s="3" t="s">
        <v>413</v>
      </c>
      <c r="C3363" s="3">
        <v>209</v>
      </c>
      <c r="D3363" s="3" t="s">
        <v>758</v>
      </c>
      <c r="E3363" s="3" t="s">
        <v>7618</v>
      </c>
      <c r="F3363" s="3" t="s">
        <v>7608</v>
      </c>
      <c r="G3363" s="3" t="s">
        <v>7609</v>
      </c>
    </row>
    <row r="3364" spans="1:7">
      <c r="A3364" s="2">
        <v>136</v>
      </c>
      <c r="B3364" s="2" t="s">
        <v>413</v>
      </c>
      <c r="C3364" s="2">
        <v>221</v>
      </c>
      <c r="D3364" s="2" t="s">
        <v>813</v>
      </c>
      <c r="E3364" s="2" t="s">
        <v>7623</v>
      </c>
      <c r="F3364" s="2" t="s">
        <v>7611</v>
      </c>
      <c r="G3364" s="2" t="s">
        <v>7639</v>
      </c>
    </row>
    <row r="3365" spans="1:7">
      <c r="A3365" s="3">
        <v>136</v>
      </c>
      <c r="B3365" s="3" t="s">
        <v>413</v>
      </c>
      <c r="C3365" s="3">
        <v>264</v>
      </c>
      <c r="D3365" s="3" t="s">
        <v>775</v>
      </c>
      <c r="E3365" s="3" t="s">
        <v>7618</v>
      </c>
      <c r="F3365" s="3" t="s">
        <v>7611</v>
      </c>
      <c r="G3365" s="3" t="s">
        <v>7617</v>
      </c>
    </row>
    <row r="3366" spans="1:7">
      <c r="A3366" s="2">
        <v>136</v>
      </c>
      <c r="B3366" s="2" t="s">
        <v>413</v>
      </c>
      <c r="C3366" s="2">
        <v>341</v>
      </c>
      <c r="D3366" s="2" t="s">
        <v>1052</v>
      </c>
      <c r="E3366" s="2" t="s">
        <v>7620</v>
      </c>
      <c r="F3366" s="2" t="s">
        <v>7611</v>
      </c>
      <c r="G3366" s="2" t="s">
        <v>7622</v>
      </c>
    </row>
    <row r="3367" spans="1:7">
      <c r="A3367" s="3">
        <v>136</v>
      </c>
      <c r="B3367" s="3" t="s">
        <v>413</v>
      </c>
      <c r="C3367" s="3">
        <v>343</v>
      </c>
      <c r="D3367" s="3" t="s">
        <v>977</v>
      </c>
      <c r="E3367" s="3" t="s">
        <v>7620</v>
      </c>
      <c r="F3367" s="3" t="s">
        <v>7611</v>
      </c>
      <c r="G3367" s="3" t="s">
        <v>7625</v>
      </c>
    </row>
    <row r="3368" spans="1:7">
      <c r="A3368" s="2">
        <v>137</v>
      </c>
      <c r="B3368" s="2" t="s">
        <v>546</v>
      </c>
      <c r="C3368" s="2">
        <v>191</v>
      </c>
      <c r="D3368" s="2" t="s">
        <v>719</v>
      </c>
      <c r="E3368" s="2" t="s">
        <v>7620</v>
      </c>
      <c r="F3368" s="2" t="s">
        <v>7611</v>
      </c>
      <c r="G3368" s="2" t="s">
        <v>7621</v>
      </c>
    </row>
    <row r="3369" spans="1:7">
      <c r="A3369" s="3">
        <v>137</v>
      </c>
      <c r="B3369" s="3" t="s">
        <v>546</v>
      </c>
      <c r="C3369" s="3">
        <v>195</v>
      </c>
      <c r="D3369" s="3" t="s">
        <v>734</v>
      </c>
      <c r="E3369" s="3" t="s">
        <v>7620</v>
      </c>
      <c r="F3369" s="3" t="s">
        <v>7611</v>
      </c>
      <c r="G3369" s="3" t="s">
        <v>7625</v>
      </c>
    </row>
    <row r="3370" spans="1:7">
      <c r="A3370" s="2">
        <v>137</v>
      </c>
      <c r="B3370" s="2" t="s">
        <v>546</v>
      </c>
      <c r="C3370" s="2">
        <v>198</v>
      </c>
      <c r="D3370" s="2" t="s">
        <v>698</v>
      </c>
      <c r="E3370" s="2" t="s">
        <v>7620</v>
      </c>
      <c r="F3370" s="2" t="s">
        <v>7611</v>
      </c>
      <c r="G3370" s="2" t="s">
        <v>7625</v>
      </c>
    </row>
    <row r="3371" spans="1:7">
      <c r="A3371" s="3">
        <v>137</v>
      </c>
      <c r="B3371" s="3" t="s">
        <v>546</v>
      </c>
      <c r="C3371" s="3">
        <v>199</v>
      </c>
      <c r="D3371" s="3" t="s">
        <v>702</v>
      </c>
      <c r="E3371" s="3" t="s">
        <v>7620</v>
      </c>
      <c r="F3371" s="3" t="s">
        <v>7611</v>
      </c>
      <c r="G3371" s="3" t="s">
        <v>7625</v>
      </c>
    </row>
    <row r="3372" spans="1:7">
      <c r="A3372" s="2">
        <v>137</v>
      </c>
      <c r="B3372" s="2" t="s">
        <v>546</v>
      </c>
      <c r="C3372" s="2">
        <v>200</v>
      </c>
      <c r="D3372" s="2" t="s">
        <v>707</v>
      </c>
      <c r="E3372" s="2" t="s">
        <v>7620</v>
      </c>
      <c r="F3372" s="2" t="s">
        <v>7611</v>
      </c>
      <c r="G3372" s="2" t="s">
        <v>7625</v>
      </c>
    </row>
    <row r="3373" spans="1:7">
      <c r="A3373" s="3">
        <v>137</v>
      </c>
      <c r="B3373" s="3" t="s">
        <v>546</v>
      </c>
      <c r="C3373" s="3">
        <v>205</v>
      </c>
      <c r="D3373" s="3" t="s">
        <v>746</v>
      </c>
      <c r="E3373" s="3" t="s">
        <v>7620</v>
      </c>
      <c r="F3373" s="3" t="s">
        <v>7611</v>
      </c>
      <c r="G3373" s="3" t="s">
        <v>7625</v>
      </c>
    </row>
    <row r="3374" spans="1:7">
      <c r="A3374" s="2">
        <v>137</v>
      </c>
      <c r="B3374" s="2" t="s">
        <v>546</v>
      </c>
      <c r="C3374" s="2">
        <v>207</v>
      </c>
      <c r="D3374" s="2" t="s">
        <v>749</v>
      </c>
      <c r="E3374" s="2" t="s">
        <v>7620</v>
      </c>
      <c r="F3374" s="2" t="s">
        <v>7611</v>
      </c>
      <c r="G3374" s="2" t="s">
        <v>7625</v>
      </c>
    </row>
    <row r="3375" spans="1:7">
      <c r="A3375" s="3">
        <v>137</v>
      </c>
      <c r="B3375" s="3" t="s">
        <v>546</v>
      </c>
      <c r="C3375" s="3">
        <v>208</v>
      </c>
      <c r="D3375" s="3" t="s">
        <v>754</v>
      </c>
      <c r="E3375" s="3" t="s">
        <v>7620</v>
      </c>
      <c r="F3375" s="3" t="s">
        <v>7611</v>
      </c>
      <c r="G3375" s="3" t="s">
        <v>7621</v>
      </c>
    </row>
    <row r="3376" spans="1:7">
      <c r="A3376" s="2">
        <v>137</v>
      </c>
      <c r="B3376" s="2" t="s">
        <v>546</v>
      </c>
      <c r="C3376" s="2">
        <v>221</v>
      </c>
      <c r="D3376" s="2" t="s">
        <v>813</v>
      </c>
      <c r="E3376" s="2" t="s">
        <v>7620</v>
      </c>
      <c r="F3376" s="2" t="s">
        <v>7611</v>
      </c>
      <c r="G3376" s="2" t="s">
        <v>7625</v>
      </c>
    </row>
    <row r="3377" spans="1:7">
      <c r="A3377" s="3">
        <v>137</v>
      </c>
      <c r="B3377" s="3" t="s">
        <v>546</v>
      </c>
      <c r="C3377" s="3">
        <v>264</v>
      </c>
      <c r="D3377" s="3" t="s">
        <v>775</v>
      </c>
      <c r="E3377" s="3" t="s">
        <v>7620</v>
      </c>
      <c r="F3377" s="3" t="s">
        <v>7611</v>
      </c>
      <c r="G3377" s="3" t="s">
        <v>7625</v>
      </c>
    </row>
    <row r="3378" spans="1:7">
      <c r="A3378" s="2">
        <v>137</v>
      </c>
      <c r="B3378" s="2" t="s">
        <v>546</v>
      </c>
      <c r="C3378" s="2">
        <v>341</v>
      </c>
      <c r="D3378" s="2" t="s">
        <v>1052</v>
      </c>
      <c r="E3378" s="2" t="s">
        <v>7620</v>
      </c>
      <c r="F3378" s="2" t="s">
        <v>7611</v>
      </c>
      <c r="G3378" s="2" t="s">
        <v>7621</v>
      </c>
    </row>
    <row r="3379" spans="1:7">
      <c r="A3379" s="3">
        <v>137</v>
      </c>
      <c r="B3379" s="3" t="s">
        <v>546</v>
      </c>
      <c r="C3379" s="3">
        <v>343</v>
      </c>
      <c r="D3379" s="3" t="s">
        <v>977</v>
      </c>
      <c r="E3379" s="3" t="s">
        <v>7620</v>
      </c>
      <c r="F3379" s="3" t="s">
        <v>7611</v>
      </c>
      <c r="G3379" s="3" t="s">
        <v>7625</v>
      </c>
    </row>
    <row r="3380" spans="1:7">
      <c r="A3380" s="2">
        <v>138</v>
      </c>
      <c r="B3380" s="2" t="s">
        <v>561</v>
      </c>
      <c r="C3380" s="2">
        <v>191</v>
      </c>
      <c r="D3380" s="2" t="s">
        <v>719</v>
      </c>
      <c r="E3380" s="2" t="s">
        <v>7620</v>
      </c>
      <c r="F3380" s="2" t="s">
        <v>7611</v>
      </c>
      <c r="G3380" s="2" t="s">
        <v>7621</v>
      </c>
    </row>
    <row r="3381" spans="1:7">
      <c r="A3381" s="3">
        <v>138</v>
      </c>
      <c r="B3381" s="3" t="s">
        <v>561</v>
      </c>
      <c r="C3381" s="3">
        <v>195</v>
      </c>
      <c r="D3381" s="3" t="s">
        <v>734</v>
      </c>
      <c r="E3381" s="3" t="s">
        <v>7620</v>
      </c>
      <c r="F3381" s="3" t="s">
        <v>7611</v>
      </c>
      <c r="G3381" s="3" t="s">
        <v>7621</v>
      </c>
    </row>
    <row r="3382" spans="1:7">
      <c r="A3382" s="2">
        <v>138</v>
      </c>
      <c r="B3382" s="2" t="s">
        <v>561</v>
      </c>
      <c r="C3382" s="2">
        <v>198</v>
      </c>
      <c r="D3382" s="2" t="s">
        <v>698</v>
      </c>
      <c r="E3382" s="2" t="s">
        <v>7620</v>
      </c>
      <c r="F3382" s="2" t="s">
        <v>7611</v>
      </c>
      <c r="G3382" s="2" t="s">
        <v>7621</v>
      </c>
    </row>
    <row r="3383" spans="1:7">
      <c r="A3383" s="3">
        <v>138</v>
      </c>
      <c r="B3383" s="3" t="s">
        <v>561</v>
      </c>
      <c r="C3383" s="3">
        <v>199</v>
      </c>
      <c r="D3383" s="3" t="s">
        <v>702</v>
      </c>
      <c r="E3383" s="3" t="s">
        <v>7620</v>
      </c>
      <c r="F3383" s="3" t="s">
        <v>7611</v>
      </c>
      <c r="G3383" s="3" t="s">
        <v>7621</v>
      </c>
    </row>
    <row r="3384" spans="1:7">
      <c r="A3384" s="2">
        <v>138</v>
      </c>
      <c r="B3384" s="2" t="s">
        <v>561</v>
      </c>
      <c r="C3384" s="2">
        <v>200</v>
      </c>
      <c r="D3384" s="2" t="s">
        <v>707</v>
      </c>
      <c r="E3384" s="2" t="s">
        <v>7620</v>
      </c>
      <c r="F3384" s="2" t="s">
        <v>7611</v>
      </c>
      <c r="G3384" s="2" t="s">
        <v>7625</v>
      </c>
    </row>
    <row r="3385" spans="1:7">
      <c r="A3385" s="3">
        <v>138</v>
      </c>
      <c r="B3385" s="3" t="s">
        <v>561</v>
      </c>
      <c r="C3385" s="3">
        <v>205</v>
      </c>
      <c r="D3385" s="3" t="s">
        <v>746</v>
      </c>
      <c r="E3385" s="3" t="s">
        <v>7620</v>
      </c>
      <c r="F3385" s="3" t="s">
        <v>7611</v>
      </c>
      <c r="G3385" s="3" t="s">
        <v>7621</v>
      </c>
    </row>
    <row r="3386" spans="1:7">
      <c r="A3386" s="2">
        <v>138</v>
      </c>
      <c r="B3386" s="2" t="s">
        <v>561</v>
      </c>
      <c r="C3386" s="2">
        <v>207</v>
      </c>
      <c r="D3386" s="2" t="s">
        <v>749</v>
      </c>
      <c r="E3386" s="2" t="s">
        <v>7620</v>
      </c>
      <c r="F3386" s="2" t="s">
        <v>7611</v>
      </c>
      <c r="G3386" s="2" t="s">
        <v>7621</v>
      </c>
    </row>
    <row r="3387" spans="1:7">
      <c r="A3387" s="3">
        <v>138</v>
      </c>
      <c r="B3387" s="3" t="s">
        <v>561</v>
      </c>
      <c r="C3387" s="3">
        <v>208</v>
      </c>
      <c r="D3387" s="3" t="s">
        <v>754</v>
      </c>
      <c r="E3387" s="3" t="s">
        <v>7620</v>
      </c>
      <c r="F3387" s="3" t="s">
        <v>7611</v>
      </c>
      <c r="G3387" s="3" t="s">
        <v>7621</v>
      </c>
    </row>
    <row r="3388" spans="1:7">
      <c r="A3388" s="2">
        <v>138</v>
      </c>
      <c r="B3388" s="2" t="s">
        <v>561</v>
      </c>
      <c r="C3388" s="2">
        <v>221</v>
      </c>
      <c r="D3388" s="2" t="s">
        <v>813</v>
      </c>
      <c r="E3388" s="2" t="s">
        <v>7620</v>
      </c>
      <c r="F3388" s="2" t="s">
        <v>7611</v>
      </c>
      <c r="G3388" s="2" t="s">
        <v>7621</v>
      </c>
    </row>
    <row r="3389" spans="1:7">
      <c r="A3389" s="3">
        <v>138</v>
      </c>
      <c r="B3389" s="3" t="s">
        <v>561</v>
      </c>
      <c r="C3389" s="3">
        <v>264</v>
      </c>
      <c r="D3389" s="3" t="s">
        <v>775</v>
      </c>
      <c r="E3389" s="3" t="s">
        <v>7620</v>
      </c>
      <c r="F3389" s="3" t="s">
        <v>7611</v>
      </c>
      <c r="G3389" s="3" t="s">
        <v>7621</v>
      </c>
    </row>
    <row r="3390" spans="1:7">
      <c r="A3390" s="2">
        <v>138</v>
      </c>
      <c r="B3390" s="2" t="s">
        <v>561</v>
      </c>
      <c r="C3390" s="2">
        <v>341</v>
      </c>
      <c r="D3390" s="2" t="s">
        <v>1052</v>
      </c>
      <c r="E3390" s="2" t="s">
        <v>7620</v>
      </c>
      <c r="F3390" s="2" t="s">
        <v>7611</v>
      </c>
      <c r="G3390" s="2" t="s">
        <v>7621</v>
      </c>
    </row>
    <row r="3391" spans="1:7">
      <c r="A3391" s="3">
        <v>138</v>
      </c>
      <c r="B3391" s="3" t="s">
        <v>561</v>
      </c>
      <c r="C3391" s="3">
        <v>343</v>
      </c>
      <c r="D3391" s="3" t="s">
        <v>977</v>
      </c>
      <c r="E3391" s="3" t="s">
        <v>7620</v>
      </c>
      <c r="F3391" s="3" t="s">
        <v>7611</v>
      </c>
      <c r="G3391" s="3" t="s">
        <v>7625</v>
      </c>
    </row>
    <row r="3392" spans="1:7">
      <c r="A3392" s="2">
        <v>139</v>
      </c>
      <c r="B3392" s="2" t="s">
        <v>531</v>
      </c>
      <c r="C3392" s="2">
        <v>189</v>
      </c>
      <c r="D3392" s="2" t="s">
        <v>742</v>
      </c>
      <c r="E3392" s="2" t="s">
        <v>7653</v>
      </c>
      <c r="F3392" s="2" t="s">
        <v>7608</v>
      </c>
      <c r="G3392" s="2" t="s">
        <v>7625</v>
      </c>
    </row>
    <row r="3393" spans="1:7">
      <c r="A3393" s="3">
        <v>139</v>
      </c>
      <c r="B3393" s="3" t="s">
        <v>531</v>
      </c>
      <c r="C3393" s="3">
        <v>191</v>
      </c>
      <c r="D3393" s="3" t="s">
        <v>719</v>
      </c>
      <c r="E3393" s="3" t="s">
        <v>7618</v>
      </c>
      <c r="F3393" s="3" t="s">
        <v>7611</v>
      </c>
      <c r="G3393" s="3" t="s">
        <v>7636</v>
      </c>
    </row>
    <row r="3394" spans="1:7">
      <c r="A3394" s="2">
        <v>139</v>
      </c>
      <c r="B3394" s="2" t="s">
        <v>531</v>
      </c>
      <c r="C3394" s="2">
        <v>195</v>
      </c>
      <c r="D3394" s="2" t="s">
        <v>734</v>
      </c>
      <c r="E3394" s="2" t="s">
        <v>7618</v>
      </c>
      <c r="F3394" s="2" t="s">
        <v>7611</v>
      </c>
      <c r="G3394" s="2" t="s">
        <v>7619</v>
      </c>
    </row>
    <row r="3395" spans="1:7">
      <c r="A3395" s="3">
        <v>139</v>
      </c>
      <c r="B3395" s="3" t="s">
        <v>531</v>
      </c>
      <c r="C3395" s="3">
        <v>198</v>
      </c>
      <c r="D3395" s="3" t="s">
        <v>698</v>
      </c>
      <c r="E3395" s="3" t="s">
        <v>7620</v>
      </c>
      <c r="F3395" s="3" t="s">
        <v>7611</v>
      </c>
      <c r="G3395" s="3" t="s">
        <v>7621</v>
      </c>
    </row>
    <row r="3396" spans="1:7">
      <c r="A3396" s="2">
        <v>139</v>
      </c>
      <c r="B3396" s="2" t="s">
        <v>531</v>
      </c>
      <c r="C3396" s="2">
        <v>199</v>
      </c>
      <c r="D3396" s="2" t="s">
        <v>702</v>
      </c>
      <c r="E3396" s="2" t="s">
        <v>7660</v>
      </c>
      <c r="F3396" s="2" t="s">
        <v>7611</v>
      </c>
      <c r="G3396" s="2" t="s">
        <v>7624</v>
      </c>
    </row>
    <row r="3397" spans="1:7">
      <c r="A3397" s="3">
        <v>139</v>
      </c>
      <c r="B3397" s="3" t="s">
        <v>531</v>
      </c>
      <c r="C3397" s="3">
        <v>200</v>
      </c>
      <c r="D3397" s="3" t="s">
        <v>707</v>
      </c>
      <c r="E3397" s="3" t="s">
        <v>7654</v>
      </c>
      <c r="F3397" s="3" t="s">
        <v>7611</v>
      </c>
      <c r="G3397" s="3" t="s">
        <v>7617</v>
      </c>
    </row>
    <row r="3398" spans="1:7">
      <c r="A3398" s="2">
        <v>139</v>
      </c>
      <c r="B3398" s="2" t="s">
        <v>531</v>
      </c>
      <c r="C3398" s="2">
        <v>205</v>
      </c>
      <c r="D3398" s="2" t="s">
        <v>746</v>
      </c>
      <c r="E3398" s="2" t="s">
        <v>7620</v>
      </c>
      <c r="F3398" s="2" t="s">
        <v>7611</v>
      </c>
      <c r="G3398" s="2" t="s">
        <v>7621</v>
      </c>
    </row>
    <row r="3399" spans="1:7">
      <c r="A3399" s="3">
        <v>139</v>
      </c>
      <c r="B3399" s="3" t="s">
        <v>531</v>
      </c>
      <c r="C3399" s="3">
        <v>207</v>
      </c>
      <c r="D3399" s="3" t="s">
        <v>749</v>
      </c>
      <c r="E3399" s="3" t="s">
        <v>7618</v>
      </c>
      <c r="F3399" s="3" t="s">
        <v>7611</v>
      </c>
      <c r="G3399" s="3" t="s">
        <v>7617</v>
      </c>
    </row>
    <row r="3400" spans="1:7">
      <c r="A3400" s="2">
        <v>139</v>
      </c>
      <c r="B3400" s="2" t="s">
        <v>531</v>
      </c>
      <c r="C3400" s="2">
        <v>208</v>
      </c>
      <c r="D3400" s="2" t="s">
        <v>754</v>
      </c>
      <c r="E3400" s="2" t="s">
        <v>7620</v>
      </c>
      <c r="F3400" s="2" t="s">
        <v>7611</v>
      </c>
      <c r="G3400" s="2" t="s">
        <v>7633</v>
      </c>
    </row>
    <row r="3401" spans="1:7">
      <c r="A3401" s="3">
        <v>139</v>
      </c>
      <c r="B3401" s="3" t="s">
        <v>531</v>
      </c>
      <c r="C3401" s="3">
        <v>209</v>
      </c>
      <c r="D3401" s="3" t="s">
        <v>758</v>
      </c>
      <c r="E3401" s="3" t="s">
        <v>7618</v>
      </c>
      <c r="F3401" s="3" t="s">
        <v>7608</v>
      </c>
      <c r="G3401" s="3" t="s">
        <v>7609</v>
      </c>
    </row>
    <row r="3402" spans="1:7">
      <c r="A3402" s="2">
        <v>139</v>
      </c>
      <c r="B3402" s="2" t="s">
        <v>531</v>
      </c>
      <c r="C3402" s="2">
        <v>221</v>
      </c>
      <c r="D3402" s="2" t="s">
        <v>813</v>
      </c>
      <c r="E3402" s="2" t="s">
        <v>7618</v>
      </c>
      <c r="F3402" s="2" t="s">
        <v>7611</v>
      </c>
      <c r="G3402" s="2" t="s">
        <v>7617</v>
      </c>
    </row>
    <row r="3403" spans="1:7">
      <c r="A3403" s="3">
        <v>139</v>
      </c>
      <c r="B3403" s="3" t="s">
        <v>531</v>
      </c>
      <c r="C3403" s="3">
        <v>264</v>
      </c>
      <c r="D3403" s="3" t="s">
        <v>775</v>
      </c>
      <c r="E3403" s="3" t="s">
        <v>7618</v>
      </c>
      <c r="F3403" s="3" t="s">
        <v>7611</v>
      </c>
      <c r="G3403" s="3" t="s">
        <v>7617</v>
      </c>
    </row>
    <row r="3404" spans="1:7">
      <c r="A3404" s="2">
        <v>139</v>
      </c>
      <c r="B3404" s="2" t="s">
        <v>531</v>
      </c>
      <c r="C3404" s="2">
        <v>341</v>
      </c>
      <c r="D3404" s="2" t="s">
        <v>1052</v>
      </c>
      <c r="E3404" s="2" t="s">
        <v>7620</v>
      </c>
      <c r="F3404" s="2" t="s">
        <v>7611</v>
      </c>
      <c r="G3404" s="2" t="s">
        <v>7622</v>
      </c>
    </row>
    <row r="3405" spans="1:7">
      <c r="A3405" s="3">
        <v>139</v>
      </c>
      <c r="B3405" s="3" t="s">
        <v>531</v>
      </c>
      <c r="C3405" s="3">
        <v>343</v>
      </c>
      <c r="D3405" s="3" t="s">
        <v>977</v>
      </c>
      <c r="E3405" s="3" t="s">
        <v>7620</v>
      </c>
      <c r="F3405" s="3" t="s">
        <v>7611</v>
      </c>
      <c r="G3405" s="3" t="s">
        <v>7625</v>
      </c>
    </row>
    <row r="3406" spans="1:7">
      <c r="A3406" s="2">
        <v>140</v>
      </c>
      <c r="B3406" s="2" t="s">
        <v>580</v>
      </c>
      <c r="C3406" s="2">
        <v>191</v>
      </c>
      <c r="D3406" s="2" t="s">
        <v>719</v>
      </c>
      <c r="E3406" s="2" t="s">
        <v>7620</v>
      </c>
      <c r="F3406" s="2" t="s">
        <v>7611</v>
      </c>
      <c r="G3406" s="2" t="s">
        <v>7625</v>
      </c>
    </row>
    <row r="3407" spans="1:7">
      <c r="A3407" s="3">
        <v>140</v>
      </c>
      <c r="B3407" s="3" t="s">
        <v>580</v>
      </c>
      <c r="C3407" s="3">
        <v>195</v>
      </c>
      <c r="D3407" s="3" t="s">
        <v>734</v>
      </c>
      <c r="E3407" s="3" t="s">
        <v>7620</v>
      </c>
      <c r="F3407" s="3" t="s">
        <v>7611</v>
      </c>
      <c r="G3407" s="3" t="s">
        <v>7621</v>
      </c>
    </row>
    <row r="3408" spans="1:7">
      <c r="A3408" s="2">
        <v>140</v>
      </c>
      <c r="B3408" s="2" t="s">
        <v>580</v>
      </c>
      <c r="C3408" s="2">
        <v>198</v>
      </c>
      <c r="D3408" s="2" t="s">
        <v>698</v>
      </c>
      <c r="E3408" s="2" t="s">
        <v>7620</v>
      </c>
      <c r="F3408" s="2" t="s">
        <v>7611</v>
      </c>
      <c r="G3408" s="2" t="s">
        <v>7621</v>
      </c>
    </row>
    <row r="3409" spans="1:7">
      <c r="A3409" s="3">
        <v>140</v>
      </c>
      <c r="B3409" s="3" t="s">
        <v>580</v>
      </c>
      <c r="C3409" s="3">
        <v>199</v>
      </c>
      <c r="D3409" s="3" t="s">
        <v>702</v>
      </c>
      <c r="E3409" s="3" t="s">
        <v>7620</v>
      </c>
      <c r="F3409" s="3" t="s">
        <v>7611</v>
      </c>
      <c r="G3409" s="3" t="s">
        <v>7625</v>
      </c>
    </row>
    <row r="3410" spans="1:7">
      <c r="A3410" s="2">
        <v>140</v>
      </c>
      <c r="B3410" s="2" t="s">
        <v>580</v>
      </c>
      <c r="C3410" s="2">
        <v>200</v>
      </c>
      <c r="D3410" s="2" t="s">
        <v>707</v>
      </c>
      <c r="E3410" s="2" t="s">
        <v>7620</v>
      </c>
      <c r="F3410" s="2" t="s">
        <v>7611</v>
      </c>
      <c r="G3410" s="2" t="s">
        <v>7621</v>
      </c>
    </row>
    <row r="3411" spans="1:7">
      <c r="A3411" s="3">
        <v>140</v>
      </c>
      <c r="B3411" s="3" t="s">
        <v>580</v>
      </c>
      <c r="C3411" s="3">
        <v>205</v>
      </c>
      <c r="D3411" s="3" t="s">
        <v>746</v>
      </c>
      <c r="E3411" s="3" t="s">
        <v>7620</v>
      </c>
      <c r="F3411" s="3" t="s">
        <v>7611</v>
      </c>
      <c r="G3411" s="3" t="s">
        <v>7621</v>
      </c>
    </row>
    <row r="3412" spans="1:7">
      <c r="A3412" s="2">
        <v>140</v>
      </c>
      <c r="B3412" s="2" t="s">
        <v>580</v>
      </c>
      <c r="C3412" s="2">
        <v>207</v>
      </c>
      <c r="D3412" s="2" t="s">
        <v>749</v>
      </c>
      <c r="E3412" s="2" t="s">
        <v>7620</v>
      </c>
      <c r="F3412" s="2" t="s">
        <v>7611</v>
      </c>
      <c r="G3412" s="2" t="s">
        <v>7622</v>
      </c>
    </row>
    <row r="3413" spans="1:7">
      <c r="A3413" s="3">
        <v>140</v>
      </c>
      <c r="B3413" s="3" t="s">
        <v>580</v>
      </c>
      <c r="C3413" s="3">
        <v>208</v>
      </c>
      <c r="D3413" s="3" t="s">
        <v>754</v>
      </c>
      <c r="E3413" s="3" t="s">
        <v>7620</v>
      </c>
      <c r="F3413" s="3" t="s">
        <v>7611</v>
      </c>
      <c r="G3413" s="3" t="s">
        <v>7625</v>
      </c>
    </row>
    <row r="3414" spans="1:7">
      <c r="A3414" s="2">
        <v>140</v>
      </c>
      <c r="B3414" s="2" t="s">
        <v>580</v>
      </c>
      <c r="C3414" s="2">
        <v>221</v>
      </c>
      <c r="D3414" s="2" t="s">
        <v>813</v>
      </c>
      <c r="E3414" s="2" t="s">
        <v>7620</v>
      </c>
      <c r="F3414" s="2" t="s">
        <v>7611</v>
      </c>
      <c r="G3414" s="2" t="s">
        <v>7625</v>
      </c>
    </row>
    <row r="3415" spans="1:7">
      <c r="A3415" s="3">
        <v>140</v>
      </c>
      <c r="B3415" s="3" t="s">
        <v>580</v>
      </c>
      <c r="C3415" s="3">
        <v>264</v>
      </c>
      <c r="D3415" s="3" t="s">
        <v>775</v>
      </c>
      <c r="E3415" s="3" t="s">
        <v>7620</v>
      </c>
      <c r="F3415" s="3" t="s">
        <v>7611</v>
      </c>
      <c r="G3415" s="3" t="s">
        <v>7625</v>
      </c>
    </row>
    <row r="3416" spans="1:7">
      <c r="A3416" s="2">
        <v>140</v>
      </c>
      <c r="B3416" s="2" t="s">
        <v>580</v>
      </c>
      <c r="C3416" s="2">
        <v>341</v>
      </c>
      <c r="D3416" s="2" t="s">
        <v>1052</v>
      </c>
      <c r="E3416" s="2" t="s">
        <v>7620</v>
      </c>
      <c r="F3416" s="2" t="s">
        <v>7611</v>
      </c>
      <c r="G3416" s="2" t="s">
        <v>7621</v>
      </c>
    </row>
    <row r="3417" spans="1:7">
      <c r="A3417" s="3">
        <v>140</v>
      </c>
      <c r="B3417" s="3" t="s">
        <v>580</v>
      </c>
      <c r="C3417" s="3">
        <v>343</v>
      </c>
      <c r="D3417" s="3" t="s">
        <v>977</v>
      </c>
      <c r="E3417" s="3" t="s">
        <v>7620</v>
      </c>
      <c r="F3417" s="3" t="s">
        <v>7611</v>
      </c>
      <c r="G3417" s="3" t="s">
        <v>7625</v>
      </c>
    </row>
    <row r="3418" spans="1:7">
      <c r="A3418" s="2">
        <v>141</v>
      </c>
      <c r="B3418" s="2" t="s">
        <v>480</v>
      </c>
      <c r="C3418" s="2">
        <v>191</v>
      </c>
      <c r="D3418" s="2" t="s">
        <v>719</v>
      </c>
      <c r="E3418" s="2" t="s">
        <v>7620</v>
      </c>
      <c r="F3418" s="2" t="s">
        <v>7611</v>
      </c>
      <c r="G3418" s="2" t="s">
        <v>7621</v>
      </c>
    </row>
    <row r="3419" spans="1:7">
      <c r="A3419" s="3">
        <v>141</v>
      </c>
      <c r="B3419" s="3" t="s">
        <v>480</v>
      </c>
      <c r="C3419" s="3">
        <v>195</v>
      </c>
      <c r="D3419" s="3" t="s">
        <v>734</v>
      </c>
      <c r="E3419" s="3" t="s">
        <v>7620</v>
      </c>
      <c r="F3419" s="3" t="s">
        <v>7611</v>
      </c>
      <c r="G3419" s="3" t="s">
        <v>7621</v>
      </c>
    </row>
    <row r="3420" spans="1:7">
      <c r="A3420" s="2">
        <v>141</v>
      </c>
      <c r="B3420" s="2" t="s">
        <v>480</v>
      </c>
      <c r="C3420" s="2">
        <v>198</v>
      </c>
      <c r="D3420" s="2" t="s">
        <v>698</v>
      </c>
      <c r="E3420" s="2" t="s">
        <v>7620</v>
      </c>
      <c r="F3420" s="2" t="s">
        <v>7611</v>
      </c>
      <c r="G3420" s="2" t="s">
        <v>7621</v>
      </c>
    </row>
    <row r="3421" spans="1:7">
      <c r="A3421" s="3">
        <v>141</v>
      </c>
      <c r="B3421" s="3" t="s">
        <v>480</v>
      </c>
      <c r="C3421" s="3">
        <v>199</v>
      </c>
      <c r="D3421" s="3" t="s">
        <v>702</v>
      </c>
      <c r="E3421" s="3" t="s">
        <v>7620</v>
      </c>
      <c r="F3421" s="3" t="s">
        <v>7611</v>
      </c>
      <c r="G3421" s="3" t="s">
        <v>7621</v>
      </c>
    </row>
    <row r="3422" spans="1:7">
      <c r="A3422" s="2">
        <v>141</v>
      </c>
      <c r="B3422" s="2" t="s">
        <v>480</v>
      </c>
      <c r="C3422" s="2">
        <v>200</v>
      </c>
      <c r="D3422" s="2" t="s">
        <v>707</v>
      </c>
      <c r="E3422" s="2" t="s">
        <v>7620</v>
      </c>
      <c r="F3422" s="2" t="s">
        <v>7611</v>
      </c>
      <c r="G3422" s="2" t="s">
        <v>7625</v>
      </c>
    </row>
    <row r="3423" spans="1:7">
      <c r="A3423" s="3">
        <v>141</v>
      </c>
      <c r="B3423" s="3" t="s">
        <v>480</v>
      </c>
      <c r="C3423" s="3">
        <v>205</v>
      </c>
      <c r="D3423" s="3" t="s">
        <v>746</v>
      </c>
      <c r="E3423" s="3" t="s">
        <v>7620</v>
      </c>
      <c r="F3423" s="3" t="s">
        <v>7611</v>
      </c>
      <c r="G3423" s="3" t="s">
        <v>7621</v>
      </c>
    </row>
    <row r="3424" spans="1:7">
      <c r="A3424" s="2">
        <v>141</v>
      </c>
      <c r="B3424" s="2" t="s">
        <v>480</v>
      </c>
      <c r="C3424" s="2">
        <v>207</v>
      </c>
      <c r="D3424" s="2" t="s">
        <v>749</v>
      </c>
      <c r="E3424" s="2" t="s">
        <v>7640</v>
      </c>
      <c r="F3424" s="2" t="s">
        <v>7611</v>
      </c>
      <c r="G3424" s="2" t="s">
        <v>7617</v>
      </c>
    </row>
    <row r="3425" spans="1:7">
      <c r="A3425" s="3">
        <v>141</v>
      </c>
      <c r="B3425" s="3" t="s">
        <v>480</v>
      </c>
      <c r="C3425" s="3">
        <v>208</v>
      </c>
      <c r="D3425" s="3" t="s">
        <v>754</v>
      </c>
      <c r="E3425" s="3" t="s">
        <v>7620</v>
      </c>
      <c r="F3425" s="3" t="s">
        <v>7611</v>
      </c>
      <c r="G3425" s="3" t="s">
        <v>7621</v>
      </c>
    </row>
    <row r="3426" spans="1:7">
      <c r="A3426" s="2">
        <v>141</v>
      </c>
      <c r="B3426" s="2" t="s">
        <v>480</v>
      </c>
      <c r="C3426" s="2">
        <v>221</v>
      </c>
      <c r="D3426" s="2" t="s">
        <v>813</v>
      </c>
      <c r="E3426" s="2" t="s">
        <v>7638</v>
      </c>
      <c r="F3426" s="2" t="s">
        <v>7611</v>
      </c>
      <c r="G3426" s="2" t="s">
        <v>7624</v>
      </c>
    </row>
    <row r="3427" spans="1:7">
      <c r="A3427" s="3">
        <v>141</v>
      </c>
      <c r="B3427" s="3" t="s">
        <v>480</v>
      </c>
      <c r="C3427" s="3">
        <v>264</v>
      </c>
      <c r="D3427" s="3" t="s">
        <v>775</v>
      </c>
      <c r="E3427" s="3" t="s">
        <v>7620</v>
      </c>
      <c r="F3427" s="3" t="s">
        <v>7611</v>
      </c>
      <c r="G3427" s="3" t="s">
        <v>7621</v>
      </c>
    </row>
    <row r="3428" spans="1:7">
      <c r="A3428" s="2">
        <v>141</v>
      </c>
      <c r="B3428" s="2" t="s">
        <v>480</v>
      </c>
      <c r="C3428" s="2">
        <v>341</v>
      </c>
      <c r="D3428" s="2" t="s">
        <v>1052</v>
      </c>
      <c r="E3428" s="2" t="s">
        <v>7620</v>
      </c>
      <c r="F3428" s="2" t="s">
        <v>7611</v>
      </c>
      <c r="G3428" s="2" t="s">
        <v>7621</v>
      </c>
    </row>
    <row r="3429" spans="1:7">
      <c r="A3429" s="3">
        <v>141</v>
      </c>
      <c r="B3429" s="3" t="s">
        <v>480</v>
      </c>
      <c r="C3429" s="3">
        <v>343</v>
      </c>
      <c r="D3429" s="3" t="s">
        <v>977</v>
      </c>
      <c r="E3429" s="3" t="s">
        <v>7620</v>
      </c>
      <c r="F3429" s="3" t="s">
        <v>7611</v>
      </c>
      <c r="G3429" s="3" t="s">
        <v>7625</v>
      </c>
    </row>
    <row r="3430" spans="1:7">
      <c r="A3430" s="2">
        <v>142</v>
      </c>
      <c r="B3430" s="2" t="s">
        <v>543</v>
      </c>
      <c r="C3430" s="2">
        <v>191</v>
      </c>
      <c r="D3430" s="2" t="s">
        <v>719</v>
      </c>
      <c r="E3430" s="2" t="s">
        <v>7620</v>
      </c>
      <c r="F3430" s="2" t="s">
        <v>7611</v>
      </c>
      <c r="G3430" s="2" t="s">
        <v>7621</v>
      </c>
    </row>
    <row r="3431" spans="1:7">
      <c r="A3431" s="3">
        <v>142</v>
      </c>
      <c r="B3431" s="3" t="s">
        <v>543</v>
      </c>
      <c r="C3431" s="3">
        <v>195</v>
      </c>
      <c r="D3431" s="3" t="s">
        <v>734</v>
      </c>
      <c r="E3431" s="3" t="s">
        <v>7620</v>
      </c>
      <c r="F3431" s="3" t="s">
        <v>7611</v>
      </c>
      <c r="G3431" s="3" t="s">
        <v>7621</v>
      </c>
    </row>
    <row r="3432" spans="1:7">
      <c r="A3432" s="2">
        <v>142</v>
      </c>
      <c r="B3432" s="2" t="s">
        <v>543</v>
      </c>
      <c r="C3432" s="2">
        <v>198</v>
      </c>
      <c r="D3432" s="2" t="s">
        <v>698</v>
      </c>
      <c r="E3432" s="2" t="s">
        <v>7620</v>
      </c>
      <c r="F3432" s="2" t="s">
        <v>7611</v>
      </c>
      <c r="G3432" s="2" t="s">
        <v>7622</v>
      </c>
    </row>
    <row r="3433" spans="1:7">
      <c r="A3433" s="3">
        <v>142</v>
      </c>
      <c r="B3433" s="3" t="s">
        <v>543</v>
      </c>
      <c r="C3433" s="3">
        <v>199</v>
      </c>
      <c r="D3433" s="3" t="s">
        <v>702</v>
      </c>
      <c r="E3433" s="3" t="s">
        <v>7620</v>
      </c>
      <c r="F3433" s="3" t="s">
        <v>7611</v>
      </c>
      <c r="G3433" s="3" t="s">
        <v>7621</v>
      </c>
    </row>
    <row r="3434" spans="1:7">
      <c r="A3434" s="2">
        <v>142</v>
      </c>
      <c r="B3434" s="2" t="s">
        <v>543</v>
      </c>
      <c r="C3434" s="2">
        <v>200</v>
      </c>
      <c r="D3434" s="2" t="s">
        <v>707</v>
      </c>
      <c r="E3434" s="2" t="s">
        <v>7620</v>
      </c>
      <c r="F3434" s="2" t="s">
        <v>7611</v>
      </c>
      <c r="G3434" s="2" t="s">
        <v>7609</v>
      </c>
    </row>
    <row r="3435" spans="1:7">
      <c r="A3435" s="3">
        <v>142</v>
      </c>
      <c r="B3435" s="3" t="s">
        <v>543</v>
      </c>
      <c r="C3435" s="3">
        <v>205</v>
      </c>
      <c r="D3435" s="3" t="s">
        <v>746</v>
      </c>
      <c r="E3435" s="3" t="s">
        <v>7620</v>
      </c>
      <c r="F3435" s="3" t="s">
        <v>7611</v>
      </c>
      <c r="G3435" s="3" t="s">
        <v>7621</v>
      </c>
    </row>
    <row r="3436" spans="1:7">
      <c r="A3436" s="2">
        <v>142</v>
      </c>
      <c r="B3436" s="2" t="s">
        <v>543</v>
      </c>
      <c r="C3436" s="2">
        <v>207</v>
      </c>
      <c r="D3436" s="2" t="s">
        <v>749</v>
      </c>
      <c r="E3436" s="2" t="s">
        <v>7620</v>
      </c>
      <c r="F3436" s="2" t="s">
        <v>7611</v>
      </c>
      <c r="G3436" s="2" t="s">
        <v>7622</v>
      </c>
    </row>
    <row r="3437" spans="1:7">
      <c r="A3437" s="3">
        <v>142</v>
      </c>
      <c r="B3437" s="3" t="s">
        <v>543</v>
      </c>
      <c r="C3437" s="3">
        <v>208</v>
      </c>
      <c r="D3437" s="3" t="s">
        <v>754</v>
      </c>
      <c r="E3437" s="3" t="s">
        <v>7620</v>
      </c>
      <c r="F3437" s="3" t="s">
        <v>7611</v>
      </c>
      <c r="G3437" s="3" t="s">
        <v>7625</v>
      </c>
    </row>
    <row r="3438" spans="1:7">
      <c r="A3438" s="2">
        <v>142</v>
      </c>
      <c r="B3438" s="2" t="s">
        <v>543</v>
      </c>
      <c r="C3438" s="2">
        <v>221</v>
      </c>
      <c r="D3438" s="2" t="s">
        <v>813</v>
      </c>
      <c r="E3438" s="2" t="s">
        <v>7620</v>
      </c>
      <c r="F3438" s="2" t="s">
        <v>7611</v>
      </c>
      <c r="G3438" s="2" t="s">
        <v>7625</v>
      </c>
    </row>
    <row r="3439" spans="1:7">
      <c r="A3439" s="3">
        <v>142</v>
      </c>
      <c r="B3439" s="3" t="s">
        <v>543</v>
      </c>
      <c r="C3439" s="3">
        <v>264</v>
      </c>
      <c r="D3439" s="3" t="s">
        <v>775</v>
      </c>
      <c r="E3439" s="3" t="s">
        <v>7620</v>
      </c>
      <c r="F3439" s="3" t="s">
        <v>7611</v>
      </c>
      <c r="G3439" s="3" t="s">
        <v>7625</v>
      </c>
    </row>
    <row r="3440" spans="1:7">
      <c r="A3440" s="2">
        <v>142</v>
      </c>
      <c r="B3440" s="2" t="s">
        <v>543</v>
      </c>
      <c r="C3440" s="2">
        <v>341</v>
      </c>
      <c r="D3440" s="2" t="s">
        <v>1052</v>
      </c>
      <c r="E3440" s="2" t="s">
        <v>7620</v>
      </c>
      <c r="F3440" s="2" t="s">
        <v>7611</v>
      </c>
      <c r="G3440" s="2" t="s">
        <v>7621</v>
      </c>
    </row>
    <row r="3441" spans="1:7">
      <c r="A3441" s="3">
        <v>142</v>
      </c>
      <c r="B3441" s="3" t="s">
        <v>543</v>
      </c>
      <c r="C3441" s="3">
        <v>343</v>
      </c>
      <c r="D3441" s="3" t="s">
        <v>977</v>
      </c>
      <c r="E3441" s="3" t="s">
        <v>7620</v>
      </c>
      <c r="F3441" s="3" t="s">
        <v>7611</v>
      </c>
      <c r="G3441" s="3" t="s">
        <v>7625</v>
      </c>
    </row>
    <row r="3442" spans="1:7">
      <c r="A3442" s="2">
        <v>143</v>
      </c>
      <c r="B3442" s="2" t="s">
        <v>371</v>
      </c>
      <c r="C3442" s="2">
        <v>191</v>
      </c>
      <c r="D3442" s="2" t="s">
        <v>719</v>
      </c>
      <c r="E3442" s="2" t="s">
        <v>7618</v>
      </c>
      <c r="F3442" s="2" t="s">
        <v>7649</v>
      </c>
      <c r="G3442" s="2" t="s">
        <v>7634</v>
      </c>
    </row>
    <row r="3443" spans="1:7">
      <c r="A3443" s="3">
        <v>143</v>
      </c>
      <c r="B3443" s="3" t="s">
        <v>371</v>
      </c>
      <c r="C3443" s="3">
        <v>195</v>
      </c>
      <c r="D3443" s="3" t="s">
        <v>734</v>
      </c>
      <c r="E3443" s="3" t="s">
        <v>7618</v>
      </c>
      <c r="F3443" s="3" t="s">
        <v>7649</v>
      </c>
      <c r="G3443" s="3" t="s">
        <v>7624</v>
      </c>
    </row>
    <row r="3444" spans="1:7">
      <c r="A3444" s="2">
        <v>143</v>
      </c>
      <c r="B3444" s="2" t="s">
        <v>371</v>
      </c>
      <c r="C3444" s="2">
        <v>198</v>
      </c>
      <c r="D3444" s="2" t="s">
        <v>698</v>
      </c>
      <c r="E3444" s="2" t="s">
        <v>7620</v>
      </c>
      <c r="F3444" s="2" t="s">
        <v>7649</v>
      </c>
      <c r="G3444" s="2" t="s">
        <v>7619</v>
      </c>
    </row>
    <row r="3445" spans="1:7">
      <c r="A3445" s="3">
        <v>143</v>
      </c>
      <c r="B3445" s="3" t="s">
        <v>371</v>
      </c>
      <c r="C3445" s="3">
        <v>199</v>
      </c>
      <c r="D3445" s="3" t="s">
        <v>702</v>
      </c>
      <c r="E3445" s="3" t="s">
        <v>7618</v>
      </c>
      <c r="F3445" s="3" t="s">
        <v>7649</v>
      </c>
      <c r="G3445" s="3" t="s">
        <v>7634</v>
      </c>
    </row>
    <row r="3446" spans="1:7">
      <c r="A3446" s="2">
        <v>143</v>
      </c>
      <c r="B3446" s="2" t="s">
        <v>371</v>
      </c>
      <c r="C3446" s="2">
        <v>200</v>
      </c>
      <c r="D3446" s="2" t="s">
        <v>707</v>
      </c>
      <c r="E3446" s="2" t="s">
        <v>7620</v>
      </c>
      <c r="F3446" s="2" t="s">
        <v>7649</v>
      </c>
      <c r="G3446" s="2" t="s">
        <v>7609</v>
      </c>
    </row>
    <row r="3447" spans="1:7">
      <c r="A3447" s="3">
        <v>143</v>
      </c>
      <c r="B3447" s="3" t="s">
        <v>371</v>
      </c>
      <c r="C3447" s="3">
        <v>205</v>
      </c>
      <c r="D3447" s="3" t="s">
        <v>746</v>
      </c>
      <c r="E3447" s="3" t="s">
        <v>7620</v>
      </c>
      <c r="F3447" s="3" t="s">
        <v>7611</v>
      </c>
      <c r="G3447" s="3" t="s">
        <v>7622</v>
      </c>
    </row>
    <row r="3448" spans="1:7">
      <c r="A3448" s="2">
        <v>143</v>
      </c>
      <c r="B3448" s="2" t="s">
        <v>371</v>
      </c>
      <c r="C3448" s="2">
        <v>207</v>
      </c>
      <c r="D3448" s="2" t="s">
        <v>749</v>
      </c>
      <c r="E3448" s="2" t="s">
        <v>7623</v>
      </c>
      <c r="F3448" s="2" t="s">
        <v>7611</v>
      </c>
      <c r="G3448" s="2" t="s">
        <v>7632</v>
      </c>
    </row>
    <row r="3449" spans="1:7">
      <c r="A3449" s="3">
        <v>143</v>
      </c>
      <c r="B3449" s="3" t="s">
        <v>371</v>
      </c>
      <c r="C3449" s="3">
        <v>208</v>
      </c>
      <c r="D3449" s="3" t="s">
        <v>754</v>
      </c>
      <c r="E3449" s="3" t="s">
        <v>7620</v>
      </c>
      <c r="F3449" s="3" t="s">
        <v>7611</v>
      </c>
      <c r="G3449" s="3" t="s">
        <v>7621</v>
      </c>
    </row>
    <row r="3450" spans="1:7">
      <c r="A3450" s="2">
        <v>143</v>
      </c>
      <c r="B3450" s="2" t="s">
        <v>371</v>
      </c>
      <c r="C3450" s="2">
        <v>209</v>
      </c>
      <c r="D3450" s="2" t="s">
        <v>758</v>
      </c>
      <c r="E3450" s="2" t="s">
        <v>7618</v>
      </c>
      <c r="F3450" s="2" t="s">
        <v>7650</v>
      </c>
      <c r="G3450" s="2" t="s">
        <v>7619</v>
      </c>
    </row>
    <row r="3451" spans="1:7">
      <c r="A3451" s="3">
        <v>143</v>
      </c>
      <c r="B3451" s="3" t="s">
        <v>371</v>
      </c>
      <c r="C3451" s="3">
        <v>221</v>
      </c>
      <c r="D3451" s="3" t="s">
        <v>813</v>
      </c>
      <c r="E3451" s="3" t="s">
        <v>7623</v>
      </c>
      <c r="F3451" s="3" t="s">
        <v>7649</v>
      </c>
      <c r="G3451" s="3" t="s">
        <v>7641</v>
      </c>
    </row>
    <row r="3452" spans="1:7">
      <c r="A3452" s="2">
        <v>143</v>
      </c>
      <c r="B3452" s="2" t="s">
        <v>371</v>
      </c>
      <c r="C3452" s="2">
        <v>264</v>
      </c>
      <c r="D3452" s="2" t="s">
        <v>775</v>
      </c>
      <c r="E3452" s="2" t="s">
        <v>7716</v>
      </c>
      <c r="F3452" s="2" t="s">
        <v>7649</v>
      </c>
      <c r="G3452" s="2" t="s">
        <v>7644</v>
      </c>
    </row>
    <row r="3453" spans="1:7">
      <c r="A3453" s="3">
        <v>143</v>
      </c>
      <c r="B3453" s="3" t="s">
        <v>371</v>
      </c>
      <c r="C3453" s="3">
        <v>341</v>
      </c>
      <c r="D3453" s="3" t="s">
        <v>1052</v>
      </c>
      <c r="E3453" s="3" t="s">
        <v>7655</v>
      </c>
      <c r="F3453" s="3" t="s">
        <v>7649</v>
      </c>
      <c r="G3453" s="3" t="s">
        <v>7624</v>
      </c>
    </row>
    <row r="3454" spans="1:7">
      <c r="A3454" s="2">
        <v>143</v>
      </c>
      <c r="B3454" s="2" t="s">
        <v>371</v>
      </c>
      <c r="C3454" s="2">
        <v>343</v>
      </c>
      <c r="D3454" s="2" t="s">
        <v>977</v>
      </c>
      <c r="E3454" s="2" t="s">
        <v>7620</v>
      </c>
      <c r="F3454" s="2" t="s">
        <v>7649</v>
      </c>
      <c r="G3454" s="2" t="s">
        <v>7633</v>
      </c>
    </row>
    <row r="3455" spans="1:7">
      <c r="A3455" s="3">
        <v>144</v>
      </c>
      <c r="B3455" s="3" t="s">
        <v>375</v>
      </c>
      <c r="C3455" s="3">
        <v>191</v>
      </c>
      <c r="D3455" s="3" t="s">
        <v>719</v>
      </c>
      <c r="E3455" s="3" t="s">
        <v>7618</v>
      </c>
      <c r="F3455" s="3" t="s">
        <v>7649</v>
      </c>
      <c r="G3455" s="3" t="s">
        <v>7619</v>
      </c>
    </row>
    <row r="3456" spans="1:7">
      <c r="A3456" s="2">
        <v>144</v>
      </c>
      <c r="B3456" s="2" t="s">
        <v>375</v>
      </c>
      <c r="C3456" s="2">
        <v>195</v>
      </c>
      <c r="D3456" s="2" t="s">
        <v>734</v>
      </c>
      <c r="E3456" s="2" t="s">
        <v>7618</v>
      </c>
      <c r="F3456" s="2" t="s">
        <v>7649</v>
      </c>
      <c r="G3456" s="2" t="s">
        <v>7634</v>
      </c>
    </row>
    <row r="3457" spans="1:7">
      <c r="A3457" s="3">
        <v>144</v>
      </c>
      <c r="B3457" s="3" t="s">
        <v>375</v>
      </c>
      <c r="C3457" s="3">
        <v>198</v>
      </c>
      <c r="D3457" s="3" t="s">
        <v>698</v>
      </c>
      <c r="E3457" s="3" t="s">
        <v>7620</v>
      </c>
      <c r="F3457" s="3" t="s">
        <v>7649</v>
      </c>
      <c r="G3457" s="3" t="s">
        <v>7633</v>
      </c>
    </row>
    <row r="3458" spans="1:7">
      <c r="A3458" s="2">
        <v>144</v>
      </c>
      <c r="B3458" s="2" t="s">
        <v>375</v>
      </c>
      <c r="C3458" s="2">
        <v>199</v>
      </c>
      <c r="D3458" s="2" t="s">
        <v>702</v>
      </c>
      <c r="E3458" s="2" t="s">
        <v>7618</v>
      </c>
      <c r="F3458" s="2" t="s">
        <v>7649</v>
      </c>
      <c r="G3458" s="2" t="s">
        <v>7619</v>
      </c>
    </row>
    <row r="3459" spans="1:7">
      <c r="A3459" s="3">
        <v>144</v>
      </c>
      <c r="B3459" s="3" t="s">
        <v>375</v>
      </c>
      <c r="C3459" s="3">
        <v>200</v>
      </c>
      <c r="D3459" s="3" t="s">
        <v>707</v>
      </c>
      <c r="E3459" s="3" t="s">
        <v>7620</v>
      </c>
      <c r="F3459" s="3" t="s">
        <v>7649</v>
      </c>
      <c r="G3459" s="3" t="s">
        <v>7622</v>
      </c>
    </row>
    <row r="3460" spans="1:7">
      <c r="A3460" s="2">
        <v>144</v>
      </c>
      <c r="B3460" s="2" t="s">
        <v>375</v>
      </c>
      <c r="C3460" s="2">
        <v>205</v>
      </c>
      <c r="D3460" s="2" t="s">
        <v>746</v>
      </c>
      <c r="E3460" s="2" t="s">
        <v>7620</v>
      </c>
      <c r="F3460" s="2" t="s">
        <v>7611</v>
      </c>
      <c r="G3460" s="2" t="s">
        <v>7621</v>
      </c>
    </row>
    <row r="3461" spans="1:7">
      <c r="A3461" s="3">
        <v>144</v>
      </c>
      <c r="B3461" s="3" t="s">
        <v>375</v>
      </c>
      <c r="C3461" s="3">
        <v>207</v>
      </c>
      <c r="D3461" s="3" t="s">
        <v>749</v>
      </c>
      <c r="E3461" s="3" t="s">
        <v>7618</v>
      </c>
      <c r="F3461" s="3" t="s">
        <v>7611</v>
      </c>
      <c r="G3461" s="3" t="s">
        <v>7617</v>
      </c>
    </row>
    <row r="3462" spans="1:7">
      <c r="A3462" s="2">
        <v>144</v>
      </c>
      <c r="B3462" s="2" t="s">
        <v>375</v>
      </c>
      <c r="C3462" s="2">
        <v>208</v>
      </c>
      <c r="D3462" s="2" t="s">
        <v>754</v>
      </c>
      <c r="E3462" s="2" t="s">
        <v>7620</v>
      </c>
      <c r="F3462" s="2" t="s">
        <v>7611</v>
      </c>
      <c r="G3462" s="2" t="s">
        <v>7622</v>
      </c>
    </row>
    <row r="3463" spans="1:7">
      <c r="A3463" s="3">
        <v>144</v>
      </c>
      <c r="B3463" s="3" t="s">
        <v>375</v>
      </c>
      <c r="C3463" s="3">
        <v>209</v>
      </c>
      <c r="D3463" s="3" t="s">
        <v>758</v>
      </c>
      <c r="E3463" s="3" t="s">
        <v>7618</v>
      </c>
      <c r="F3463" s="3" t="s">
        <v>7650</v>
      </c>
      <c r="G3463" s="3" t="s">
        <v>7617</v>
      </c>
    </row>
    <row r="3464" spans="1:7">
      <c r="A3464" s="2">
        <v>144</v>
      </c>
      <c r="B3464" s="2" t="s">
        <v>375</v>
      </c>
      <c r="C3464" s="2">
        <v>221</v>
      </c>
      <c r="D3464" s="2" t="s">
        <v>813</v>
      </c>
      <c r="E3464" s="2" t="s">
        <v>7618</v>
      </c>
      <c r="F3464" s="2" t="s">
        <v>7649</v>
      </c>
      <c r="G3464" s="2" t="s">
        <v>7619</v>
      </c>
    </row>
    <row r="3465" spans="1:7">
      <c r="A3465" s="3">
        <v>144</v>
      </c>
      <c r="B3465" s="3" t="s">
        <v>375</v>
      </c>
      <c r="C3465" s="3">
        <v>264</v>
      </c>
      <c r="D3465" s="3" t="s">
        <v>775</v>
      </c>
      <c r="E3465" s="3" t="s">
        <v>7618</v>
      </c>
      <c r="F3465" s="3" t="s">
        <v>7649</v>
      </c>
      <c r="G3465" s="3" t="s">
        <v>7619</v>
      </c>
    </row>
    <row r="3466" spans="1:7">
      <c r="A3466" s="2">
        <v>144</v>
      </c>
      <c r="B3466" s="2" t="s">
        <v>375</v>
      </c>
      <c r="C3466" s="2">
        <v>341</v>
      </c>
      <c r="D3466" s="2" t="s">
        <v>1052</v>
      </c>
      <c r="E3466" s="2" t="s">
        <v>7620</v>
      </c>
      <c r="F3466" s="2" t="s">
        <v>7649</v>
      </c>
      <c r="G3466" s="2" t="s">
        <v>7633</v>
      </c>
    </row>
    <row r="3467" spans="1:7">
      <c r="A3467" s="3">
        <v>144</v>
      </c>
      <c r="B3467" s="3" t="s">
        <v>375</v>
      </c>
      <c r="C3467" s="3">
        <v>343</v>
      </c>
      <c r="D3467" s="3" t="s">
        <v>977</v>
      </c>
      <c r="E3467" s="3" t="s">
        <v>7620</v>
      </c>
      <c r="F3467" s="3" t="s">
        <v>7649</v>
      </c>
      <c r="G3467" s="3" t="s">
        <v>7622</v>
      </c>
    </row>
    <row r="3468" spans="1:7">
      <c r="A3468" s="2">
        <v>145</v>
      </c>
      <c r="B3468" s="2" t="s">
        <v>431</v>
      </c>
      <c r="C3468" s="2">
        <v>191</v>
      </c>
      <c r="D3468" s="2" t="s">
        <v>719</v>
      </c>
      <c r="E3468" s="2" t="s">
        <v>7618</v>
      </c>
      <c r="F3468" s="2" t="s">
        <v>7650</v>
      </c>
      <c r="G3468" s="2" t="s">
        <v>7636</v>
      </c>
    </row>
    <row r="3469" spans="1:7">
      <c r="A3469" s="3">
        <v>145</v>
      </c>
      <c r="B3469" s="3" t="s">
        <v>431</v>
      </c>
      <c r="C3469" s="3">
        <v>195</v>
      </c>
      <c r="D3469" s="3" t="s">
        <v>734</v>
      </c>
      <c r="E3469" s="3" t="s">
        <v>7673</v>
      </c>
      <c r="F3469" s="3" t="s">
        <v>7650</v>
      </c>
      <c r="G3469" s="3" t="s">
        <v>7644</v>
      </c>
    </row>
    <row r="3470" spans="1:7">
      <c r="A3470" s="2">
        <v>145</v>
      </c>
      <c r="B3470" s="2" t="s">
        <v>431</v>
      </c>
      <c r="C3470" s="2">
        <v>198</v>
      </c>
      <c r="D3470" s="2" t="s">
        <v>698</v>
      </c>
      <c r="E3470" s="2" t="s">
        <v>7620</v>
      </c>
      <c r="F3470" s="2" t="s">
        <v>7650</v>
      </c>
      <c r="G3470" s="2" t="s">
        <v>7617</v>
      </c>
    </row>
    <row r="3471" spans="1:7">
      <c r="A3471" s="3">
        <v>145</v>
      </c>
      <c r="B3471" s="3" t="s">
        <v>431</v>
      </c>
      <c r="C3471" s="3">
        <v>199</v>
      </c>
      <c r="D3471" s="3" t="s">
        <v>702</v>
      </c>
      <c r="E3471" s="3" t="s">
        <v>7673</v>
      </c>
      <c r="F3471" s="3" t="s">
        <v>7650</v>
      </c>
      <c r="G3471" s="3" t="s">
        <v>7624</v>
      </c>
    </row>
    <row r="3472" spans="1:7">
      <c r="A3472" s="2">
        <v>145</v>
      </c>
      <c r="B3472" s="2" t="s">
        <v>431</v>
      </c>
      <c r="C3472" s="2">
        <v>200</v>
      </c>
      <c r="D3472" s="2" t="s">
        <v>707</v>
      </c>
      <c r="E3472" s="2" t="s">
        <v>7620</v>
      </c>
      <c r="F3472" s="2" t="s">
        <v>7650</v>
      </c>
      <c r="G3472" s="2" t="s">
        <v>7622</v>
      </c>
    </row>
    <row r="3473" spans="1:7">
      <c r="A3473" s="3">
        <v>145</v>
      </c>
      <c r="B3473" s="3" t="s">
        <v>431</v>
      </c>
      <c r="C3473" s="3">
        <v>201</v>
      </c>
      <c r="D3473" s="3" t="s">
        <v>695</v>
      </c>
      <c r="E3473" s="3" t="s">
        <v>7675</v>
      </c>
      <c r="F3473" s="3" t="s">
        <v>7650</v>
      </c>
      <c r="G3473" s="3" t="s">
        <v>7621</v>
      </c>
    </row>
    <row r="3474" spans="1:7">
      <c r="A3474" s="2">
        <v>145</v>
      </c>
      <c r="B3474" s="2" t="s">
        <v>431</v>
      </c>
      <c r="C3474" s="2">
        <v>205</v>
      </c>
      <c r="D3474" s="2" t="s">
        <v>746</v>
      </c>
      <c r="E3474" s="2" t="s">
        <v>7620</v>
      </c>
      <c r="F3474" s="2" t="s">
        <v>7608</v>
      </c>
      <c r="G3474" s="2" t="s">
        <v>7625</v>
      </c>
    </row>
    <row r="3475" spans="1:7">
      <c r="A3475" s="3">
        <v>145</v>
      </c>
      <c r="B3475" s="3" t="s">
        <v>431</v>
      </c>
      <c r="C3475" s="3">
        <v>207</v>
      </c>
      <c r="D3475" s="3" t="s">
        <v>749</v>
      </c>
      <c r="E3475" s="3" t="s">
        <v>7618</v>
      </c>
      <c r="F3475" s="3" t="s">
        <v>7608</v>
      </c>
      <c r="G3475" s="3" t="s">
        <v>7617</v>
      </c>
    </row>
    <row r="3476" spans="1:7">
      <c r="A3476" s="2">
        <v>145</v>
      </c>
      <c r="B3476" s="2" t="s">
        <v>431</v>
      </c>
      <c r="C3476" s="2">
        <v>208</v>
      </c>
      <c r="D3476" s="2" t="s">
        <v>754</v>
      </c>
      <c r="E3476" s="2" t="s">
        <v>7620</v>
      </c>
      <c r="F3476" s="2" t="s">
        <v>7608</v>
      </c>
      <c r="G3476" s="2" t="s">
        <v>7621</v>
      </c>
    </row>
    <row r="3477" spans="1:7">
      <c r="A3477" s="3">
        <v>145</v>
      </c>
      <c r="B3477" s="3" t="s">
        <v>431</v>
      </c>
      <c r="C3477" s="3">
        <v>209</v>
      </c>
      <c r="D3477" s="3" t="s">
        <v>758</v>
      </c>
      <c r="E3477" s="3" t="s">
        <v>7673</v>
      </c>
      <c r="F3477" s="3" t="s">
        <v>7650</v>
      </c>
      <c r="G3477" s="3" t="s">
        <v>7644</v>
      </c>
    </row>
    <row r="3478" spans="1:7">
      <c r="A3478" s="2">
        <v>145</v>
      </c>
      <c r="B3478" s="2" t="s">
        <v>431</v>
      </c>
      <c r="C3478" s="2">
        <v>221</v>
      </c>
      <c r="D3478" s="2" t="s">
        <v>813</v>
      </c>
      <c r="E3478" s="2" t="s">
        <v>7618</v>
      </c>
      <c r="F3478" s="2" t="s">
        <v>7650</v>
      </c>
      <c r="G3478" s="2" t="s">
        <v>7636</v>
      </c>
    </row>
    <row r="3479" spans="1:7">
      <c r="A3479" s="3">
        <v>145</v>
      </c>
      <c r="B3479" s="3" t="s">
        <v>431</v>
      </c>
      <c r="C3479" s="3">
        <v>264</v>
      </c>
      <c r="D3479" s="3" t="s">
        <v>775</v>
      </c>
      <c r="E3479" s="3" t="s">
        <v>7618</v>
      </c>
      <c r="F3479" s="3" t="s">
        <v>7650</v>
      </c>
      <c r="G3479" s="3" t="s">
        <v>7636</v>
      </c>
    </row>
    <row r="3480" spans="1:7">
      <c r="A3480" s="2">
        <v>145</v>
      </c>
      <c r="B3480" s="2" t="s">
        <v>431</v>
      </c>
      <c r="C3480" s="2">
        <v>341</v>
      </c>
      <c r="D3480" s="2" t="s">
        <v>1052</v>
      </c>
      <c r="E3480" s="2" t="s">
        <v>7620</v>
      </c>
      <c r="F3480" s="2" t="s">
        <v>7650</v>
      </c>
      <c r="G3480" s="2" t="s">
        <v>7617</v>
      </c>
    </row>
    <row r="3481" spans="1:7">
      <c r="A3481" s="3">
        <v>145</v>
      </c>
      <c r="B3481" s="3" t="s">
        <v>431</v>
      </c>
      <c r="C3481" s="3">
        <v>343</v>
      </c>
      <c r="D3481" s="3" t="s">
        <v>977</v>
      </c>
      <c r="E3481" s="3" t="s">
        <v>7620</v>
      </c>
      <c r="F3481" s="3" t="s">
        <v>7650</v>
      </c>
      <c r="G3481" s="3" t="s">
        <v>7621</v>
      </c>
    </row>
    <row r="3482" spans="1:7">
      <c r="A3482" s="2">
        <v>146</v>
      </c>
      <c r="B3482" s="2" t="s">
        <v>416</v>
      </c>
      <c r="C3482" s="2">
        <v>191</v>
      </c>
      <c r="D3482" s="2" t="s">
        <v>719</v>
      </c>
      <c r="E3482" s="2" t="s">
        <v>7620</v>
      </c>
      <c r="F3482" s="2" t="s">
        <v>7611</v>
      </c>
      <c r="G3482" s="2" t="s">
        <v>7621</v>
      </c>
    </row>
    <row r="3483" spans="1:7">
      <c r="A3483" s="3">
        <v>146</v>
      </c>
      <c r="B3483" s="3" t="s">
        <v>416</v>
      </c>
      <c r="C3483" s="3">
        <v>195</v>
      </c>
      <c r="D3483" s="3" t="s">
        <v>734</v>
      </c>
      <c r="E3483" s="3" t="s">
        <v>7620</v>
      </c>
      <c r="F3483" s="3" t="s">
        <v>7611</v>
      </c>
      <c r="G3483" s="3" t="s">
        <v>7622</v>
      </c>
    </row>
    <row r="3484" spans="1:7">
      <c r="A3484" s="2">
        <v>146</v>
      </c>
      <c r="B3484" s="2" t="s">
        <v>416</v>
      </c>
      <c r="C3484" s="2">
        <v>198</v>
      </c>
      <c r="D3484" s="2" t="s">
        <v>698</v>
      </c>
      <c r="E3484" s="2" t="s">
        <v>7620</v>
      </c>
      <c r="F3484" s="2" t="s">
        <v>7611</v>
      </c>
      <c r="G3484" s="2" t="s">
        <v>7621</v>
      </c>
    </row>
    <row r="3485" spans="1:7">
      <c r="A3485" s="3">
        <v>146</v>
      </c>
      <c r="B3485" s="3" t="s">
        <v>416</v>
      </c>
      <c r="C3485" s="3">
        <v>199</v>
      </c>
      <c r="D3485" s="3" t="s">
        <v>702</v>
      </c>
      <c r="E3485" s="3" t="s">
        <v>7620</v>
      </c>
      <c r="F3485" s="3" t="s">
        <v>7611</v>
      </c>
      <c r="G3485" s="3" t="s">
        <v>7621</v>
      </c>
    </row>
    <row r="3486" spans="1:7">
      <c r="A3486" s="2">
        <v>146</v>
      </c>
      <c r="B3486" s="2" t="s">
        <v>416</v>
      </c>
      <c r="C3486" s="2">
        <v>200</v>
      </c>
      <c r="D3486" s="2" t="s">
        <v>707</v>
      </c>
      <c r="E3486" s="2" t="s">
        <v>7620</v>
      </c>
      <c r="F3486" s="2" t="s">
        <v>7611</v>
      </c>
      <c r="G3486" s="2" t="s">
        <v>7625</v>
      </c>
    </row>
    <row r="3487" spans="1:7">
      <c r="A3487" s="3">
        <v>146</v>
      </c>
      <c r="B3487" s="3" t="s">
        <v>416</v>
      </c>
      <c r="C3487" s="3">
        <v>205</v>
      </c>
      <c r="D3487" s="3" t="s">
        <v>746</v>
      </c>
      <c r="E3487" s="3" t="s">
        <v>7620</v>
      </c>
      <c r="F3487" s="3" t="s">
        <v>7611</v>
      </c>
      <c r="G3487" s="3" t="s">
        <v>7621</v>
      </c>
    </row>
    <row r="3488" spans="1:7">
      <c r="A3488" s="2">
        <v>146</v>
      </c>
      <c r="B3488" s="2" t="s">
        <v>416</v>
      </c>
      <c r="C3488" s="2">
        <v>207</v>
      </c>
      <c r="D3488" s="2" t="s">
        <v>749</v>
      </c>
      <c r="E3488" s="2" t="s">
        <v>7620</v>
      </c>
      <c r="F3488" s="2" t="s">
        <v>7611</v>
      </c>
      <c r="G3488" s="2" t="s">
        <v>7621</v>
      </c>
    </row>
    <row r="3489" spans="1:7">
      <c r="A3489" s="3">
        <v>146</v>
      </c>
      <c r="B3489" s="3" t="s">
        <v>416</v>
      </c>
      <c r="C3489" s="3">
        <v>208</v>
      </c>
      <c r="D3489" s="3" t="s">
        <v>754</v>
      </c>
      <c r="E3489" s="3" t="s">
        <v>7620</v>
      </c>
      <c r="F3489" s="3" t="s">
        <v>7611</v>
      </c>
      <c r="G3489" s="3" t="s">
        <v>7622</v>
      </c>
    </row>
    <row r="3490" spans="1:7">
      <c r="A3490" s="2">
        <v>146</v>
      </c>
      <c r="B3490" s="2" t="s">
        <v>416</v>
      </c>
      <c r="C3490" s="2">
        <v>221</v>
      </c>
      <c r="D3490" s="2" t="s">
        <v>813</v>
      </c>
      <c r="E3490" s="2" t="s">
        <v>7620</v>
      </c>
      <c r="F3490" s="2" t="s">
        <v>7611</v>
      </c>
      <c r="G3490" s="2" t="s">
        <v>7621</v>
      </c>
    </row>
    <row r="3491" spans="1:7">
      <c r="A3491" s="3">
        <v>146</v>
      </c>
      <c r="B3491" s="3" t="s">
        <v>416</v>
      </c>
      <c r="C3491" s="3">
        <v>264</v>
      </c>
      <c r="D3491" s="3" t="s">
        <v>775</v>
      </c>
      <c r="E3491" s="3" t="s">
        <v>7620</v>
      </c>
      <c r="F3491" s="3" t="s">
        <v>7611</v>
      </c>
      <c r="G3491" s="3" t="s">
        <v>7621</v>
      </c>
    </row>
    <row r="3492" spans="1:7">
      <c r="A3492" s="2">
        <v>146</v>
      </c>
      <c r="B3492" s="2" t="s">
        <v>416</v>
      </c>
      <c r="C3492" s="2">
        <v>341</v>
      </c>
      <c r="D3492" s="2" t="s">
        <v>1052</v>
      </c>
      <c r="E3492" s="2" t="s">
        <v>7620</v>
      </c>
      <c r="F3492" s="2" t="s">
        <v>7611</v>
      </c>
      <c r="G3492" s="2" t="s">
        <v>7621</v>
      </c>
    </row>
    <row r="3493" spans="1:7">
      <c r="A3493" s="3">
        <v>146</v>
      </c>
      <c r="B3493" s="3" t="s">
        <v>416</v>
      </c>
      <c r="C3493" s="3">
        <v>343</v>
      </c>
      <c r="D3493" s="3" t="s">
        <v>977</v>
      </c>
      <c r="E3493" s="3" t="s">
        <v>7620</v>
      </c>
      <c r="F3493" s="3" t="s">
        <v>7611</v>
      </c>
      <c r="G3493" s="3" t="s">
        <v>7625</v>
      </c>
    </row>
    <row r="3494" spans="1:7">
      <c r="A3494" s="2">
        <v>147</v>
      </c>
      <c r="B3494" s="2" t="s">
        <v>454</v>
      </c>
      <c r="C3494" s="2">
        <v>191</v>
      </c>
      <c r="D3494" s="2" t="s">
        <v>719</v>
      </c>
      <c r="E3494" s="2" t="s">
        <v>7618</v>
      </c>
      <c r="F3494" s="2" t="s">
        <v>7608</v>
      </c>
      <c r="G3494" s="2" t="s">
        <v>7609</v>
      </c>
    </row>
    <row r="3495" spans="1:7">
      <c r="A3495" s="3">
        <v>147</v>
      </c>
      <c r="B3495" s="3" t="s">
        <v>454</v>
      </c>
      <c r="C3495" s="3">
        <v>195</v>
      </c>
      <c r="D3495" s="3" t="s">
        <v>734</v>
      </c>
      <c r="E3495" s="3" t="s">
        <v>7618</v>
      </c>
      <c r="F3495" s="3" t="s">
        <v>7608</v>
      </c>
      <c r="G3495" s="3" t="s">
        <v>7609</v>
      </c>
    </row>
    <row r="3496" spans="1:7">
      <c r="A3496" s="2">
        <v>147</v>
      </c>
      <c r="B3496" s="2" t="s">
        <v>454</v>
      </c>
      <c r="C3496" s="2">
        <v>199</v>
      </c>
      <c r="D3496" s="2" t="s">
        <v>702</v>
      </c>
      <c r="E3496" s="2" t="s">
        <v>7618</v>
      </c>
      <c r="F3496" s="2" t="s">
        <v>7608</v>
      </c>
      <c r="G3496" s="2" t="s">
        <v>7609</v>
      </c>
    </row>
    <row r="3497" spans="1:7">
      <c r="A3497" s="3">
        <v>147</v>
      </c>
      <c r="B3497" s="3" t="s">
        <v>454</v>
      </c>
      <c r="C3497" s="3">
        <v>207</v>
      </c>
      <c r="D3497" s="3" t="s">
        <v>749</v>
      </c>
      <c r="E3497" s="3" t="s">
        <v>7618</v>
      </c>
      <c r="F3497" s="3" t="s">
        <v>7608</v>
      </c>
      <c r="G3497" s="3" t="s">
        <v>7633</v>
      </c>
    </row>
    <row r="3498" spans="1:7">
      <c r="A3498" s="2">
        <v>147</v>
      </c>
      <c r="B3498" s="2" t="s">
        <v>454</v>
      </c>
      <c r="C3498" s="2">
        <v>209</v>
      </c>
      <c r="D3498" s="2" t="s">
        <v>758</v>
      </c>
      <c r="E3498" s="2" t="s">
        <v>7618</v>
      </c>
      <c r="F3498" s="2" t="s">
        <v>7608</v>
      </c>
      <c r="G3498" s="2" t="s">
        <v>7609</v>
      </c>
    </row>
    <row r="3499" spans="1:7">
      <c r="A3499" s="3">
        <v>147</v>
      </c>
      <c r="B3499" s="3" t="s">
        <v>454</v>
      </c>
      <c r="C3499" s="3">
        <v>221</v>
      </c>
      <c r="D3499" s="3" t="s">
        <v>813</v>
      </c>
      <c r="E3499" s="3" t="s">
        <v>7618</v>
      </c>
      <c r="F3499" s="3" t="s">
        <v>7608</v>
      </c>
      <c r="G3499" s="3" t="s">
        <v>7633</v>
      </c>
    </row>
    <row r="3500" spans="1:7">
      <c r="A3500" s="2">
        <v>147</v>
      </c>
      <c r="B3500" s="2" t="s">
        <v>454</v>
      </c>
      <c r="C3500" s="2">
        <v>264</v>
      </c>
      <c r="D3500" s="2" t="s">
        <v>775</v>
      </c>
      <c r="E3500" s="2" t="s">
        <v>7618</v>
      </c>
      <c r="F3500" s="2" t="s">
        <v>7608</v>
      </c>
      <c r="G3500" s="2" t="s">
        <v>7633</v>
      </c>
    </row>
    <row r="3501" spans="1:7">
      <c r="A3501" s="3">
        <v>148</v>
      </c>
      <c r="B3501" s="3" t="s">
        <v>420</v>
      </c>
      <c r="C3501" s="3">
        <v>191</v>
      </c>
      <c r="D3501" s="3" t="s">
        <v>719</v>
      </c>
      <c r="E3501" s="3" t="s">
        <v>7618</v>
      </c>
      <c r="F3501" s="3" t="s">
        <v>7611</v>
      </c>
      <c r="G3501" s="3" t="s">
        <v>7634</v>
      </c>
    </row>
    <row r="3502" spans="1:7">
      <c r="A3502" s="2">
        <v>148</v>
      </c>
      <c r="B3502" s="2" t="s">
        <v>420</v>
      </c>
      <c r="C3502" s="2">
        <v>195</v>
      </c>
      <c r="D3502" s="2" t="s">
        <v>734</v>
      </c>
      <c r="E3502" s="2" t="s">
        <v>7618</v>
      </c>
      <c r="F3502" s="2" t="s">
        <v>7611</v>
      </c>
      <c r="G3502" s="2" t="s">
        <v>7636</v>
      </c>
    </row>
    <row r="3503" spans="1:7">
      <c r="A3503" s="3">
        <v>148</v>
      </c>
      <c r="B3503" s="3" t="s">
        <v>420</v>
      </c>
      <c r="C3503" s="3">
        <v>198</v>
      </c>
      <c r="D3503" s="3" t="s">
        <v>698</v>
      </c>
      <c r="E3503" s="3" t="s">
        <v>7620</v>
      </c>
      <c r="F3503" s="3" t="s">
        <v>7611</v>
      </c>
      <c r="G3503" s="3" t="s">
        <v>7621</v>
      </c>
    </row>
    <row r="3504" spans="1:7">
      <c r="A3504" s="2">
        <v>148</v>
      </c>
      <c r="B3504" s="2" t="s">
        <v>420</v>
      </c>
      <c r="C3504" s="2">
        <v>199</v>
      </c>
      <c r="D3504" s="2" t="s">
        <v>702</v>
      </c>
      <c r="E3504" s="2" t="s">
        <v>7618</v>
      </c>
      <c r="F3504" s="2" t="s">
        <v>7683</v>
      </c>
      <c r="G3504" s="2" t="s">
        <v>7634</v>
      </c>
    </row>
    <row r="3505" spans="1:7">
      <c r="A3505" s="3">
        <v>148</v>
      </c>
      <c r="B3505" s="3" t="s">
        <v>420</v>
      </c>
      <c r="C3505" s="3">
        <v>200</v>
      </c>
      <c r="D3505" s="3" t="s">
        <v>707</v>
      </c>
      <c r="E3505" s="3" t="s">
        <v>7620</v>
      </c>
      <c r="F3505" s="3" t="s">
        <v>7611</v>
      </c>
      <c r="G3505" s="3" t="s">
        <v>7625</v>
      </c>
    </row>
    <row r="3506" spans="1:7">
      <c r="A3506" s="2">
        <v>148</v>
      </c>
      <c r="B3506" s="2" t="s">
        <v>420</v>
      </c>
      <c r="C3506" s="2">
        <v>205</v>
      </c>
      <c r="D3506" s="2" t="s">
        <v>746</v>
      </c>
      <c r="E3506" s="2" t="s">
        <v>7620</v>
      </c>
      <c r="F3506" s="2" t="s">
        <v>7683</v>
      </c>
      <c r="G3506" s="2" t="s">
        <v>7609</v>
      </c>
    </row>
    <row r="3507" spans="1:7">
      <c r="A3507" s="3">
        <v>148</v>
      </c>
      <c r="B3507" s="3" t="s">
        <v>420</v>
      </c>
      <c r="C3507" s="3">
        <v>207</v>
      </c>
      <c r="D3507" s="3" t="s">
        <v>749</v>
      </c>
      <c r="E3507" s="3" t="s">
        <v>7623</v>
      </c>
      <c r="F3507" s="3" t="s">
        <v>7611</v>
      </c>
      <c r="G3507" s="3" t="s">
        <v>7639</v>
      </c>
    </row>
    <row r="3508" spans="1:7">
      <c r="A3508" s="2">
        <v>148</v>
      </c>
      <c r="B3508" s="2" t="s">
        <v>420</v>
      </c>
      <c r="C3508" s="2">
        <v>208</v>
      </c>
      <c r="D3508" s="2" t="s">
        <v>754</v>
      </c>
      <c r="E3508" s="2" t="s">
        <v>7620</v>
      </c>
      <c r="F3508" s="2" t="s">
        <v>7683</v>
      </c>
      <c r="G3508" s="2" t="s">
        <v>7609</v>
      </c>
    </row>
    <row r="3509" spans="1:7">
      <c r="A3509" s="3">
        <v>148</v>
      </c>
      <c r="B3509" s="3" t="s">
        <v>420</v>
      </c>
      <c r="C3509" s="3">
        <v>209</v>
      </c>
      <c r="D3509" s="3" t="s">
        <v>758</v>
      </c>
      <c r="E3509" s="3" t="s">
        <v>7618</v>
      </c>
      <c r="F3509" s="3" t="s">
        <v>7702</v>
      </c>
      <c r="G3509" s="3" t="s">
        <v>7636</v>
      </c>
    </row>
    <row r="3510" spans="1:7">
      <c r="A3510" s="2">
        <v>148</v>
      </c>
      <c r="B3510" s="2" t="s">
        <v>420</v>
      </c>
      <c r="C3510" s="2">
        <v>221</v>
      </c>
      <c r="D3510" s="2" t="s">
        <v>813</v>
      </c>
      <c r="E3510" s="2" t="s">
        <v>7623</v>
      </c>
      <c r="F3510" s="2" t="s">
        <v>7611</v>
      </c>
      <c r="G3510" s="2" t="s">
        <v>7632</v>
      </c>
    </row>
    <row r="3511" spans="1:7">
      <c r="A3511" s="3">
        <v>148</v>
      </c>
      <c r="B3511" s="3" t="s">
        <v>420</v>
      </c>
      <c r="C3511" s="3">
        <v>264</v>
      </c>
      <c r="D3511" s="3" t="s">
        <v>775</v>
      </c>
      <c r="E3511" s="3" t="s">
        <v>7618</v>
      </c>
      <c r="F3511" s="3" t="s">
        <v>7611</v>
      </c>
      <c r="G3511" s="3" t="s">
        <v>7617</v>
      </c>
    </row>
    <row r="3512" spans="1:7">
      <c r="A3512" s="2">
        <v>148</v>
      </c>
      <c r="B3512" s="2" t="s">
        <v>420</v>
      </c>
      <c r="C3512" s="2">
        <v>341</v>
      </c>
      <c r="D3512" s="2" t="s">
        <v>1052</v>
      </c>
      <c r="E3512" s="2" t="s">
        <v>7620</v>
      </c>
      <c r="F3512" s="2" t="s">
        <v>7611</v>
      </c>
      <c r="G3512" s="2" t="s">
        <v>7622</v>
      </c>
    </row>
    <row r="3513" spans="1:7">
      <c r="A3513" s="3">
        <v>148</v>
      </c>
      <c r="B3513" s="3" t="s">
        <v>420</v>
      </c>
      <c r="C3513" s="3">
        <v>343</v>
      </c>
      <c r="D3513" s="3" t="s">
        <v>977</v>
      </c>
      <c r="E3513" s="3" t="s">
        <v>7620</v>
      </c>
      <c r="F3513" s="3" t="s">
        <v>7611</v>
      </c>
      <c r="G3513" s="3" t="s">
        <v>7621</v>
      </c>
    </row>
    <row r="3514" spans="1:7">
      <c r="A3514" s="2">
        <v>149</v>
      </c>
      <c r="B3514" s="2" t="s">
        <v>443</v>
      </c>
      <c r="C3514" s="2">
        <v>191</v>
      </c>
      <c r="D3514" s="2" t="s">
        <v>719</v>
      </c>
      <c r="E3514" s="2" t="s">
        <v>7620</v>
      </c>
      <c r="F3514" s="2" t="s">
        <v>7649</v>
      </c>
      <c r="G3514" s="2" t="s">
        <v>7622</v>
      </c>
    </row>
    <row r="3515" spans="1:7">
      <c r="A3515" s="3">
        <v>149</v>
      </c>
      <c r="B3515" s="3" t="s">
        <v>443</v>
      </c>
      <c r="C3515" s="3">
        <v>195</v>
      </c>
      <c r="D3515" s="3" t="s">
        <v>734</v>
      </c>
      <c r="E3515" s="3" t="s">
        <v>7620</v>
      </c>
      <c r="F3515" s="3" t="s">
        <v>7649</v>
      </c>
      <c r="G3515" s="3" t="s">
        <v>7622</v>
      </c>
    </row>
    <row r="3516" spans="1:7">
      <c r="A3516" s="2">
        <v>149</v>
      </c>
      <c r="B3516" s="2" t="s">
        <v>443</v>
      </c>
      <c r="C3516" s="2">
        <v>198</v>
      </c>
      <c r="D3516" s="2" t="s">
        <v>698</v>
      </c>
      <c r="E3516" s="2" t="s">
        <v>7620</v>
      </c>
      <c r="F3516" s="2" t="s">
        <v>7649</v>
      </c>
      <c r="G3516" s="2" t="s">
        <v>7633</v>
      </c>
    </row>
    <row r="3517" spans="1:7">
      <c r="A3517" s="3">
        <v>149</v>
      </c>
      <c r="B3517" s="3" t="s">
        <v>443</v>
      </c>
      <c r="C3517" s="3">
        <v>199</v>
      </c>
      <c r="D3517" s="3" t="s">
        <v>702</v>
      </c>
      <c r="E3517" s="3" t="s">
        <v>7620</v>
      </c>
      <c r="F3517" s="3" t="s">
        <v>7649</v>
      </c>
      <c r="G3517" s="3" t="s">
        <v>7622</v>
      </c>
    </row>
    <row r="3518" spans="1:7">
      <c r="A3518" s="2">
        <v>149</v>
      </c>
      <c r="B3518" s="2" t="s">
        <v>443</v>
      </c>
      <c r="C3518" s="2">
        <v>200</v>
      </c>
      <c r="D3518" s="2" t="s">
        <v>707</v>
      </c>
      <c r="E3518" s="2" t="s">
        <v>7620</v>
      </c>
      <c r="F3518" s="2" t="s">
        <v>7649</v>
      </c>
      <c r="G3518" s="2" t="s">
        <v>7633</v>
      </c>
    </row>
    <row r="3519" spans="1:7">
      <c r="A3519" s="3">
        <v>149</v>
      </c>
      <c r="B3519" s="3" t="s">
        <v>443</v>
      </c>
      <c r="C3519" s="3">
        <v>205</v>
      </c>
      <c r="D3519" s="3" t="s">
        <v>746</v>
      </c>
      <c r="E3519" s="3" t="s">
        <v>7620</v>
      </c>
      <c r="F3519" s="3" t="s">
        <v>7611</v>
      </c>
      <c r="G3519" s="3" t="s">
        <v>7625</v>
      </c>
    </row>
    <row r="3520" spans="1:7">
      <c r="A3520" s="2">
        <v>149</v>
      </c>
      <c r="B3520" s="2" t="s">
        <v>443</v>
      </c>
      <c r="C3520" s="2">
        <v>207</v>
      </c>
      <c r="D3520" s="2" t="s">
        <v>749</v>
      </c>
      <c r="E3520" s="2" t="s">
        <v>7620</v>
      </c>
      <c r="F3520" s="2" t="s">
        <v>7611</v>
      </c>
      <c r="G3520" s="2" t="s">
        <v>7621</v>
      </c>
    </row>
    <row r="3521" spans="1:7">
      <c r="A3521" s="3">
        <v>149</v>
      </c>
      <c r="B3521" s="3" t="s">
        <v>443</v>
      </c>
      <c r="C3521" s="3">
        <v>208</v>
      </c>
      <c r="D3521" s="3" t="s">
        <v>754</v>
      </c>
      <c r="E3521" s="3" t="s">
        <v>7620</v>
      </c>
      <c r="F3521" s="3" t="s">
        <v>7611</v>
      </c>
      <c r="G3521" s="3" t="s">
        <v>7625</v>
      </c>
    </row>
    <row r="3522" spans="1:7">
      <c r="A3522" s="2">
        <v>149</v>
      </c>
      <c r="B3522" s="2" t="s">
        <v>443</v>
      </c>
      <c r="C3522" s="2">
        <v>209</v>
      </c>
      <c r="D3522" s="2" t="s">
        <v>758</v>
      </c>
      <c r="E3522" s="2" t="s">
        <v>7620</v>
      </c>
      <c r="F3522" s="2" t="s">
        <v>7650</v>
      </c>
      <c r="G3522" s="2" t="s">
        <v>7625</v>
      </c>
    </row>
    <row r="3523" spans="1:7">
      <c r="A3523" s="3">
        <v>149</v>
      </c>
      <c r="B3523" s="3" t="s">
        <v>443</v>
      </c>
      <c r="C3523" s="3">
        <v>221</v>
      </c>
      <c r="D3523" s="3" t="s">
        <v>813</v>
      </c>
      <c r="E3523" s="3" t="s">
        <v>7620</v>
      </c>
      <c r="F3523" s="3" t="s">
        <v>7649</v>
      </c>
      <c r="G3523" s="3" t="s">
        <v>7622</v>
      </c>
    </row>
    <row r="3524" spans="1:7">
      <c r="A3524" s="2">
        <v>149</v>
      </c>
      <c r="B3524" s="2" t="s">
        <v>443</v>
      </c>
      <c r="C3524" s="2">
        <v>264</v>
      </c>
      <c r="D3524" s="2" t="s">
        <v>775</v>
      </c>
      <c r="E3524" s="2" t="s">
        <v>7620</v>
      </c>
      <c r="F3524" s="2" t="s">
        <v>7649</v>
      </c>
      <c r="G3524" s="2" t="s">
        <v>7633</v>
      </c>
    </row>
    <row r="3525" spans="1:7">
      <c r="A3525" s="3">
        <v>149</v>
      </c>
      <c r="B3525" s="3" t="s">
        <v>443</v>
      </c>
      <c r="C3525" s="3">
        <v>341</v>
      </c>
      <c r="D3525" s="3" t="s">
        <v>1052</v>
      </c>
      <c r="E3525" s="3" t="s">
        <v>7620</v>
      </c>
      <c r="F3525" s="3" t="s">
        <v>7649</v>
      </c>
      <c r="G3525" s="3" t="s">
        <v>7609</v>
      </c>
    </row>
    <row r="3526" spans="1:7">
      <c r="A3526" s="2">
        <v>149</v>
      </c>
      <c r="B3526" s="2" t="s">
        <v>443</v>
      </c>
      <c r="C3526" s="2">
        <v>343</v>
      </c>
      <c r="D3526" s="2" t="s">
        <v>977</v>
      </c>
      <c r="E3526" s="2" t="s">
        <v>7620</v>
      </c>
      <c r="F3526" s="2" t="s">
        <v>7649</v>
      </c>
      <c r="G3526" s="2" t="s">
        <v>7622</v>
      </c>
    </row>
    <row r="3527" spans="1:7">
      <c r="A3527" s="3">
        <v>150</v>
      </c>
      <c r="B3527" s="3" t="s">
        <v>379</v>
      </c>
      <c r="C3527" s="3">
        <v>189</v>
      </c>
      <c r="D3527" s="3" t="s">
        <v>742</v>
      </c>
      <c r="E3527" s="3" t="s">
        <v>7653</v>
      </c>
      <c r="F3527" s="3" t="s">
        <v>7608</v>
      </c>
      <c r="G3527" s="3" t="s">
        <v>7621</v>
      </c>
    </row>
    <row r="3528" spans="1:7">
      <c r="A3528" s="2">
        <v>150</v>
      </c>
      <c r="B3528" s="2" t="s">
        <v>379</v>
      </c>
      <c r="C3528" s="2">
        <v>191</v>
      </c>
      <c r="D3528" s="2" t="s">
        <v>719</v>
      </c>
      <c r="E3528" s="2" t="s">
        <v>7618</v>
      </c>
      <c r="F3528" s="2" t="s">
        <v>7649</v>
      </c>
      <c r="G3528" s="2" t="s">
        <v>7639</v>
      </c>
    </row>
    <row r="3529" spans="1:7">
      <c r="A3529" s="3">
        <v>150</v>
      </c>
      <c r="B3529" s="3" t="s">
        <v>379</v>
      </c>
      <c r="C3529" s="3">
        <v>195</v>
      </c>
      <c r="D3529" s="3" t="s">
        <v>734</v>
      </c>
      <c r="E3529" s="3" t="s">
        <v>7673</v>
      </c>
      <c r="F3529" s="3" t="s">
        <v>7649</v>
      </c>
      <c r="G3529" s="3" t="s">
        <v>7641</v>
      </c>
    </row>
    <row r="3530" spans="1:7">
      <c r="A3530" s="2">
        <v>150</v>
      </c>
      <c r="B3530" s="2" t="s">
        <v>379</v>
      </c>
      <c r="C3530" s="2">
        <v>198</v>
      </c>
      <c r="D3530" s="2" t="s">
        <v>698</v>
      </c>
      <c r="E3530" s="2" t="s">
        <v>7620</v>
      </c>
      <c r="F3530" s="2" t="s">
        <v>7649</v>
      </c>
      <c r="G3530" s="2" t="s">
        <v>7636</v>
      </c>
    </row>
    <row r="3531" spans="1:7">
      <c r="A3531" s="3">
        <v>150</v>
      </c>
      <c r="B3531" s="3" t="s">
        <v>379</v>
      </c>
      <c r="C3531" s="3">
        <v>199</v>
      </c>
      <c r="D3531" s="3" t="s">
        <v>702</v>
      </c>
      <c r="E3531" s="3" t="s">
        <v>7674</v>
      </c>
      <c r="F3531" s="3" t="s">
        <v>7718</v>
      </c>
      <c r="G3531" s="3" t="s">
        <v>7629</v>
      </c>
    </row>
    <row r="3532" spans="1:7">
      <c r="A3532" s="2">
        <v>150</v>
      </c>
      <c r="B3532" s="2" t="s">
        <v>379</v>
      </c>
      <c r="C3532" s="2">
        <v>200</v>
      </c>
      <c r="D3532" s="2" t="s">
        <v>707</v>
      </c>
      <c r="E3532" s="2" t="s">
        <v>7654</v>
      </c>
      <c r="F3532" s="2" t="s">
        <v>7649</v>
      </c>
      <c r="G3532" s="2" t="s">
        <v>7639</v>
      </c>
    </row>
    <row r="3533" spans="1:7">
      <c r="A3533" s="3">
        <v>150</v>
      </c>
      <c r="B3533" s="3" t="s">
        <v>379</v>
      </c>
      <c r="C3533" s="3">
        <v>201</v>
      </c>
      <c r="D3533" s="3" t="s">
        <v>695</v>
      </c>
      <c r="E3533" s="3" t="s">
        <v>7675</v>
      </c>
      <c r="F3533" s="3" t="s">
        <v>7649</v>
      </c>
      <c r="G3533" s="3" t="s">
        <v>7633</v>
      </c>
    </row>
    <row r="3534" spans="1:7">
      <c r="A3534" s="2">
        <v>150</v>
      </c>
      <c r="B3534" s="2" t="s">
        <v>379</v>
      </c>
      <c r="C3534" s="2">
        <v>205</v>
      </c>
      <c r="D3534" s="2" t="s">
        <v>746</v>
      </c>
      <c r="E3534" s="2" t="s">
        <v>7620</v>
      </c>
      <c r="F3534" s="2" t="s">
        <v>7683</v>
      </c>
      <c r="G3534" s="2" t="s">
        <v>7609</v>
      </c>
    </row>
    <row r="3535" spans="1:7">
      <c r="A3535" s="3">
        <v>150</v>
      </c>
      <c r="B3535" s="3" t="s">
        <v>379</v>
      </c>
      <c r="C3535" s="3">
        <v>207</v>
      </c>
      <c r="D3535" s="3" t="s">
        <v>749</v>
      </c>
      <c r="E3535" s="3" t="s">
        <v>7618</v>
      </c>
      <c r="F3535" s="3" t="s">
        <v>7611</v>
      </c>
      <c r="G3535" s="3" t="s">
        <v>7636</v>
      </c>
    </row>
    <row r="3536" spans="1:7">
      <c r="A3536" s="2">
        <v>150</v>
      </c>
      <c r="B3536" s="2" t="s">
        <v>379</v>
      </c>
      <c r="C3536" s="2">
        <v>208</v>
      </c>
      <c r="D3536" s="2" t="s">
        <v>754</v>
      </c>
      <c r="E3536" s="2" t="s">
        <v>7620</v>
      </c>
      <c r="F3536" s="2" t="s">
        <v>7683</v>
      </c>
      <c r="G3536" s="2" t="s">
        <v>7617</v>
      </c>
    </row>
    <row r="3537" spans="1:7">
      <c r="A3537" s="3">
        <v>150</v>
      </c>
      <c r="B3537" s="3" t="s">
        <v>379</v>
      </c>
      <c r="C3537" s="3">
        <v>209</v>
      </c>
      <c r="D3537" s="3" t="s">
        <v>758</v>
      </c>
      <c r="E3537" s="3" t="s">
        <v>7673</v>
      </c>
      <c r="F3537" s="3" t="s">
        <v>7719</v>
      </c>
      <c r="G3537" s="3" t="s">
        <v>7641</v>
      </c>
    </row>
    <row r="3538" spans="1:7">
      <c r="A3538" s="2">
        <v>150</v>
      </c>
      <c r="B3538" s="2" t="s">
        <v>379</v>
      </c>
      <c r="C3538" s="2">
        <v>221</v>
      </c>
      <c r="D3538" s="2" t="s">
        <v>813</v>
      </c>
      <c r="E3538" s="2" t="s">
        <v>7618</v>
      </c>
      <c r="F3538" s="2" t="s">
        <v>7649</v>
      </c>
      <c r="G3538" s="2" t="s">
        <v>7619</v>
      </c>
    </row>
    <row r="3539" spans="1:7">
      <c r="A3539" s="3">
        <v>150</v>
      </c>
      <c r="B3539" s="3" t="s">
        <v>379</v>
      </c>
      <c r="C3539" s="3">
        <v>264</v>
      </c>
      <c r="D3539" s="3" t="s">
        <v>775</v>
      </c>
      <c r="E3539" s="3" t="s">
        <v>7618</v>
      </c>
      <c r="F3539" s="3" t="s">
        <v>7649</v>
      </c>
      <c r="G3539" s="3" t="s">
        <v>7619</v>
      </c>
    </row>
    <row r="3540" spans="1:7">
      <c r="A3540" s="2">
        <v>150</v>
      </c>
      <c r="B3540" s="2" t="s">
        <v>379</v>
      </c>
      <c r="C3540" s="2">
        <v>341</v>
      </c>
      <c r="D3540" s="2" t="s">
        <v>1052</v>
      </c>
      <c r="E3540" s="2" t="s">
        <v>7620</v>
      </c>
      <c r="F3540" s="2" t="s">
        <v>7649</v>
      </c>
      <c r="G3540" s="2" t="s">
        <v>7609</v>
      </c>
    </row>
    <row r="3541" spans="1:7">
      <c r="A3541" s="3">
        <v>150</v>
      </c>
      <c r="B3541" s="3" t="s">
        <v>379</v>
      </c>
      <c r="C3541" s="3">
        <v>343</v>
      </c>
      <c r="D3541" s="3" t="s">
        <v>977</v>
      </c>
      <c r="E3541" s="3" t="s">
        <v>7620</v>
      </c>
      <c r="F3541" s="3" t="s">
        <v>7649</v>
      </c>
      <c r="G3541" s="3" t="s">
        <v>7633</v>
      </c>
    </row>
    <row r="3542" spans="1:7">
      <c r="A3542" s="2">
        <v>151</v>
      </c>
      <c r="B3542" s="2" t="s">
        <v>601</v>
      </c>
      <c r="C3542" s="2">
        <v>195</v>
      </c>
      <c r="D3542" s="2" t="s">
        <v>734</v>
      </c>
      <c r="E3542" s="2" t="s">
        <v>7620</v>
      </c>
      <c r="F3542" s="2" t="s">
        <v>7608</v>
      </c>
      <c r="G3542" s="2" t="s">
        <v>7625</v>
      </c>
    </row>
    <row r="3543" spans="1:7">
      <c r="A3543" s="3">
        <v>151</v>
      </c>
      <c r="B3543" s="3" t="s">
        <v>601</v>
      </c>
      <c r="C3543" s="3">
        <v>198</v>
      </c>
      <c r="D3543" s="3" t="s">
        <v>698</v>
      </c>
      <c r="E3543" s="3" t="s">
        <v>7620</v>
      </c>
      <c r="F3543" s="3" t="s">
        <v>7608</v>
      </c>
      <c r="G3543" s="3" t="s">
        <v>7625</v>
      </c>
    </row>
    <row r="3544" spans="1:7">
      <c r="A3544" s="2">
        <v>151</v>
      </c>
      <c r="B3544" s="2" t="s">
        <v>601</v>
      </c>
      <c r="C3544" s="2">
        <v>209</v>
      </c>
      <c r="D3544" s="2" t="s">
        <v>758</v>
      </c>
      <c r="E3544" s="2" t="s">
        <v>7620</v>
      </c>
      <c r="F3544" s="2" t="s">
        <v>7608</v>
      </c>
      <c r="G3544" s="2" t="s">
        <v>7625</v>
      </c>
    </row>
    <row r="3545" spans="1:7">
      <c r="A3545" s="3">
        <v>152</v>
      </c>
      <c r="B3545" s="3" t="s">
        <v>508</v>
      </c>
      <c r="C3545" s="3">
        <v>191</v>
      </c>
      <c r="D3545" s="3" t="s">
        <v>719</v>
      </c>
      <c r="E3545" s="3" t="s">
        <v>7620</v>
      </c>
      <c r="F3545" s="3" t="s">
        <v>7611</v>
      </c>
      <c r="G3545" s="3" t="s">
        <v>7621</v>
      </c>
    </row>
    <row r="3546" spans="1:7">
      <c r="A3546" s="2">
        <v>152</v>
      </c>
      <c r="B3546" s="2" t="s">
        <v>508</v>
      </c>
      <c r="C3546" s="2">
        <v>195</v>
      </c>
      <c r="D3546" s="2" t="s">
        <v>734</v>
      </c>
      <c r="E3546" s="2" t="s">
        <v>7620</v>
      </c>
      <c r="F3546" s="2" t="s">
        <v>7611</v>
      </c>
      <c r="G3546" s="2" t="s">
        <v>7621</v>
      </c>
    </row>
    <row r="3547" spans="1:7">
      <c r="A3547" s="3">
        <v>152</v>
      </c>
      <c r="B3547" s="3" t="s">
        <v>508</v>
      </c>
      <c r="C3547" s="3">
        <v>198</v>
      </c>
      <c r="D3547" s="3" t="s">
        <v>698</v>
      </c>
      <c r="E3547" s="3" t="s">
        <v>7620</v>
      </c>
      <c r="F3547" s="3" t="s">
        <v>7611</v>
      </c>
      <c r="G3547" s="3" t="s">
        <v>7621</v>
      </c>
    </row>
    <row r="3548" spans="1:7">
      <c r="A3548" s="2">
        <v>152</v>
      </c>
      <c r="B3548" s="2" t="s">
        <v>508</v>
      </c>
      <c r="C3548" s="2">
        <v>199</v>
      </c>
      <c r="D3548" s="2" t="s">
        <v>702</v>
      </c>
      <c r="E3548" s="2" t="s">
        <v>7620</v>
      </c>
      <c r="F3548" s="2" t="s">
        <v>7611</v>
      </c>
      <c r="G3548" s="2" t="s">
        <v>7622</v>
      </c>
    </row>
    <row r="3549" spans="1:7">
      <c r="A3549" s="3">
        <v>152</v>
      </c>
      <c r="B3549" s="3" t="s">
        <v>508</v>
      </c>
      <c r="C3549" s="3">
        <v>200</v>
      </c>
      <c r="D3549" s="3" t="s">
        <v>707</v>
      </c>
      <c r="E3549" s="3" t="s">
        <v>7620</v>
      </c>
      <c r="F3549" s="3" t="s">
        <v>7611</v>
      </c>
      <c r="G3549" s="3" t="s">
        <v>7621</v>
      </c>
    </row>
    <row r="3550" spans="1:7">
      <c r="A3550" s="2">
        <v>152</v>
      </c>
      <c r="B3550" s="2" t="s">
        <v>508</v>
      </c>
      <c r="C3550" s="2">
        <v>205</v>
      </c>
      <c r="D3550" s="2" t="s">
        <v>746</v>
      </c>
      <c r="E3550" s="2" t="s">
        <v>7620</v>
      </c>
      <c r="F3550" s="2" t="s">
        <v>7611</v>
      </c>
      <c r="G3550" s="2" t="s">
        <v>7621</v>
      </c>
    </row>
    <row r="3551" spans="1:7">
      <c r="A3551" s="3">
        <v>152</v>
      </c>
      <c r="B3551" s="3" t="s">
        <v>508</v>
      </c>
      <c r="C3551" s="3">
        <v>207</v>
      </c>
      <c r="D3551" s="3" t="s">
        <v>749</v>
      </c>
      <c r="E3551" s="3" t="s">
        <v>7640</v>
      </c>
      <c r="F3551" s="3" t="s">
        <v>7611</v>
      </c>
      <c r="G3551" s="3" t="s">
        <v>7617</v>
      </c>
    </row>
    <row r="3552" spans="1:7">
      <c r="A3552" s="2">
        <v>152</v>
      </c>
      <c r="B3552" s="2" t="s">
        <v>508</v>
      </c>
      <c r="C3552" s="2">
        <v>208</v>
      </c>
      <c r="D3552" s="2" t="s">
        <v>754</v>
      </c>
      <c r="E3552" s="2" t="s">
        <v>7620</v>
      </c>
      <c r="F3552" s="2" t="s">
        <v>7611</v>
      </c>
      <c r="G3552" s="2" t="s">
        <v>7621</v>
      </c>
    </row>
    <row r="3553" spans="1:7">
      <c r="A3553" s="3">
        <v>152</v>
      </c>
      <c r="B3553" s="3" t="s">
        <v>508</v>
      </c>
      <c r="C3553" s="3">
        <v>221</v>
      </c>
      <c r="D3553" s="3" t="s">
        <v>813</v>
      </c>
      <c r="E3553" s="3" t="s">
        <v>7640</v>
      </c>
      <c r="F3553" s="3" t="s">
        <v>7611</v>
      </c>
      <c r="G3553" s="3" t="s">
        <v>7617</v>
      </c>
    </row>
    <row r="3554" spans="1:7">
      <c r="A3554" s="2">
        <v>152</v>
      </c>
      <c r="B3554" s="2" t="s">
        <v>508</v>
      </c>
      <c r="C3554" s="2">
        <v>264</v>
      </c>
      <c r="D3554" s="2" t="s">
        <v>775</v>
      </c>
      <c r="E3554" s="2" t="s">
        <v>7620</v>
      </c>
      <c r="F3554" s="2" t="s">
        <v>7611</v>
      </c>
      <c r="G3554" s="2" t="s">
        <v>7621</v>
      </c>
    </row>
    <row r="3555" spans="1:7">
      <c r="A3555" s="3">
        <v>152</v>
      </c>
      <c r="B3555" s="3" t="s">
        <v>508</v>
      </c>
      <c r="C3555" s="3">
        <v>341</v>
      </c>
      <c r="D3555" s="3" t="s">
        <v>1052</v>
      </c>
      <c r="E3555" s="3" t="s">
        <v>7620</v>
      </c>
      <c r="F3555" s="3" t="s">
        <v>7611</v>
      </c>
      <c r="G3555" s="3" t="s">
        <v>7621</v>
      </c>
    </row>
    <row r="3556" spans="1:7">
      <c r="A3556" s="2">
        <v>152</v>
      </c>
      <c r="B3556" s="2" t="s">
        <v>508</v>
      </c>
      <c r="C3556" s="2">
        <v>343</v>
      </c>
      <c r="D3556" s="2" t="s">
        <v>977</v>
      </c>
      <c r="E3556" s="2" t="s">
        <v>7620</v>
      </c>
      <c r="F3556" s="2" t="s">
        <v>7611</v>
      </c>
      <c r="G3556" s="2" t="s">
        <v>7625</v>
      </c>
    </row>
    <row r="3557" spans="1:7">
      <c r="A3557" s="3">
        <v>153</v>
      </c>
      <c r="B3557" s="3" t="s">
        <v>435</v>
      </c>
      <c r="C3557" s="3">
        <v>191</v>
      </c>
      <c r="D3557" s="3" t="s">
        <v>719</v>
      </c>
      <c r="E3557" s="3" t="s">
        <v>7620</v>
      </c>
      <c r="F3557" s="3" t="s">
        <v>7611</v>
      </c>
      <c r="G3557" s="3" t="s">
        <v>7622</v>
      </c>
    </row>
    <row r="3558" spans="1:7">
      <c r="A3558" s="2">
        <v>153</v>
      </c>
      <c r="B3558" s="2" t="s">
        <v>435</v>
      </c>
      <c r="C3558" s="2">
        <v>195</v>
      </c>
      <c r="D3558" s="2" t="s">
        <v>734</v>
      </c>
      <c r="E3558" s="2" t="s">
        <v>7620</v>
      </c>
      <c r="F3558" s="2" t="s">
        <v>7611</v>
      </c>
      <c r="G3558" s="2" t="s">
        <v>7622</v>
      </c>
    </row>
    <row r="3559" spans="1:7">
      <c r="A3559" s="3">
        <v>153</v>
      </c>
      <c r="B3559" s="3" t="s">
        <v>435</v>
      </c>
      <c r="C3559" s="3">
        <v>198</v>
      </c>
      <c r="D3559" s="3" t="s">
        <v>698</v>
      </c>
      <c r="E3559" s="3" t="s">
        <v>7620</v>
      </c>
      <c r="F3559" s="3" t="s">
        <v>7611</v>
      </c>
      <c r="G3559" s="3" t="s">
        <v>7609</v>
      </c>
    </row>
    <row r="3560" spans="1:7">
      <c r="A3560" s="2">
        <v>153</v>
      </c>
      <c r="B3560" s="2" t="s">
        <v>435</v>
      </c>
      <c r="C3560" s="2">
        <v>199</v>
      </c>
      <c r="D3560" s="2" t="s">
        <v>702</v>
      </c>
      <c r="E3560" s="2" t="s">
        <v>7620</v>
      </c>
      <c r="F3560" s="2" t="s">
        <v>7611</v>
      </c>
      <c r="G3560" s="2" t="s">
        <v>7621</v>
      </c>
    </row>
    <row r="3561" spans="1:7">
      <c r="A3561" s="3">
        <v>153</v>
      </c>
      <c r="B3561" s="3" t="s">
        <v>435</v>
      </c>
      <c r="C3561" s="3">
        <v>200</v>
      </c>
      <c r="D3561" s="3" t="s">
        <v>707</v>
      </c>
      <c r="E3561" s="3" t="s">
        <v>7620</v>
      </c>
      <c r="F3561" s="3" t="s">
        <v>7611</v>
      </c>
      <c r="G3561" s="3" t="s">
        <v>7622</v>
      </c>
    </row>
    <row r="3562" spans="1:7">
      <c r="A3562" s="2">
        <v>153</v>
      </c>
      <c r="B3562" s="2" t="s">
        <v>435</v>
      </c>
      <c r="C3562" s="2">
        <v>205</v>
      </c>
      <c r="D3562" s="2" t="s">
        <v>746</v>
      </c>
      <c r="E3562" s="2" t="s">
        <v>7620</v>
      </c>
      <c r="F3562" s="2" t="s">
        <v>7611</v>
      </c>
      <c r="G3562" s="2" t="s">
        <v>7622</v>
      </c>
    </row>
    <row r="3563" spans="1:7">
      <c r="A3563" s="3">
        <v>153</v>
      </c>
      <c r="B3563" s="3" t="s">
        <v>435</v>
      </c>
      <c r="C3563" s="3">
        <v>207</v>
      </c>
      <c r="D3563" s="3" t="s">
        <v>749</v>
      </c>
      <c r="E3563" s="3" t="s">
        <v>7640</v>
      </c>
      <c r="F3563" s="3" t="s">
        <v>7611</v>
      </c>
      <c r="G3563" s="3" t="s">
        <v>7619</v>
      </c>
    </row>
    <row r="3564" spans="1:7">
      <c r="A3564" s="2">
        <v>153</v>
      </c>
      <c r="B3564" s="2" t="s">
        <v>435</v>
      </c>
      <c r="C3564" s="2">
        <v>208</v>
      </c>
      <c r="D3564" s="2" t="s">
        <v>754</v>
      </c>
      <c r="E3564" s="2" t="s">
        <v>7620</v>
      </c>
      <c r="F3564" s="2" t="s">
        <v>7611</v>
      </c>
      <c r="G3564" s="2" t="s">
        <v>7622</v>
      </c>
    </row>
    <row r="3565" spans="1:7">
      <c r="A3565" s="3">
        <v>153</v>
      </c>
      <c r="B3565" s="3" t="s">
        <v>435</v>
      </c>
      <c r="C3565" s="3">
        <v>209</v>
      </c>
      <c r="D3565" s="3" t="s">
        <v>758</v>
      </c>
      <c r="E3565" s="3" t="s">
        <v>7620</v>
      </c>
      <c r="F3565" s="3" t="s">
        <v>7608</v>
      </c>
      <c r="G3565" s="3" t="s">
        <v>7625</v>
      </c>
    </row>
    <row r="3566" spans="1:7">
      <c r="A3566" s="2">
        <v>153</v>
      </c>
      <c r="B3566" s="2" t="s">
        <v>435</v>
      </c>
      <c r="C3566" s="2">
        <v>221</v>
      </c>
      <c r="D3566" s="2" t="s">
        <v>813</v>
      </c>
      <c r="E3566" s="2" t="s">
        <v>7640</v>
      </c>
      <c r="F3566" s="2" t="s">
        <v>7611</v>
      </c>
      <c r="G3566" s="2" t="s">
        <v>7636</v>
      </c>
    </row>
    <row r="3567" spans="1:7">
      <c r="A3567" s="3">
        <v>153</v>
      </c>
      <c r="B3567" s="3" t="s">
        <v>435</v>
      </c>
      <c r="C3567" s="3">
        <v>264</v>
      </c>
      <c r="D3567" s="3" t="s">
        <v>775</v>
      </c>
      <c r="E3567" s="3" t="s">
        <v>7620</v>
      </c>
      <c r="F3567" s="3" t="s">
        <v>7611</v>
      </c>
      <c r="G3567" s="3" t="s">
        <v>7621</v>
      </c>
    </row>
    <row r="3568" spans="1:7">
      <c r="A3568" s="2">
        <v>153</v>
      </c>
      <c r="B3568" s="2" t="s">
        <v>435</v>
      </c>
      <c r="C3568" s="2">
        <v>341</v>
      </c>
      <c r="D3568" s="2" t="s">
        <v>1052</v>
      </c>
      <c r="E3568" s="2" t="s">
        <v>7620</v>
      </c>
      <c r="F3568" s="2" t="s">
        <v>7611</v>
      </c>
      <c r="G3568" s="2" t="s">
        <v>7609</v>
      </c>
    </row>
    <row r="3569" spans="1:7">
      <c r="A3569" s="3">
        <v>153</v>
      </c>
      <c r="B3569" s="3" t="s">
        <v>435</v>
      </c>
      <c r="C3569" s="3">
        <v>343</v>
      </c>
      <c r="D3569" s="3" t="s">
        <v>977</v>
      </c>
      <c r="E3569" s="3" t="s">
        <v>7620</v>
      </c>
      <c r="F3569" s="3" t="s">
        <v>7611</v>
      </c>
      <c r="G3569" s="3" t="s">
        <v>7625</v>
      </c>
    </row>
    <row r="3570" spans="1:7">
      <c r="A3570" s="2">
        <v>154</v>
      </c>
      <c r="B3570" s="2" t="s">
        <v>589</v>
      </c>
      <c r="C3570" s="2">
        <v>191</v>
      </c>
      <c r="D3570" s="2" t="s">
        <v>719</v>
      </c>
      <c r="E3570" s="2" t="s">
        <v>7620</v>
      </c>
      <c r="F3570" s="2" t="s">
        <v>7611</v>
      </c>
      <c r="G3570" s="2" t="s">
        <v>7625</v>
      </c>
    </row>
    <row r="3571" spans="1:7">
      <c r="A3571" s="3">
        <v>154</v>
      </c>
      <c r="B3571" s="3" t="s">
        <v>589</v>
      </c>
      <c r="C3571" s="3">
        <v>195</v>
      </c>
      <c r="D3571" s="3" t="s">
        <v>734</v>
      </c>
      <c r="E3571" s="3" t="s">
        <v>7620</v>
      </c>
      <c r="F3571" s="3" t="s">
        <v>7611</v>
      </c>
      <c r="G3571" s="3" t="s">
        <v>7621</v>
      </c>
    </row>
    <row r="3572" spans="1:7">
      <c r="A3572" s="2">
        <v>154</v>
      </c>
      <c r="B3572" s="2" t="s">
        <v>589</v>
      </c>
      <c r="C3572" s="2">
        <v>198</v>
      </c>
      <c r="D3572" s="2" t="s">
        <v>698</v>
      </c>
      <c r="E3572" s="2" t="s">
        <v>7620</v>
      </c>
      <c r="F3572" s="2" t="s">
        <v>7611</v>
      </c>
      <c r="G3572" s="2" t="s">
        <v>7622</v>
      </c>
    </row>
    <row r="3573" spans="1:7">
      <c r="A3573" s="3">
        <v>154</v>
      </c>
      <c r="B3573" s="3" t="s">
        <v>589</v>
      </c>
      <c r="C3573" s="3">
        <v>199</v>
      </c>
      <c r="D3573" s="3" t="s">
        <v>702</v>
      </c>
      <c r="E3573" s="3" t="s">
        <v>7620</v>
      </c>
      <c r="F3573" s="3" t="s">
        <v>7611</v>
      </c>
      <c r="G3573" s="3" t="s">
        <v>7625</v>
      </c>
    </row>
    <row r="3574" spans="1:7">
      <c r="A3574" s="2">
        <v>154</v>
      </c>
      <c r="B3574" s="2" t="s">
        <v>589</v>
      </c>
      <c r="C3574" s="2">
        <v>200</v>
      </c>
      <c r="D3574" s="2" t="s">
        <v>707</v>
      </c>
      <c r="E3574" s="2" t="s">
        <v>7620</v>
      </c>
      <c r="F3574" s="2" t="s">
        <v>7611</v>
      </c>
      <c r="G3574" s="2" t="s">
        <v>7622</v>
      </c>
    </row>
    <row r="3575" spans="1:7">
      <c r="A3575" s="3">
        <v>154</v>
      </c>
      <c r="B3575" s="3" t="s">
        <v>589</v>
      </c>
      <c r="C3575" s="3">
        <v>205</v>
      </c>
      <c r="D3575" s="3" t="s">
        <v>746</v>
      </c>
      <c r="E3575" s="3" t="s">
        <v>7620</v>
      </c>
      <c r="F3575" s="3" t="s">
        <v>7611</v>
      </c>
      <c r="G3575" s="3" t="s">
        <v>7621</v>
      </c>
    </row>
    <row r="3576" spans="1:7">
      <c r="A3576" s="2">
        <v>154</v>
      </c>
      <c r="B3576" s="2" t="s">
        <v>589</v>
      </c>
      <c r="C3576" s="2">
        <v>207</v>
      </c>
      <c r="D3576" s="2" t="s">
        <v>749</v>
      </c>
      <c r="E3576" s="2" t="s">
        <v>7640</v>
      </c>
      <c r="F3576" s="2" t="s">
        <v>7611</v>
      </c>
      <c r="G3576" s="2" t="s">
        <v>7636</v>
      </c>
    </row>
    <row r="3577" spans="1:7">
      <c r="A3577" s="3">
        <v>154</v>
      </c>
      <c r="B3577" s="3" t="s">
        <v>589</v>
      </c>
      <c r="C3577" s="3">
        <v>208</v>
      </c>
      <c r="D3577" s="3" t="s">
        <v>754</v>
      </c>
      <c r="E3577" s="3" t="s">
        <v>7620</v>
      </c>
      <c r="F3577" s="3" t="s">
        <v>7611</v>
      </c>
      <c r="G3577" s="3" t="s">
        <v>7625</v>
      </c>
    </row>
    <row r="3578" spans="1:7">
      <c r="A3578" s="2">
        <v>154</v>
      </c>
      <c r="B3578" s="2" t="s">
        <v>589</v>
      </c>
      <c r="C3578" s="2">
        <v>221</v>
      </c>
      <c r="D3578" s="2" t="s">
        <v>813</v>
      </c>
      <c r="E3578" s="2" t="s">
        <v>7640</v>
      </c>
      <c r="F3578" s="2" t="s">
        <v>7611</v>
      </c>
      <c r="G3578" s="2" t="s">
        <v>7609</v>
      </c>
    </row>
    <row r="3579" spans="1:7">
      <c r="A3579" s="3">
        <v>154</v>
      </c>
      <c r="B3579" s="3" t="s">
        <v>589</v>
      </c>
      <c r="C3579" s="3">
        <v>264</v>
      </c>
      <c r="D3579" s="3" t="s">
        <v>775</v>
      </c>
      <c r="E3579" s="3" t="s">
        <v>7620</v>
      </c>
      <c r="F3579" s="3" t="s">
        <v>7611</v>
      </c>
      <c r="G3579" s="3" t="s">
        <v>7625</v>
      </c>
    </row>
    <row r="3580" spans="1:7">
      <c r="A3580" s="2">
        <v>154</v>
      </c>
      <c r="B3580" s="2" t="s">
        <v>589</v>
      </c>
      <c r="C3580" s="2">
        <v>341</v>
      </c>
      <c r="D3580" s="2" t="s">
        <v>1052</v>
      </c>
      <c r="E3580" s="2" t="s">
        <v>7620</v>
      </c>
      <c r="F3580" s="2" t="s">
        <v>7611</v>
      </c>
      <c r="G3580" s="2" t="s">
        <v>7621</v>
      </c>
    </row>
    <row r="3581" spans="1:7">
      <c r="A3581" s="3">
        <v>154</v>
      </c>
      <c r="B3581" s="3" t="s">
        <v>589</v>
      </c>
      <c r="C3581" s="3">
        <v>343</v>
      </c>
      <c r="D3581" s="3" t="s">
        <v>977</v>
      </c>
      <c r="E3581" s="3" t="s">
        <v>7620</v>
      </c>
      <c r="F3581" s="3" t="s">
        <v>7611</v>
      </c>
      <c r="G3581" s="3" t="s">
        <v>7625</v>
      </c>
    </row>
    <row r="3582" spans="1:7">
      <c r="A3582" s="2">
        <v>155</v>
      </c>
      <c r="B3582" s="2" t="s">
        <v>400</v>
      </c>
      <c r="C3582" s="2">
        <v>191</v>
      </c>
      <c r="D3582" s="2" t="s">
        <v>719</v>
      </c>
      <c r="E3582" s="2" t="s">
        <v>7618</v>
      </c>
      <c r="F3582" s="2" t="s">
        <v>7628</v>
      </c>
      <c r="G3582" s="2" t="s">
        <v>7634</v>
      </c>
    </row>
    <row r="3583" spans="1:7">
      <c r="A3583" s="3">
        <v>155</v>
      </c>
      <c r="B3583" s="3" t="s">
        <v>400</v>
      </c>
      <c r="C3583" s="3">
        <v>195</v>
      </c>
      <c r="D3583" s="3" t="s">
        <v>734</v>
      </c>
      <c r="E3583" s="3" t="s">
        <v>7618</v>
      </c>
      <c r="F3583" s="3" t="s">
        <v>7628</v>
      </c>
      <c r="G3583" s="3" t="s">
        <v>7644</v>
      </c>
    </row>
    <row r="3584" spans="1:7">
      <c r="A3584" s="2">
        <v>155</v>
      </c>
      <c r="B3584" s="2" t="s">
        <v>400</v>
      </c>
      <c r="C3584" s="2">
        <v>198</v>
      </c>
      <c r="D3584" s="2" t="s">
        <v>698</v>
      </c>
      <c r="E3584" s="2" t="s">
        <v>7620</v>
      </c>
      <c r="F3584" s="2" t="s">
        <v>7628</v>
      </c>
      <c r="G3584" s="2" t="s">
        <v>7609</v>
      </c>
    </row>
    <row r="3585" spans="1:7">
      <c r="A3585" s="3">
        <v>155</v>
      </c>
      <c r="B3585" s="3" t="s">
        <v>400</v>
      </c>
      <c r="C3585" s="3">
        <v>199</v>
      </c>
      <c r="D3585" s="3" t="s">
        <v>702</v>
      </c>
      <c r="E3585" s="3" t="s">
        <v>7618</v>
      </c>
      <c r="F3585" s="3" t="s">
        <v>7628</v>
      </c>
      <c r="G3585" s="3" t="s">
        <v>7634</v>
      </c>
    </row>
    <row r="3586" spans="1:7">
      <c r="A3586" s="2">
        <v>155</v>
      </c>
      <c r="B3586" s="2" t="s">
        <v>400</v>
      </c>
      <c r="C3586" s="2">
        <v>200</v>
      </c>
      <c r="D3586" s="2" t="s">
        <v>707</v>
      </c>
      <c r="E3586" s="2" t="s">
        <v>7620</v>
      </c>
      <c r="F3586" s="2" t="s">
        <v>7628</v>
      </c>
      <c r="G3586" s="2" t="s">
        <v>7633</v>
      </c>
    </row>
    <row r="3587" spans="1:7">
      <c r="A3587" s="3">
        <v>155</v>
      </c>
      <c r="B3587" s="3" t="s">
        <v>400</v>
      </c>
      <c r="C3587" s="3">
        <v>205</v>
      </c>
      <c r="D3587" s="3" t="s">
        <v>746</v>
      </c>
      <c r="E3587" s="3" t="s">
        <v>7620</v>
      </c>
      <c r="F3587" s="3" t="s">
        <v>7628</v>
      </c>
      <c r="G3587" s="3" t="s">
        <v>7609</v>
      </c>
    </row>
    <row r="3588" spans="1:7">
      <c r="A3588" s="2">
        <v>155</v>
      </c>
      <c r="B3588" s="2" t="s">
        <v>400</v>
      </c>
      <c r="C3588" s="2">
        <v>207</v>
      </c>
      <c r="D3588" s="2" t="s">
        <v>749</v>
      </c>
      <c r="E3588" s="2" t="s">
        <v>7623</v>
      </c>
      <c r="F3588" s="2" t="s">
        <v>7611</v>
      </c>
      <c r="G3588" s="2" t="s">
        <v>7624</v>
      </c>
    </row>
    <row r="3589" spans="1:7">
      <c r="A3589" s="3">
        <v>155</v>
      </c>
      <c r="B3589" s="3" t="s">
        <v>400</v>
      </c>
      <c r="C3589" s="3">
        <v>208</v>
      </c>
      <c r="D3589" s="3" t="s">
        <v>754</v>
      </c>
      <c r="E3589" s="3" t="s">
        <v>7620</v>
      </c>
      <c r="F3589" s="3" t="s">
        <v>7628</v>
      </c>
      <c r="G3589" s="3" t="s">
        <v>7609</v>
      </c>
    </row>
    <row r="3590" spans="1:7">
      <c r="A3590" s="2">
        <v>155</v>
      </c>
      <c r="B3590" s="2" t="s">
        <v>400</v>
      </c>
      <c r="C3590" s="2">
        <v>209</v>
      </c>
      <c r="D3590" s="2" t="s">
        <v>758</v>
      </c>
      <c r="E3590" s="2" t="s">
        <v>7618</v>
      </c>
      <c r="F3590" s="2" t="s">
        <v>7635</v>
      </c>
      <c r="G3590" s="2" t="s">
        <v>7634</v>
      </c>
    </row>
    <row r="3591" spans="1:7">
      <c r="A3591" s="3">
        <v>155</v>
      </c>
      <c r="B3591" s="3" t="s">
        <v>400</v>
      </c>
      <c r="C3591" s="3">
        <v>221</v>
      </c>
      <c r="D3591" s="3" t="s">
        <v>813</v>
      </c>
      <c r="E3591" s="3" t="s">
        <v>7623</v>
      </c>
      <c r="F3591" s="3" t="s">
        <v>7611</v>
      </c>
      <c r="G3591" s="3" t="s">
        <v>7624</v>
      </c>
    </row>
    <row r="3592" spans="1:7">
      <c r="A3592" s="2">
        <v>155</v>
      </c>
      <c r="B3592" s="2" t="s">
        <v>400</v>
      </c>
      <c r="C3592" s="2">
        <v>264</v>
      </c>
      <c r="D3592" s="2" t="s">
        <v>775</v>
      </c>
      <c r="E3592" s="2" t="s">
        <v>7618</v>
      </c>
      <c r="F3592" s="2" t="s">
        <v>7628</v>
      </c>
      <c r="G3592" s="2" t="s">
        <v>7619</v>
      </c>
    </row>
    <row r="3593" spans="1:7">
      <c r="A3593" s="3">
        <v>155</v>
      </c>
      <c r="B3593" s="3" t="s">
        <v>400</v>
      </c>
      <c r="C3593" s="3">
        <v>341</v>
      </c>
      <c r="D3593" s="3" t="s">
        <v>1052</v>
      </c>
      <c r="E3593" s="3" t="s">
        <v>7620</v>
      </c>
      <c r="F3593" s="3" t="s">
        <v>7611</v>
      </c>
      <c r="G3593" s="3" t="s">
        <v>7621</v>
      </c>
    </row>
    <row r="3594" spans="1:7">
      <c r="A3594" s="2">
        <v>155</v>
      </c>
      <c r="B3594" s="2" t="s">
        <v>400</v>
      </c>
      <c r="C3594" s="2">
        <v>343</v>
      </c>
      <c r="D3594" s="2" t="s">
        <v>977</v>
      </c>
      <c r="E3594" s="2" t="s">
        <v>7620</v>
      </c>
      <c r="F3594" s="2" t="s">
        <v>7628</v>
      </c>
      <c r="G3594" s="2" t="s">
        <v>7622</v>
      </c>
    </row>
    <row r="3595" spans="1:7">
      <c r="A3595" s="3">
        <v>156</v>
      </c>
      <c r="B3595" s="3" t="s">
        <v>560</v>
      </c>
      <c r="C3595" s="3">
        <v>189</v>
      </c>
      <c r="D3595" s="3" t="s">
        <v>742</v>
      </c>
      <c r="E3595" s="3" t="s">
        <v>7653</v>
      </c>
      <c r="F3595" s="3" t="s">
        <v>7608</v>
      </c>
      <c r="G3595" s="3" t="s">
        <v>7625</v>
      </c>
    </row>
    <row r="3596" spans="1:7">
      <c r="A3596" s="2">
        <v>156</v>
      </c>
      <c r="B3596" s="2" t="s">
        <v>560</v>
      </c>
      <c r="C3596" s="2">
        <v>191</v>
      </c>
      <c r="D3596" s="2" t="s">
        <v>719</v>
      </c>
      <c r="E3596" s="2" t="s">
        <v>7618</v>
      </c>
      <c r="F3596" s="2" t="s">
        <v>7611</v>
      </c>
      <c r="G3596" s="2" t="s">
        <v>7619</v>
      </c>
    </row>
    <row r="3597" spans="1:7">
      <c r="A3597" s="3">
        <v>156</v>
      </c>
      <c r="B3597" s="3" t="s">
        <v>560</v>
      </c>
      <c r="C3597" s="3">
        <v>195</v>
      </c>
      <c r="D3597" s="3" t="s">
        <v>734</v>
      </c>
      <c r="E3597" s="3" t="s">
        <v>7618</v>
      </c>
      <c r="F3597" s="3" t="s">
        <v>7611</v>
      </c>
      <c r="G3597" s="3" t="s">
        <v>7619</v>
      </c>
    </row>
    <row r="3598" spans="1:7">
      <c r="A3598" s="2">
        <v>156</v>
      </c>
      <c r="B3598" s="2" t="s">
        <v>560</v>
      </c>
      <c r="C3598" s="2">
        <v>198</v>
      </c>
      <c r="D3598" s="2" t="s">
        <v>698</v>
      </c>
      <c r="E3598" s="2" t="s">
        <v>7620</v>
      </c>
      <c r="F3598" s="2" t="s">
        <v>7611</v>
      </c>
      <c r="G3598" s="2" t="s">
        <v>7633</v>
      </c>
    </row>
    <row r="3599" spans="1:7">
      <c r="A3599" s="3">
        <v>156</v>
      </c>
      <c r="B3599" s="3" t="s">
        <v>560</v>
      </c>
      <c r="C3599" s="3">
        <v>199</v>
      </c>
      <c r="D3599" s="3" t="s">
        <v>702</v>
      </c>
      <c r="E3599" s="3" t="s">
        <v>7660</v>
      </c>
      <c r="F3599" s="3" t="s">
        <v>7611</v>
      </c>
      <c r="G3599" s="3" t="s">
        <v>7632</v>
      </c>
    </row>
    <row r="3600" spans="1:7">
      <c r="A3600" s="2">
        <v>156</v>
      </c>
      <c r="B3600" s="2" t="s">
        <v>560</v>
      </c>
      <c r="C3600" s="2">
        <v>200</v>
      </c>
      <c r="D3600" s="2" t="s">
        <v>707</v>
      </c>
      <c r="E3600" s="2" t="s">
        <v>7654</v>
      </c>
      <c r="F3600" s="2" t="s">
        <v>7611</v>
      </c>
      <c r="G3600" s="2" t="s">
        <v>7636</v>
      </c>
    </row>
    <row r="3601" spans="1:7">
      <c r="A3601" s="3">
        <v>156</v>
      </c>
      <c r="B3601" s="3" t="s">
        <v>560</v>
      </c>
      <c r="C3601" s="3">
        <v>205</v>
      </c>
      <c r="D3601" s="3" t="s">
        <v>746</v>
      </c>
      <c r="E3601" s="3" t="s">
        <v>7620</v>
      </c>
      <c r="F3601" s="3" t="s">
        <v>7611</v>
      </c>
      <c r="G3601" s="3" t="s">
        <v>7621</v>
      </c>
    </row>
    <row r="3602" spans="1:7">
      <c r="A3602" s="2">
        <v>156</v>
      </c>
      <c r="B3602" s="2" t="s">
        <v>560</v>
      </c>
      <c r="C3602" s="2">
        <v>207</v>
      </c>
      <c r="D3602" s="2" t="s">
        <v>749</v>
      </c>
      <c r="E3602" s="2" t="s">
        <v>7618</v>
      </c>
      <c r="F3602" s="2" t="s">
        <v>7611</v>
      </c>
      <c r="G3602" s="2" t="s">
        <v>7636</v>
      </c>
    </row>
    <row r="3603" spans="1:7">
      <c r="A3603" s="3">
        <v>156</v>
      </c>
      <c r="B3603" s="3" t="s">
        <v>560</v>
      </c>
      <c r="C3603" s="3">
        <v>208</v>
      </c>
      <c r="D3603" s="3" t="s">
        <v>754</v>
      </c>
      <c r="E3603" s="3" t="s">
        <v>7620</v>
      </c>
      <c r="F3603" s="3" t="s">
        <v>7611</v>
      </c>
      <c r="G3603" s="3" t="s">
        <v>7633</v>
      </c>
    </row>
    <row r="3604" spans="1:7">
      <c r="A3604" s="2">
        <v>156</v>
      </c>
      <c r="B3604" s="2" t="s">
        <v>560</v>
      </c>
      <c r="C3604" s="2">
        <v>209</v>
      </c>
      <c r="D3604" s="2" t="s">
        <v>758</v>
      </c>
      <c r="E3604" s="2" t="s">
        <v>7618</v>
      </c>
      <c r="F3604" s="2" t="s">
        <v>7608</v>
      </c>
      <c r="G3604" s="2" t="s">
        <v>7617</v>
      </c>
    </row>
    <row r="3605" spans="1:7">
      <c r="A3605" s="3">
        <v>156</v>
      </c>
      <c r="B3605" s="3" t="s">
        <v>560</v>
      </c>
      <c r="C3605" s="3">
        <v>221</v>
      </c>
      <c r="D3605" s="3" t="s">
        <v>813</v>
      </c>
      <c r="E3605" s="3" t="s">
        <v>7618</v>
      </c>
      <c r="F3605" s="3" t="s">
        <v>7611</v>
      </c>
      <c r="G3605" s="3" t="s">
        <v>7617</v>
      </c>
    </row>
    <row r="3606" spans="1:7">
      <c r="A3606" s="2">
        <v>156</v>
      </c>
      <c r="B3606" s="2" t="s">
        <v>560</v>
      </c>
      <c r="C3606" s="2">
        <v>264</v>
      </c>
      <c r="D3606" s="2" t="s">
        <v>775</v>
      </c>
      <c r="E3606" s="2" t="s">
        <v>7618</v>
      </c>
      <c r="F3606" s="2" t="s">
        <v>7611</v>
      </c>
      <c r="G3606" s="2" t="s">
        <v>7617</v>
      </c>
    </row>
    <row r="3607" spans="1:7">
      <c r="A3607" s="3">
        <v>156</v>
      </c>
      <c r="B3607" s="3" t="s">
        <v>560</v>
      </c>
      <c r="C3607" s="3">
        <v>341</v>
      </c>
      <c r="D3607" s="3" t="s">
        <v>1052</v>
      </c>
      <c r="E3607" s="3" t="s">
        <v>7620</v>
      </c>
      <c r="F3607" s="3" t="s">
        <v>7611</v>
      </c>
      <c r="G3607" s="3" t="s">
        <v>7633</v>
      </c>
    </row>
    <row r="3608" spans="1:7">
      <c r="A3608" s="2">
        <v>156</v>
      </c>
      <c r="B3608" s="2" t="s">
        <v>560</v>
      </c>
      <c r="C3608" s="2">
        <v>343</v>
      </c>
      <c r="D3608" s="2" t="s">
        <v>977</v>
      </c>
      <c r="E3608" s="2" t="s">
        <v>7620</v>
      </c>
      <c r="F3608" s="2" t="s">
        <v>7611</v>
      </c>
      <c r="G3608" s="2" t="s">
        <v>7621</v>
      </c>
    </row>
    <row r="3609" spans="1:7">
      <c r="A3609" s="3">
        <v>157</v>
      </c>
      <c r="B3609" s="3" t="s">
        <v>556</v>
      </c>
      <c r="C3609" s="3">
        <v>189</v>
      </c>
      <c r="D3609" s="3" t="s">
        <v>742</v>
      </c>
      <c r="E3609" s="3" t="s">
        <v>7653</v>
      </c>
      <c r="F3609" s="3" t="s">
        <v>7608</v>
      </c>
      <c r="G3609" s="3" t="s">
        <v>7625</v>
      </c>
    </row>
    <row r="3610" spans="1:7">
      <c r="A3610" s="2">
        <v>157</v>
      </c>
      <c r="B3610" s="2" t="s">
        <v>556</v>
      </c>
      <c r="C3610" s="2">
        <v>191</v>
      </c>
      <c r="D3610" s="2" t="s">
        <v>719</v>
      </c>
      <c r="E3610" s="2" t="s">
        <v>7618</v>
      </c>
      <c r="F3610" s="2" t="s">
        <v>7611</v>
      </c>
      <c r="G3610" s="2" t="s">
        <v>7619</v>
      </c>
    </row>
    <row r="3611" spans="1:7">
      <c r="A3611" s="3">
        <v>157</v>
      </c>
      <c r="B3611" s="3" t="s">
        <v>556</v>
      </c>
      <c r="C3611" s="3">
        <v>195</v>
      </c>
      <c r="D3611" s="3" t="s">
        <v>734</v>
      </c>
      <c r="E3611" s="3" t="s">
        <v>7618</v>
      </c>
      <c r="F3611" s="3" t="s">
        <v>7611</v>
      </c>
      <c r="G3611" s="3" t="s">
        <v>7619</v>
      </c>
    </row>
    <row r="3612" spans="1:7">
      <c r="A3612" s="2">
        <v>157</v>
      </c>
      <c r="B3612" s="2" t="s">
        <v>556</v>
      </c>
      <c r="C3612" s="2">
        <v>198</v>
      </c>
      <c r="D3612" s="2" t="s">
        <v>698</v>
      </c>
      <c r="E3612" s="2" t="s">
        <v>7620</v>
      </c>
      <c r="F3612" s="2" t="s">
        <v>7611</v>
      </c>
      <c r="G3612" s="2" t="s">
        <v>7633</v>
      </c>
    </row>
    <row r="3613" spans="1:7">
      <c r="A3613" s="3">
        <v>157</v>
      </c>
      <c r="B3613" s="3" t="s">
        <v>556</v>
      </c>
      <c r="C3613" s="3">
        <v>199</v>
      </c>
      <c r="D3613" s="3" t="s">
        <v>702</v>
      </c>
      <c r="E3613" s="3" t="s">
        <v>7660</v>
      </c>
      <c r="F3613" s="3" t="s">
        <v>7611</v>
      </c>
      <c r="G3613" s="3" t="s">
        <v>7632</v>
      </c>
    </row>
    <row r="3614" spans="1:7">
      <c r="A3614" s="2">
        <v>157</v>
      </c>
      <c r="B3614" s="2" t="s">
        <v>556</v>
      </c>
      <c r="C3614" s="2">
        <v>200</v>
      </c>
      <c r="D3614" s="2" t="s">
        <v>707</v>
      </c>
      <c r="E3614" s="2" t="s">
        <v>7654</v>
      </c>
      <c r="F3614" s="2" t="s">
        <v>7611</v>
      </c>
      <c r="G3614" s="2" t="s">
        <v>7636</v>
      </c>
    </row>
    <row r="3615" spans="1:7">
      <c r="A3615" s="3">
        <v>157</v>
      </c>
      <c r="B3615" s="3" t="s">
        <v>556</v>
      </c>
      <c r="C3615" s="3">
        <v>205</v>
      </c>
      <c r="D3615" s="3" t="s">
        <v>746</v>
      </c>
      <c r="E3615" s="3" t="s">
        <v>7620</v>
      </c>
      <c r="F3615" s="3" t="s">
        <v>7611</v>
      </c>
      <c r="G3615" s="3" t="s">
        <v>7621</v>
      </c>
    </row>
    <row r="3616" spans="1:7">
      <c r="A3616" s="2">
        <v>157</v>
      </c>
      <c r="B3616" s="2" t="s">
        <v>556</v>
      </c>
      <c r="C3616" s="2">
        <v>207</v>
      </c>
      <c r="D3616" s="2" t="s">
        <v>749</v>
      </c>
      <c r="E3616" s="2" t="s">
        <v>7618</v>
      </c>
      <c r="F3616" s="2" t="s">
        <v>7611</v>
      </c>
      <c r="G3616" s="2" t="s">
        <v>7636</v>
      </c>
    </row>
    <row r="3617" spans="1:7">
      <c r="A3617" s="3">
        <v>157</v>
      </c>
      <c r="B3617" s="3" t="s">
        <v>556</v>
      </c>
      <c r="C3617" s="3">
        <v>208</v>
      </c>
      <c r="D3617" s="3" t="s">
        <v>754</v>
      </c>
      <c r="E3617" s="3" t="s">
        <v>7620</v>
      </c>
      <c r="F3617" s="3" t="s">
        <v>7611</v>
      </c>
      <c r="G3617" s="3" t="s">
        <v>7633</v>
      </c>
    </row>
    <row r="3618" spans="1:7">
      <c r="A3618" s="2">
        <v>157</v>
      </c>
      <c r="B3618" s="2" t="s">
        <v>556</v>
      </c>
      <c r="C3618" s="2">
        <v>209</v>
      </c>
      <c r="D3618" s="2" t="s">
        <v>758</v>
      </c>
      <c r="E3618" s="2" t="s">
        <v>7618</v>
      </c>
      <c r="F3618" s="2" t="s">
        <v>7608</v>
      </c>
      <c r="G3618" s="2" t="s">
        <v>7617</v>
      </c>
    </row>
    <row r="3619" spans="1:7">
      <c r="A3619" s="3">
        <v>157</v>
      </c>
      <c r="B3619" s="3" t="s">
        <v>556</v>
      </c>
      <c r="C3619" s="3">
        <v>221</v>
      </c>
      <c r="D3619" s="3" t="s">
        <v>813</v>
      </c>
      <c r="E3619" s="3" t="s">
        <v>7618</v>
      </c>
      <c r="F3619" s="3" t="s">
        <v>7611</v>
      </c>
      <c r="G3619" s="3" t="s">
        <v>7617</v>
      </c>
    </row>
    <row r="3620" spans="1:7">
      <c r="A3620" s="2">
        <v>157</v>
      </c>
      <c r="B3620" s="2" t="s">
        <v>556</v>
      </c>
      <c r="C3620" s="2">
        <v>264</v>
      </c>
      <c r="D3620" s="2" t="s">
        <v>775</v>
      </c>
      <c r="E3620" s="2" t="s">
        <v>7618</v>
      </c>
      <c r="F3620" s="2" t="s">
        <v>7611</v>
      </c>
      <c r="G3620" s="2" t="s">
        <v>7617</v>
      </c>
    </row>
    <row r="3621" spans="1:7">
      <c r="A3621" s="3">
        <v>157</v>
      </c>
      <c r="B3621" s="3" t="s">
        <v>556</v>
      </c>
      <c r="C3621" s="3">
        <v>341</v>
      </c>
      <c r="D3621" s="3" t="s">
        <v>1052</v>
      </c>
      <c r="E3621" s="3" t="s">
        <v>7620</v>
      </c>
      <c r="F3621" s="3" t="s">
        <v>7611</v>
      </c>
      <c r="G3621" s="3" t="s">
        <v>7633</v>
      </c>
    </row>
    <row r="3622" spans="1:7">
      <c r="A3622" s="2">
        <v>157</v>
      </c>
      <c r="B3622" s="2" t="s">
        <v>556</v>
      </c>
      <c r="C3622" s="2">
        <v>343</v>
      </c>
      <c r="D3622" s="2" t="s">
        <v>977</v>
      </c>
      <c r="E3622" s="2" t="s">
        <v>7620</v>
      </c>
      <c r="F3622" s="2" t="s">
        <v>7611</v>
      </c>
      <c r="G3622" s="2" t="s">
        <v>7621</v>
      </c>
    </row>
    <row r="3623" spans="1:7">
      <c r="A3623" s="3">
        <v>158</v>
      </c>
      <c r="B3623" s="3" t="s">
        <v>521</v>
      </c>
      <c r="C3623" s="3">
        <v>189</v>
      </c>
      <c r="D3623" s="3" t="s">
        <v>742</v>
      </c>
      <c r="E3623" s="3" t="s">
        <v>7653</v>
      </c>
      <c r="F3623" s="3" t="s">
        <v>7608</v>
      </c>
      <c r="G3623" s="3" t="s">
        <v>7625</v>
      </c>
    </row>
    <row r="3624" spans="1:7">
      <c r="A3624" s="2">
        <v>158</v>
      </c>
      <c r="B3624" s="2" t="s">
        <v>521</v>
      </c>
      <c r="C3624" s="2">
        <v>191</v>
      </c>
      <c r="D3624" s="2" t="s">
        <v>719</v>
      </c>
      <c r="E3624" s="2" t="s">
        <v>7618</v>
      </c>
      <c r="F3624" s="2" t="s">
        <v>7611</v>
      </c>
      <c r="G3624" s="2" t="s">
        <v>7636</v>
      </c>
    </row>
    <row r="3625" spans="1:7">
      <c r="A3625" s="3">
        <v>158</v>
      </c>
      <c r="B3625" s="3" t="s">
        <v>521</v>
      </c>
      <c r="C3625" s="3">
        <v>195</v>
      </c>
      <c r="D3625" s="3" t="s">
        <v>734</v>
      </c>
      <c r="E3625" s="3" t="s">
        <v>7618</v>
      </c>
      <c r="F3625" s="3" t="s">
        <v>7611</v>
      </c>
      <c r="G3625" s="3" t="s">
        <v>7617</v>
      </c>
    </row>
    <row r="3626" spans="1:7">
      <c r="A3626" s="2">
        <v>158</v>
      </c>
      <c r="B3626" s="2" t="s">
        <v>521</v>
      </c>
      <c r="C3626" s="2">
        <v>198</v>
      </c>
      <c r="D3626" s="2" t="s">
        <v>698</v>
      </c>
      <c r="E3626" s="2" t="s">
        <v>7620</v>
      </c>
      <c r="F3626" s="2" t="s">
        <v>7611</v>
      </c>
      <c r="G3626" s="2" t="s">
        <v>7622</v>
      </c>
    </row>
    <row r="3627" spans="1:7">
      <c r="A3627" s="3">
        <v>158</v>
      </c>
      <c r="B3627" s="3" t="s">
        <v>521</v>
      </c>
      <c r="C3627" s="3">
        <v>199</v>
      </c>
      <c r="D3627" s="3" t="s">
        <v>702</v>
      </c>
      <c r="E3627" s="3" t="s">
        <v>7660</v>
      </c>
      <c r="F3627" s="3" t="s">
        <v>7611</v>
      </c>
      <c r="G3627" s="3" t="s">
        <v>7624</v>
      </c>
    </row>
    <row r="3628" spans="1:7">
      <c r="A3628" s="2">
        <v>158</v>
      </c>
      <c r="B3628" s="2" t="s">
        <v>521</v>
      </c>
      <c r="C3628" s="2">
        <v>200</v>
      </c>
      <c r="D3628" s="2" t="s">
        <v>707</v>
      </c>
      <c r="E3628" s="2" t="s">
        <v>7654</v>
      </c>
      <c r="F3628" s="2" t="s">
        <v>7611</v>
      </c>
      <c r="G3628" s="2" t="s">
        <v>7636</v>
      </c>
    </row>
    <row r="3629" spans="1:7">
      <c r="A3629" s="3">
        <v>158</v>
      </c>
      <c r="B3629" s="3" t="s">
        <v>521</v>
      </c>
      <c r="C3629" s="3">
        <v>205</v>
      </c>
      <c r="D3629" s="3" t="s">
        <v>746</v>
      </c>
      <c r="E3629" s="3" t="s">
        <v>7620</v>
      </c>
      <c r="F3629" s="3" t="s">
        <v>7611</v>
      </c>
      <c r="G3629" s="3" t="s">
        <v>7621</v>
      </c>
    </row>
    <row r="3630" spans="1:7">
      <c r="A3630" s="2">
        <v>158</v>
      </c>
      <c r="B3630" s="2" t="s">
        <v>521</v>
      </c>
      <c r="C3630" s="2">
        <v>207</v>
      </c>
      <c r="D3630" s="2" t="s">
        <v>749</v>
      </c>
      <c r="E3630" s="2" t="s">
        <v>7618</v>
      </c>
      <c r="F3630" s="2" t="s">
        <v>7611</v>
      </c>
      <c r="G3630" s="2" t="s">
        <v>7636</v>
      </c>
    </row>
    <row r="3631" spans="1:7">
      <c r="A3631" s="3">
        <v>158</v>
      </c>
      <c r="B3631" s="3" t="s">
        <v>521</v>
      </c>
      <c r="C3631" s="3">
        <v>208</v>
      </c>
      <c r="D3631" s="3" t="s">
        <v>754</v>
      </c>
      <c r="E3631" s="3" t="s">
        <v>7620</v>
      </c>
      <c r="F3631" s="3" t="s">
        <v>7611</v>
      </c>
      <c r="G3631" s="3" t="s">
        <v>7621</v>
      </c>
    </row>
    <row r="3632" spans="1:7">
      <c r="A3632" s="2">
        <v>158</v>
      </c>
      <c r="B3632" s="2" t="s">
        <v>521</v>
      </c>
      <c r="C3632" s="2">
        <v>209</v>
      </c>
      <c r="D3632" s="2" t="s">
        <v>758</v>
      </c>
      <c r="E3632" s="2" t="s">
        <v>7618</v>
      </c>
      <c r="F3632" s="2" t="s">
        <v>7608</v>
      </c>
      <c r="G3632" s="2" t="s">
        <v>7633</v>
      </c>
    </row>
    <row r="3633" spans="1:7">
      <c r="A3633" s="3">
        <v>158</v>
      </c>
      <c r="B3633" s="3" t="s">
        <v>521</v>
      </c>
      <c r="C3633" s="3">
        <v>221</v>
      </c>
      <c r="D3633" s="3" t="s">
        <v>813</v>
      </c>
      <c r="E3633" s="3" t="s">
        <v>7618</v>
      </c>
      <c r="F3633" s="3" t="s">
        <v>7611</v>
      </c>
      <c r="G3633" s="3" t="s">
        <v>7617</v>
      </c>
    </row>
    <row r="3634" spans="1:7">
      <c r="A3634" s="2">
        <v>158</v>
      </c>
      <c r="B3634" s="2" t="s">
        <v>521</v>
      </c>
      <c r="C3634" s="2">
        <v>264</v>
      </c>
      <c r="D3634" s="2" t="s">
        <v>775</v>
      </c>
      <c r="E3634" s="2" t="s">
        <v>7618</v>
      </c>
      <c r="F3634" s="2" t="s">
        <v>7611</v>
      </c>
      <c r="G3634" s="2" t="s">
        <v>7617</v>
      </c>
    </row>
    <row r="3635" spans="1:7">
      <c r="A3635" s="3">
        <v>158</v>
      </c>
      <c r="B3635" s="3" t="s">
        <v>521</v>
      </c>
      <c r="C3635" s="3">
        <v>341</v>
      </c>
      <c r="D3635" s="3" t="s">
        <v>1052</v>
      </c>
      <c r="E3635" s="3" t="s">
        <v>7620</v>
      </c>
      <c r="F3635" s="3" t="s">
        <v>7611</v>
      </c>
      <c r="G3635" s="3" t="s">
        <v>7622</v>
      </c>
    </row>
    <row r="3636" spans="1:7">
      <c r="A3636" s="2">
        <v>158</v>
      </c>
      <c r="B3636" s="2" t="s">
        <v>521</v>
      </c>
      <c r="C3636" s="2">
        <v>343</v>
      </c>
      <c r="D3636" s="2" t="s">
        <v>977</v>
      </c>
      <c r="E3636" s="2" t="s">
        <v>7620</v>
      </c>
      <c r="F3636" s="2" t="s">
        <v>7611</v>
      </c>
      <c r="G3636" s="2" t="s">
        <v>7625</v>
      </c>
    </row>
    <row r="3637" spans="1:7">
      <c r="A3637" s="3">
        <v>159</v>
      </c>
      <c r="B3637" s="3" t="s">
        <v>598</v>
      </c>
      <c r="C3637" s="3">
        <v>191</v>
      </c>
      <c r="D3637" s="3" t="s">
        <v>719</v>
      </c>
      <c r="E3637" s="3" t="s">
        <v>7620</v>
      </c>
      <c r="F3637" s="3" t="s">
        <v>7611</v>
      </c>
      <c r="G3637" s="3" t="s">
        <v>7633</v>
      </c>
    </row>
    <row r="3638" spans="1:7">
      <c r="A3638" s="2">
        <v>159</v>
      </c>
      <c r="B3638" s="2" t="s">
        <v>598</v>
      </c>
      <c r="C3638" s="2">
        <v>195</v>
      </c>
      <c r="D3638" s="2" t="s">
        <v>734</v>
      </c>
      <c r="E3638" s="2" t="s">
        <v>7620</v>
      </c>
      <c r="F3638" s="2" t="s">
        <v>7611</v>
      </c>
      <c r="G3638" s="2" t="s">
        <v>7609</v>
      </c>
    </row>
    <row r="3639" spans="1:7">
      <c r="A3639" s="3">
        <v>159</v>
      </c>
      <c r="B3639" s="3" t="s">
        <v>598</v>
      </c>
      <c r="C3639" s="3">
        <v>198</v>
      </c>
      <c r="D3639" s="3" t="s">
        <v>698</v>
      </c>
      <c r="E3639" s="3" t="s">
        <v>7620</v>
      </c>
      <c r="F3639" s="3" t="s">
        <v>7611</v>
      </c>
      <c r="G3639" s="3" t="s">
        <v>7609</v>
      </c>
    </row>
    <row r="3640" spans="1:7">
      <c r="A3640" s="2">
        <v>159</v>
      </c>
      <c r="B3640" s="2" t="s">
        <v>598</v>
      </c>
      <c r="C3640" s="2">
        <v>199</v>
      </c>
      <c r="D3640" s="2" t="s">
        <v>702</v>
      </c>
      <c r="E3640" s="2" t="s">
        <v>7620</v>
      </c>
      <c r="F3640" s="2" t="s">
        <v>7611</v>
      </c>
      <c r="G3640" s="2" t="s">
        <v>7622</v>
      </c>
    </row>
    <row r="3641" spans="1:7">
      <c r="A3641" s="3">
        <v>159</v>
      </c>
      <c r="B3641" s="3" t="s">
        <v>598</v>
      </c>
      <c r="C3641" s="3">
        <v>200</v>
      </c>
      <c r="D3641" s="3" t="s">
        <v>707</v>
      </c>
      <c r="E3641" s="3" t="s">
        <v>7620</v>
      </c>
      <c r="F3641" s="3" t="s">
        <v>7611</v>
      </c>
      <c r="G3641" s="3" t="s">
        <v>7633</v>
      </c>
    </row>
    <row r="3642" spans="1:7">
      <c r="A3642" s="2">
        <v>159</v>
      </c>
      <c r="B3642" s="2" t="s">
        <v>598</v>
      </c>
      <c r="C3642" s="2">
        <v>205</v>
      </c>
      <c r="D3642" s="2" t="s">
        <v>746</v>
      </c>
      <c r="E3642" s="2" t="s">
        <v>7620</v>
      </c>
      <c r="F3642" s="2" t="s">
        <v>7611</v>
      </c>
      <c r="G3642" s="2" t="s">
        <v>7622</v>
      </c>
    </row>
    <row r="3643" spans="1:7">
      <c r="A3643" s="3">
        <v>159</v>
      </c>
      <c r="B3643" s="3" t="s">
        <v>598</v>
      </c>
      <c r="C3643" s="3">
        <v>207</v>
      </c>
      <c r="D3643" s="3" t="s">
        <v>749</v>
      </c>
      <c r="E3643" s="3" t="s">
        <v>7620</v>
      </c>
      <c r="F3643" s="3" t="s">
        <v>7611</v>
      </c>
      <c r="G3643" s="3" t="s">
        <v>7633</v>
      </c>
    </row>
    <row r="3644" spans="1:7">
      <c r="A3644" s="2">
        <v>159</v>
      </c>
      <c r="B3644" s="2" t="s">
        <v>598</v>
      </c>
      <c r="C3644" s="2">
        <v>208</v>
      </c>
      <c r="D3644" s="2" t="s">
        <v>754</v>
      </c>
      <c r="E3644" s="2" t="s">
        <v>7620</v>
      </c>
      <c r="F3644" s="2" t="s">
        <v>7611</v>
      </c>
      <c r="G3644" s="2" t="s">
        <v>7633</v>
      </c>
    </row>
    <row r="3645" spans="1:7">
      <c r="A3645" s="3">
        <v>159</v>
      </c>
      <c r="B3645" s="3" t="s">
        <v>598</v>
      </c>
      <c r="C3645" s="3">
        <v>209</v>
      </c>
      <c r="D3645" s="3" t="s">
        <v>758</v>
      </c>
      <c r="E3645" s="3" t="s">
        <v>7620</v>
      </c>
      <c r="F3645" s="3" t="s">
        <v>7608</v>
      </c>
      <c r="G3645" s="3" t="s">
        <v>7622</v>
      </c>
    </row>
    <row r="3646" spans="1:7">
      <c r="A3646" s="2">
        <v>159</v>
      </c>
      <c r="B3646" s="2" t="s">
        <v>598</v>
      </c>
      <c r="C3646" s="2">
        <v>221</v>
      </c>
      <c r="D3646" s="2" t="s">
        <v>813</v>
      </c>
      <c r="E3646" s="2" t="s">
        <v>7620</v>
      </c>
      <c r="F3646" s="2" t="s">
        <v>7611</v>
      </c>
      <c r="G3646" s="2" t="s">
        <v>7621</v>
      </c>
    </row>
    <row r="3647" spans="1:7">
      <c r="A3647" s="3">
        <v>159</v>
      </c>
      <c r="B3647" s="3" t="s">
        <v>598</v>
      </c>
      <c r="C3647" s="3">
        <v>264</v>
      </c>
      <c r="D3647" s="3" t="s">
        <v>775</v>
      </c>
      <c r="E3647" s="3" t="s">
        <v>7620</v>
      </c>
      <c r="F3647" s="3" t="s">
        <v>7611</v>
      </c>
      <c r="G3647" s="3" t="s">
        <v>7621</v>
      </c>
    </row>
    <row r="3648" spans="1:7">
      <c r="A3648" s="2">
        <v>159</v>
      </c>
      <c r="B3648" s="2" t="s">
        <v>598</v>
      </c>
      <c r="C3648" s="2">
        <v>341</v>
      </c>
      <c r="D3648" s="2" t="s">
        <v>1052</v>
      </c>
      <c r="E3648" s="2" t="s">
        <v>7620</v>
      </c>
      <c r="F3648" s="2" t="s">
        <v>7611</v>
      </c>
      <c r="G3648" s="2" t="s">
        <v>7633</v>
      </c>
    </row>
    <row r="3649" spans="1:7">
      <c r="A3649" s="3">
        <v>159</v>
      </c>
      <c r="B3649" s="3" t="s">
        <v>598</v>
      </c>
      <c r="C3649" s="3">
        <v>343</v>
      </c>
      <c r="D3649" s="3" t="s">
        <v>977</v>
      </c>
      <c r="E3649" s="3" t="s">
        <v>7620</v>
      </c>
      <c r="F3649" s="3" t="s">
        <v>7611</v>
      </c>
      <c r="G3649" s="3" t="s">
        <v>7621</v>
      </c>
    </row>
    <row r="3650" spans="1:7">
      <c r="A3650" s="2">
        <v>160</v>
      </c>
      <c r="B3650" s="2" t="s">
        <v>425</v>
      </c>
      <c r="C3650" s="2">
        <v>181</v>
      </c>
      <c r="D3650" s="2" t="s">
        <v>653</v>
      </c>
      <c r="E3650" s="2" t="s">
        <v>7608</v>
      </c>
      <c r="F3650" s="2" t="s">
        <v>7713</v>
      </c>
      <c r="G3650" s="2" t="s">
        <v>7621</v>
      </c>
    </row>
    <row r="3651" spans="1:7">
      <c r="A3651" s="3">
        <v>160</v>
      </c>
      <c r="B3651" s="3" t="s">
        <v>425</v>
      </c>
      <c r="C3651" s="3">
        <v>191</v>
      </c>
      <c r="D3651" s="3" t="s">
        <v>719</v>
      </c>
      <c r="E3651" s="3" t="s">
        <v>7618</v>
      </c>
      <c r="F3651" s="3" t="s">
        <v>7659</v>
      </c>
      <c r="G3651" s="3" t="s">
        <v>7632</v>
      </c>
    </row>
    <row r="3652" spans="1:7">
      <c r="A3652" s="2">
        <v>160</v>
      </c>
      <c r="B3652" s="2" t="s">
        <v>425</v>
      </c>
      <c r="C3652" s="2">
        <v>195</v>
      </c>
      <c r="D3652" s="2" t="s">
        <v>734</v>
      </c>
      <c r="E3652" s="2" t="s">
        <v>7618</v>
      </c>
      <c r="F3652" s="2" t="s">
        <v>7659</v>
      </c>
      <c r="G3652" s="2" t="s">
        <v>7641</v>
      </c>
    </row>
    <row r="3653" spans="1:7">
      <c r="A3653" s="3">
        <v>160</v>
      </c>
      <c r="B3653" s="3" t="s">
        <v>425</v>
      </c>
      <c r="C3653" s="3">
        <v>198</v>
      </c>
      <c r="D3653" s="3" t="s">
        <v>698</v>
      </c>
      <c r="E3653" s="3" t="s">
        <v>7620</v>
      </c>
      <c r="F3653" s="3" t="s">
        <v>7659</v>
      </c>
      <c r="G3653" s="3" t="s">
        <v>7636</v>
      </c>
    </row>
    <row r="3654" spans="1:7">
      <c r="A3654" s="2">
        <v>160</v>
      </c>
      <c r="B3654" s="2" t="s">
        <v>425</v>
      </c>
      <c r="C3654" s="2">
        <v>199</v>
      </c>
      <c r="D3654" s="2" t="s">
        <v>702</v>
      </c>
      <c r="E3654" s="2" t="s">
        <v>7618</v>
      </c>
      <c r="F3654" s="2" t="s">
        <v>7659</v>
      </c>
      <c r="G3654" s="2" t="s">
        <v>7632</v>
      </c>
    </row>
    <row r="3655" spans="1:7">
      <c r="A3655" s="3">
        <v>160</v>
      </c>
      <c r="B3655" s="3" t="s">
        <v>425</v>
      </c>
      <c r="C3655" s="3">
        <v>200</v>
      </c>
      <c r="D3655" s="3" t="s">
        <v>707</v>
      </c>
      <c r="E3655" s="3" t="s">
        <v>7620</v>
      </c>
      <c r="F3655" s="3" t="s">
        <v>7659</v>
      </c>
      <c r="G3655" s="3" t="s">
        <v>7617</v>
      </c>
    </row>
    <row r="3656" spans="1:7">
      <c r="A3656" s="2">
        <v>160</v>
      </c>
      <c r="B3656" s="2" t="s">
        <v>425</v>
      </c>
      <c r="C3656" s="2">
        <v>201</v>
      </c>
      <c r="D3656" s="2" t="s">
        <v>695</v>
      </c>
      <c r="E3656" s="2" t="s">
        <v>7608</v>
      </c>
      <c r="F3656" s="2" t="s">
        <v>7659</v>
      </c>
      <c r="G3656" s="2" t="s">
        <v>7625</v>
      </c>
    </row>
    <row r="3657" spans="1:7">
      <c r="A3657" s="3">
        <v>160</v>
      </c>
      <c r="B3657" s="3" t="s">
        <v>425</v>
      </c>
      <c r="C3657" s="3">
        <v>204</v>
      </c>
      <c r="D3657" s="3" t="s">
        <v>685</v>
      </c>
      <c r="E3657" s="3" t="s">
        <v>7608</v>
      </c>
      <c r="F3657" s="3" t="s">
        <v>7659</v>
      </c>
      <c r="G3657" s="3" t="s">
        <v>7625</v>
      </c>
    </row>
    <row r="3658" spans="1:7">
      <c r="A3658" s="2">
        <v>160</v>
      </c>
      <c r="B3658" s="2" t="s">
        <v>425</v>
      </c>
      <c r="C3658" s="2">
        <v>205</v>
      </c>
      <c r="D3658" s="2" t="s">
        <v>746</v>
      </c>
      <c r="E3658" s="2" t="s">
        <v>7620</v>
      </c>
      <c r="F3658" s="2" t="s">
        <v>7628</v>
      </c>
      <c r="G3658" s="2" t="s">
        <v>7609</v>
      </c>
    </row>
    <row r="3659" spans="1:7">
      <c r="A3659" s="3">
        <v>160</v>
      </c>
      <c r="B3659" s="3" t="s">
        <v>425</v>
      </c>
      <c r="C3659" s="3">
        <v>207</v>
      </c>
      <c r="D3659" s="3" t="s">
        <v>749</v>
      </c>
      <c r="E3659" s="3" t="s">
        <v>7618</v>
      </c>
      <c r="F3659" s="3" t="s">
        <v>7611</v>
      </c>
      <c r="G3659" s="3" t="s">
        <v>7636</v>
      </c>
    </row>
    <row r="3660" spans="1:7">
      <c r="A3660" s="2">
        <v>160</v>
      </c>
      <c r="B3660" s="2" t="s">
        <v>425</v>
      </c>
      <c r="C3660" s="2">
        <v>208</v>
      </c>
      <c r="D3660" s="2" t="s">
        <v>754</v>
      </c>
      <c r="E3660" s="2" t="s">
        <v>7620</v>
      </c>
      <c r="F3660" s="2" t="s">
        <v>7628</v>
      </c>
      <c r="G3660" s="2" t="s">
        <v>7617</v>
      </c>
    </row>
    <row r="3661" spans="1:7">
      <c r="A3661" s="3">
        <v>160</v>
      </c>
      <c r="B3661" s="3" t="s">
        <v>425</v>
      </c>
      <c r="C3661" s="3">
        <v>209</v>
      </c>
      <c r="D3661" s="3" t="s">
        <v>758</v>
      </c>
      <c r="E3661" s="3" t="s">
        <v>7618</v>
      </c>
      <c r="F3661" s="3" t="s">
        <v>7652</v>
      </c>
      <c r="G3661" s="3" t="s">
        <v>7639</v>
      </c>
    </row>
    <row r="3662" spans="1:7">
      <c r="A3662" s="2">
        <v>160</v>
      </c>
      <c r="B3662" s="2" t="s">
        <v>425</v>
      </c>
      <c r="C3662" s="2">
        <v>221</v>
      </c>
      <c r="D3662" s="2" t="s">
        <v>813</v>
      </c>
      <c r="E3662" s="2" t="s">
        <v>7618</v>
      </c>
      <c r="F3662" s="2" t="s">
        <v>7649</v>
      </c>
      <c r="G3662" s="2" t="s">
        <v>7639</v>
      </c>
    </row>
    <row r="3663" spans="1:7">
      <c r="A3663" s="3">
        <v>160</v>
      </c>
      <c r="B3663" s="3" t="s">
        <v>425</v>
      </c>
      <c r="C3663" s="3">
        <v>264</v>
      </c>
      <c r="D3663" s="3" t="s">
        <v>775</v>
      </c>
      <c r="E3663" s="3" t="s">
        <v>7618</v>
      </c>
      <c r="F3663" s="3" t="s">
        <v>7659</v>
      </c>
      <c r="G3663" s="3" t="s">
        <v>7624</v>
      </c>
    </row>
    <row r="3664" spans="1:7">
      <c r="A3664" s="2">
        <v>160</v>
      </c>
      <c r="B3664" s="2" t="s">
        <v>425</v>
      </c>
      <c r="C3664" s="2">
        <v>312</v>
      </c>
      <c r="D3664" s="2" t="s">
        <v>949</v>
      </c>
      <c r="E3664" s="2" t="s">
        <v>7608</v>
      </c>
      <c r="F3664" s="2" t="s">
        <v>7714</v>
      </c>
      <c r="G3664" s="2" t="s">
        <v>7622</v>
      </c>
    </row>
    <row r="3665" spans="1:7">
      <c r="A3665" s="3">
        <v>160</v>
      </c>
      <c r="B3665" s="3" t="s">
        <v>425</v>
      </c>
      <c r="C3665" s="3">
        <v>341</v>
      </c>
      <c r="D3665" s="3" t="s">
        <v>1052</v>
      </c>
      <c r="E3665" s="3" t="s">
        <v>7620</v>
      </c>
      <c r="F3665" s="3" t="s">
        <v>7649</v>
      </c>
      <c r="G3665" s="3" t="s">
        <v>7617</v>
      </c>
    </row>
    <row r="3666" spans="1:7">
      <c r="A3666" s="2">
        <v>160</v>
      </c>
      <c r="B3666" s="2" t="s">
        <v>425</v>
      </c>
      <c r="C3666" s="2">
        <v>343</v>
      </c>
      <c r="D3666" s="2" t="s">
        <v>977</v>
      </c>
      <c r="E3666" s="2" t="s">
        <v>7620</v>
      </c>
      <c r="F3666" s="2" t="s">
        <v>7659</v>
      </c>
      <c r="G3666" s="2" t="s">
        <v>7617</v>
      </c>
    </row>
    <row r="3667" spans="1:7">
      <c r="A3667" s="3">
        <v>162</v>
      </c>
      <c r="B3667" s="3" t="s">
        <v>473</v>
      </c>
      <c r="C3667" s="3">
        <v>191</v>
      </c>
      <c r="D3667" s="3" t="s">
        <v>719</v>
      </c>
      <c r="E3667" s="3" t="s">
        <v>7620</v>
      </c>
      <c r="F3667" s="3" t="s">
        <v>7611</v>
      </c>
      <c r="G3667" s="3" t="s">
        <v>7621</v>
      </c>
    </row>
    <row r="3668" spans="1:7">
      <c r="A3668" s="2">
        <v>162</v>
      </c>
      <c r="B3668" s="2" t="s">
        <v>473</v>
      </c>
      <c r="C3668" s="2">
        <v>195</v>
      </c>
      <c r="D3668" s="2" t="s">
        <v>734</v>
      </c>
      <c r="E3668" s="2" t="s">
        <v>7620</v>
      </c>
      <c r="F3668" s="2" t="s">
        <v>7611</v>
      </c>
      <c r="G3668" s="2" t="s">
        <v>7621</v>
      </c>
    </row>
    <row r="3669" spans="1:7">
      <c r="A3669" s="3">
        <v>162</v>
      </c>
      <c r="B3669" s="3" t="s">
        <v>473</v>
      </c>
      <c r="C3669" s="3">
        <v>198</v>
      </c>
      <c r="D3669" s="3" t="s">
        <v>698</v>
      </c>
      <c r="E3669" s="3" t="s">
        <v>7620</v>
      </c>
      <c r="F3669" s="3" t="s">
        <v>7611</v>
      </c>
      <c r="G3669" s="3" t="s">
        <v>7622</v>
      </c>
    </row>
    <row r="3670" spans="1:7">
      <c r="A3670" s="2">
        <v>162</v>
      </c>
      <c r="B3670" s="2" t="s">
        <v>473</v>
      </c>
      <c r="C3670" s="2">
        <v>199</v>
      </c>
      <c r="D3670" s="2" t="s">
        <v>702</v>
      </c>
      <c r="E3670" s="2" t="s">
        <v>7620</v>
      </c>
      <c r="F3670" s="2" t="s">
        <v>7611</v>
      </c>
      <c r="G3670" s="2" t="s">
        <v>7621</v>
      </c>
    </row>
    <row r="3671" spans="1:7">
      <c r="A3671" s="3">
        <v>162</v>
      </c>
      <c r="B3671" s="3" t="s">
        <v>473</v>
      </c>
      <c r="C3671" s="3">
        <v>200</v>
      </c>
      <c r="D3671" s="3" t="s">
        <v>707</v>
      </c>
      <c r="E3671" s="3" t="s">
        <v>7620</v>
      </c>
      <c r="F3671" s="3" t="s">
        <v>7611</v>
      </c>
      <c r="G3671" s="3" t="s">
        <v>7633</v>
      </c>
    </row>
    <row r="3672" spans="1:7">
      <c r="A3672" s="2">
        <v>162</v>
      </c>
      <c r="B3672" s="2" t="s">
        <v>473</v>
      </c>
      <c r="C3672" s="2">
        <v>205</v>
      </c>
      <c r="D3672" s="2" t="s">
        <v>746</v>
      </c>
      <c r="E3672" s="2" t="s">
        <v>7620</v>
      </c>
      <c r="F3672" s="2" t="s">
        <v>7611</v>
      </c>
      <c r="G3672" s="2" t="s">
        <v>7621</v>
      </c>
    </row>
    <row r="3673" spans="1:7">
      <c r="A3673" s="3">
        <v>162</v>
      </c>
      <c r="B3673" s="3" t="s">
        <v>473</v>
      </c>
      <c r="C3673" s="3">
        <v>207</v>
      </c>
      <c r="D3673" s="3" t="s">
        <v>749</v>
      </c>
      <c r="E3673" s="3" t="s">
        <v>7620</v>
      </c>
      <c r="F3673" s="3" t="s">
        <v>7611</v>
      </c>
      <c r="G3673" s="3" t="s">
        <v>7622</v>
      </c>
    </row>
    <row r="3674" spans="1:7">
      <c r="A3674" s="2">
        <v>162</v>
      </c>
      <c r="B3674" s="2" t="s">
        <v>473</v>
      </c>
      <c r="C3674" s="2">
        <v>208</v>
      </c>
      <c r="D3674" s="2" t="s">
        <v>754</v>
      </c>
      <c r="E3674" s="2" t="s">
        <v>7620</v>
      </c>
      <c r="F3674" s="2" t="s">
        <v>7611</v>
      </c>
      <c r="G3674" s="2" t="s">
        <v>7625</v>
      </c>
    </row>
    <row r="3675" spans="1:7">
      <c r="A3675" s="3">
        <v>162</v>
      </c>
      <c r="B3675" s="3" t="s">
        <v>473</v>
      </c>
      <c r="C3675" s="3">
        <v>221</v>
      </c>
      <c r="D3675" s="3" t="s">
        <v>813</v>
      </c>
      <c r="E3675" s="3" t="s">
        <v>7620</v>
      </c>
      <c r="F3675" s="3" t="s">
        <v>7611</v>
      </c>
      <c r="G3675" s="3" t="s">
        <v>7625</v>
      </c>
    </row>
    <row r="3676" spans="1:7">
      <c r="A3676" s="2">
        <v>162</v>
      </c>
      <c r="B3676" s="2" t="s">
        <v>473</v>
      </c>
      <c r="C3676" s="2">
        <v>264</v>
      </c>
      <c r="D3676" s="2" t="s">
        <v>775</v>
      </c>
      <c r="E3676" s="2" t="s">
        <v>7620</v>
      </c>
      <c r="F3676" s="2" t="s">
        <v>7611</v>
      </c>
      <c r="G3676" s="2" t="s">
        <v>7625</v>
      </c>
    </row>
    <row r="3677" spans="1:7">
      <c r="A3677" s="3">
        <v>162</v>
      </c>
      <c r="B3677" s="3" t="s">
        <v>473</v>
      </c>
      <c r="C3677" s="3">
        <v>341</v>
      </c>
      <c r="D3677" s="3" t="s">
        <v>1052</v>
      </c>
      <c r="E3677" s="3" t="s">
        <v>7620</v>
      </c>
      <c r="F3677" s="3" t="s">
        <v>7611</v>
      </c>
      <c r="G3677" s="3" t="s">
        <v>7621</v>
      </c>
    </row>
    <row r="3678" spans="1:7">
      <c r="A3678" s="2">
        <v>162</v>
      </c>
      <c r="B3678" s="2" t="s">
        <v>473</v>
      </c>
      <c r="C3678" s="2">
        <v>343</v>
      </c>
      <c r="D3678" s="2" t="s">
        <v>977</v>
      </c>
      <c r="E3678" s="2" t="s">
        <v>7620</v>
      </c>
      <c r="F3678" s="2" t="s">
        <v>7611</v>
      </c>
      <c r="G3678" s="2" t="s">
        <v>7625</v>
      </c>
    </row>
    <row r="3679" spans="1:7">
      <c r="A3679" s="3">
        <v>163</v>
      </c>
      <c r="B3679" s="3" t="s">
        <v>587</v>
      </c>
      <c r="C3679" s="3">
        <v>191</v>
      </c>
      <c r="D3679" s="3" t="s">
        <v>719</v>
      </c>
      <c r="E3679" s="3" t="s">
        <v>7620</v>
      </c>
      <c r="F3679" s="3" t="s">
        <v>7611</v>
      </c>
      <c r="G3679" s="3" t="s">
        <v>7625</v>
      </c>
    </row>
    <row r="3680" spans="1:7">
      <c r="A3680" s="2">
        <v>163</v>
      </c>
      <c r="B3680" s="2" t="s">
        <v>587</v>
      </c>
      <c r="C3680" s="2">
        <v>195</v>
      </c>
      <c r="D3680" s="2" t="s">
        <v>734</v>
      </c>
      <c r="E3680" s="2" t="s">
        <v>7620</v>
      </c>
      <c r="F3680" s="2" t="s">
        <v>7611</v>
      </c>
      <c r="G3680" s="2" t="s">
        <v>7625</v>
      </c>
    </row>
    <row r="3681" spans="1:7">
      <c r="A3681" s="3">
        <v>163</v>
      </c>
      <c r="B3681" s="3" t="s">
        <v>587</v>
      </c>
      <c r="C3681" s="3">
        <v>198</v>
      </c>
      <c r="D3681" s="3" t="s">
        <v>698</v>
      </c>
      <c r="E3681" s="3" t="s">
        <v>7620</v>
      </c>
      <c r="F3681" s="3" t="s">
        <v>7611</v>
      </c>
      <c r="G3681" s="3" t="s">
        <v>7625</v>
      </c>
    </row>
    <row r="3682" spans="1:7">
      <c r="A3682" s="2">
        <v>163</v>
      </c>
      <c r="B3682" s="2" t="s">
        <v>587</v>
      </c>
      <c r="C3682" s="2">
        <v>199</v>
      </c>
      <c r="D3682" s="2" t="s">
        <v>702</v>
      </c>
      <c r="E3682" s="2" t="s">
        <v>7620</v>
      </c>
      <c r="F3682" s="2" t="s">
        <v>7611</v>
      </c>
      <c r="G3682" s="2" t="s">
        <v>7625</v>
      </c>
    </row>
    <row r="3683" spans="1:7">
      <c r="A3683" s="3">
        <v>163</v>
      </c>
      <c r="B3683" s="3" t="s">
        <v>587</v>
      </c>
      <c r="C3683" s="3">
        <v>200</v>
      </c>
      <c r="D3683" s="3" t="s">
        <v>707</v>
      </c>
      <c r="E3683" s="3" t="s">
        <v>7620</v>
      </c>
      <c r="F3683" s="3" t="s">
        <v>7611</v>
      </c>
      <c r="G3683" s="3" t="s">
        <v>7625</v>
      </c>
    </row>
    <row r="3684" spans="1:7">
      <c r="A3684" s="2">
        <v>163</v>
      </c>
      <c r="B3684" s="2" t="s">
        <v>587</v>
      </c>
      <c r="C3684" s="2">
        <v>205</v>
      </c>
      <c r="D3684" s="2" t="s">
        <v>746</v>
      </c>
      <c r="E3684" s="2" t="s">
        <v>7620</v>
      </c>
      <c r="F3684" s="2" t="s">
        <v>7611</v>
      </c>
      <c r="G3684" s="2" t="s">
        <v>7625</v>
      </c>
    </row>
    <row r="3685" spans="1:7">
      <c r="A3685" s="3">
        <v>163</v>
      </c>
      <c r="B3685" s="3" t="s">
        <v>587</v>
      </c>
      <c r="C3685" s="3">
        <v>207</v>
      </c>
      <c r="D3685" s="3" t="s">
        <v>749</v>
      </c>
      <c r="E3685" s="3" t="s">
        <v>7620</v>
      </c>
      <c r="F3685" s="3" t="s">
        <v>7611</v>
      </c>
      <c r="G3685" s="3" t="s">
        <v>7625</v>
      </c>
    </row>
    <row r="3686" spans="1:7">
      <c r="A3686" s="2">
        <v>163</v>
      </c>
      <c r="B3686" s="2" t="s">
        <v>587</v>
      </c>
      <c r="C3686" s="2">
        <v>208</v>
      </c>
      <c r="D3686" s="2" t="s">
        <v>754</v>
      </c>
      <c r="E3686" s="2" t="s">
        <v>7620</v>
      </c>
      <c r="F3686" s="2" t="s">
        <v>7611</v>
      </c>
      <c r="G3686" s="2" t="s">
        <v>7625</v>
      </c>
    </row>
    <row r="3687" spans="1:7">
      <c r="A3687" s="3">
        <v>163</v>
      </c>
      <c r="B3687" s="3" t="s">
        <v>587</v>
      </c>
      <c r="C3687" s="3">
        <v>221</v>
      </c>
      <c r="D3687" s="3" t="s">
        <v>813</v>
      </c>
      <c r="E3687" s="3" t="s">
        <v>7620</v>
      </c>
      <c r="F3687" s="3" t="s">
        <v>7611</v>
      </c>
      <c r="G3687" s="3" t="s">
        <v>7625</v>
      </c>
    </row>
    <row r="3688" spans="1:7">
      <c r="A3688" s="2">
        <v>163</v>
      </c>
      <c r="B3688" s="2" t="s">
        <v>587</v>
      </c>
      <c r="C3688" s="2">
        <v>264</v>
      </c>
      <c r="D3688" s="2" t="s">
        <v>775</v>
      </c>
      <c r="E3688" s="2" t="s">
        <v>7620</v>
      </c>
      <c r="F3688" s="2" t="s">
        <v>7611</v>
      </c>
      <c r="G3688" s="2" t="s">
        <v>7625</v>
      </c>
    </row>
    <row r="3689" spans="1:7">
      <c r="A3689" s="3">
        <v>163</v>
      </c>
      <c r="B3689" s="3" t="s">
        <v>587</v>
      </c>
      <c r="C3689" s="3">
        <v>341</v>
      </c>
      <c r="D3689" s="3" t="s">
        <v>1052</v>
      </c>
      <c r="E3689" s="3" t="s">
        <v>7620</v>
      </c>
      <c r="F3689" s="3" t="s">
        <v>7611</v>
      </c>
      <c r="G3689" s="3" t="s">
        <v>7625</v>
      </c>
    </row>
    <row r="3690" spans="1:7">
      <c r="A3690" s="2">
        <v>163</v>
      </c>
      <c r="B3690" s="2" t="s">
        <v>587</v>
      </c>
      <c r="C3690" s="2">
        <v>343</v>
      </c>
      <c r="D3690" s="2" t="s">
        <v>977</v>
      </c>
      <c r="E3690" s="2" t="s">
        <v>7620</v>
      </c>
      <c r="F3690" s="2" t="s">
        <v>7611</v>
      </c>
      <c r="G3690" s="2" t="s">
        <v>7625</v>
      </c>
    </row>
    <row r="3691" spans="1:7">
      <c r="A3691" s="3">
        <v>164</v>
      </c>
      <c r="B3691" s="3" t="s">
        <v>552</v>
      </c>
      <c r="C3691" s="3">
        <v>191</v>
      </c>
      <c r="D3691" s="3" t="s">
        <v>719</v>
      </c>
      <c r="E3691" s="3" t="s">
        <v>7620</v>
      </c>
      <c r="F3691" s="3" t="s">
        <v>7611</v>
      </c>
      <c r="G3691" s="3" t="s">
        <v>7621</v>
      </c>
    </row>
    <row r="3692" spans="1:7">
      <c r="A3692" s="2">
        <v>164</v>
      </c>
      <c r="B3692" s="2" t="s">
        <v>552</v>
      </c>
      <c r="C3692" s="2">
        <v>195</v>
      </c>
      <c r="D3692" s="2" t="s">
        <v>734</v>
      </c>
      <c r="E3692" s="2" t="s">
        <v>7620</v>
      </c>
      <c r="F3692" s="2" t="s">
        <v>7611</v>
      </c>
      <c r="G3692" s="2" t="s">
        <v>7621</v>
      </c>
    </row>
    <row r="3693" spans="1:7">
      <c r="A3693" s="3">
        <v>164</v>
      </c>
      <c r="B3693" s="3" t="s">
        <v>552</v>
      </c>
      <c r="C3693" s="3">
        <v>198</v>
      </c>
      <c r="D3693" s="3" t="s">
        <v>698</v>
      </c>
      <c r="E3693" s="3" t="s">
        <v>7620</v>
      </c>
      <c r="F3693" s="3" t="s">
        <v>7611</v>
      </c>
      <c r="G3693" s="3" t="s">
        <v>7621</v>
      </c>
    </row>
    <row r="3694" spans="1:7">
      <c r="A3694" s="2">
        <v>164</v>
      </c>
      <c r="B3694" s="2" t="s">
        <v>552</v>
      </c>
      <c r="C3694" s="2">
        <v>199</v>
      </c>
      <c r="D3694" s="2" t="s">
        <v>702</v>
      </c>
      <c r="E3694" s="2" t="s">
        <v>7620</v>
      </c>
      <c r="F3694" s="2" t="s">
        <v>7611</v>
      </c>
      <c r="G3694" s="2" t="s">
        <v>7621</v>
      </c>
    </row>
    <row r="3695" spans="1:7">
      <c r="A3695" s="3">
        <v>164</v>
      </c>
      <c r="B3695" s="3" t="s">
        <v>552</v>
      </c>
      <c r="C3695" s="3">
        <v>200</v>
      </c>
      <c r="D3695" s="3" t="s">
        <v>707</v>
      </c>
      <c r="E3695" s="3" t="s">
        <v>7620</v>
      </c>
      <c r="F3695" s="3" t="s">
        <v>7611</v>
      </c>
      <c r="G3695" s="3" t="s">
        <v>7625</v>
      </c>
    </row>
    <row r="3696" spans="1:7">
      <c r="A3696" s="2">
        <v>164</v>
      </c>
      <c r="B3696" s="2" t="s">
        <v>552</v>
      </c>
      <c r="C3696" s="2">
        <v>205</v>
      </c>
      <c r="D3696" s="2" t="s">
        <v>746</v>
      </c>
      <c r="E3696" s="2" t="s">
        <v>7620</v>
      </c>
      <c r="F3696" s="2" t="s">
        <v>7611</v>
      </c>
      <c r="G3696" s="2" t="s">
        <v>7621</v>
      </c>
    </row>
    <row r="3697" spans="1:7">
      <c r="A3697" s="3">
        <v>164</v>
      </c>
      <c r="B3697" s="3" t="s">
        <v>552</v>
      </c>
      <c r="C3697" s="3">
        <v>207</v>
      </c>
      <c r="D3697" s="3" t="s">
        <v>749</v>
      </c>
      <c r="E3697" s="3" t="s">
        <v>7620</v>
      </c>
      <c r="F3697" s="3" t="s">
        <v>7611</v>
      </c>
      <c r="G3697" s="3" t="s">
        <v>7622</v>
      </c>
    </row>
    <row r="3698" spans="1:7">
      <c r="A3698" s="2">
        <v>164</v>
      </c>
      <c r="B3698" s="2" t="s">
        <v>552</v>
      </c>
      <c r="C3698" s="2">
        <v>208</v>
      </c>
      <c r="D3698" s="2" t="s">
        <v>754</v>
      </c>
      <c r="E3698" s="2" t="s">
        <v>7620</v>
      </c>
      <c r="F3698" s="2" t="s">
        <v>7611</v>
      </c>
      <c r="G3698" s="2" t="s">
        <v>7621</v>
      </c>
    </row>
    <row r="3699" spans="1:7">
      <c r="A3699" s="3">
        <v>164</v>
      </c>
      <c r="B3699" s="3" t="s">
        <v>552</v>
      </c>
      <c r="C3699" s="3">
        <v>221</v>
      </c>
      <c r="D3699" s="3" t="s">
        <v>813</v>
      </c>
      <c r="E3699" s="3" t="s">
        <v>7696</v>
      </c>
      <c r="F3699" s="3" t="s">
        <v>7611</v>
      </c>
      <c r="G3699" s="3" t="s">
        <v>7617</v>
      </c>
    </row>
    <row r="3700" spans="1:7">
      <c r="A3700" s="2">
        <v>164</v>
      </c>
      <c r="B3700" s="2" t="s">
        <v>552</v>
      </c>
      <c r="C3700" s="2">
        <v>264</v>
      </c>
      <c r="D3700" s="2" t="s">
        <v>775</v>
      </c>
      <c r="E3700" s="2" t="s">
        <v>7620</v>
      </c>
      <c r="F3700" s="2" t="s">
        <v>7611</v>
      </c>
      <c r="G3700" s="2" t="s">
        <v>7621</v>
      </c>
    </row>
    <row r="3701" spans="1:7">
      <c r="A3701" s="3">
        <v>164</v>
      </c>
      <c r="B3701" s="3" t="s">
        <v>552</v>
      </c>
      <c r="C3701" s="3">
        <v>341</v>
      </c>
      <c r="D3701" s="3" t="s">
        <v>1052</v>
      </c>
      <c r="E3701" s="3" t="s">
        <v>7620</v>
      </c>
      <c r="F3701" s="3" t="s">
        <v>7611</v>
      </c>
      <c r="G3701" s="3" t="s">
        <v>7622</v>
      </c>
    </row>
    <row r="3702" spans="1:7">
      <c r="A3702" s="2">
        <v>164</v>
      </c>
      <c r="B3702" s="2" t="s">
        <v>552</v>
      </c>
      <c r="C3702" s="2">
        <v>343</v>
      </c>
      <c r="D3702" s="2" t="s">
        <v>977</v>
      </c>
      <c r="E3702" s="2" t="s">
        <v>7620</v>
      </c>
      <c r="F3702" s="2" t="s">
        <v>7611</v>
      </c>
      <c r="G3702" s="2" t="s">
        <v>7625</v>
      </c>
    </row>
    <row r="3703" spans="1:7">
      <c r="A3703" s="3">
        <v>165</v>
      </c>
      <c r="B3703" s="3" t="s">
        <v>568</v>
      </c>
      <c r="C3703" s="3">
        <v>189</v>
      </c>
      <c r="D3703" s="3" t="s">
        <v>742</v>
      </c>
      <c r="E3703" s="3" t="s">
        <v>7653</v>
      </c>
      <c r="F3703" s="3" t="s">
        <v>7608</v>
      </c>
      <c r="G3703" s="3" t="s">
        <v>7625</v>
      </c>
    </row>
    <row r="3704" spans="1:7">
      <c r="A3704" s="2">
        <v>165</v>
      </c>
      <c r="B3704" s="2" t="s">
        <v>568</v>
      </c>
      <c r="C3704" s="2">
        <v>191</v>
      </c>
      <c r="D3704" s="2" t="s">
        <v>719</v>
      </c>
      <c r="E3704" s="2" t="s">
        <v>7618</v>
      </c>
      <c r="F3704" s="2" t="s">
        <v>7650</v>
      </c>
      <c r="G3704" s="2" t="s">
        <v>7619</v>
      </c>
    </row>
    <row r="3705" spans="1:7">
      <c r="A3705" s="3">
        <v>165</v>
      </c>
      <c r="B3705" s="3" t="s">
        <v>568</v>
      </c>
      <c r="C3705" s="3">
        <v>195</v>
      </c>
      <c r="D3705" s="3" t="s">
        <v>734</v>
      </c>
      <c r="E3705" s="3" t="s">
        <v>7618</v>
      </c>
      <c r="F3705" s="3" t="s">
        <v>7650</v>
      </c>
      <c r="G3705" s="3" t="s">
        <v>7636</v>
      </c>
    </row>
    <row r="3706" spans="1:7">
      <c r="A3706" s="2">
        <v>165</v>
      </c>
      <c r="B3706" s="2" t="s">
        <v>568</v>
      </c>
      <c r="C3706" s="2">
        <v>198</v>
      </c>
      <c r="D3706" s="2" t="s">
        <v>698</v>
      </c>
      <c r="E3706" s="2" t="s">
        <v>7620</v>
      </c>
      <c r="F3706" s="2" t="s">
        <v>7650</v>
      </c>
      <c r="G3706" s="2" t="s">
        <v>7621</v>
      </c>
    </row>
    <row r="3707" spans="1:7">
      <c r="A3707" s="3">
        <v>165</v>
      </c>
      <c r="B3707" s="3" t="s">
        <v>568</v>
      </c>
      <c r="C3707" s="3">
        <v>199</v>
      </c>
      <c r="D3707" s="3" t="s">
        <v>702</v>
      </c>
      <c r="E3707" s="3" t="s">
        <v>7660</v>
      </c>
      <c r="F3707" s="3" t="s">
        <v>7650</v>
      </c>
      <c r="G3707" s="3" t="s">
        <v>7624</v>
      </c>
    </row>
    <row r="3708" spans="1:7">
      <c r="A3708" s="2">
        <v>165</v>
      </c>
      <c r="B3708" s="2" t="s">
        <v>568</v>
      </c>
      <c r="C3708" s="2">
        <v>200</v>
      </c>
      <c r="D3708" s="2" t="s">
        <v>707</v>
      </c>
      <c r="E3708" s="2" t="s">
        <v>7654</v>
      </c>
      <c r="F3708" s="2" t="s">
        <v>7650</v>
      </c>
      <c r="G3708" s="2" t="s">
        <v>7636</v>
      </c>
    </row>
    <row r="3709" spans="1:7">
      <c r="A3709" s="3">
        <v>165</v>
      </c>
      <c r="B3709" s="3" t="s">
        <v>568</v>
      </c>
      <c r="C3709" s="3">
        <v>207</v>
      </c>
      <c r="D3709" s="3" t="s">
        <v>749</v>
      </c>
      <c r="E3709" s="3" t="s">
        <v>7618</v>
      </c>
      <c r="F3709" s="3" t="s">
        <v>7608</v>
      </c>
      <c r="G3709" s="3" t="s">
        <v>7633</v>
      </c>
    </row>
    <row r="3710" spans="1:7">
      <c r="A3710" s="2">
        <v>165</v>
      </c>
      <c r="B3710" s="2" t="s">
        <v>568</v>
      </c>
      <c r="C3710" s="2">
        <v>208</v>
      </c>
      <c r="D3710" s="2" t="s">
        <v>754</v>
      </c>
      <c r="E3710" s="2" t="s">
        <v>7620</v>
      </c>
      <c r="F3710" s="2" t="s">
        <v>7608</v>
      </c>
      <c r="G3710" s="2" t="s">
        <v>7621</v>
      </c>
    </row>
    <row r="3711" spans="1:7">
      <c r="A3711" s="3">
        <v>165</v>
      </c>
      <c r="B3711" s="3" t="s">
        <v>568</v>
      </c>
      <c r="C3711" s="3">
        <v>209</v>
      </c>
      <c r="D3711" s="3" t="s">
        <v>758</v>
      </c>
      <c r="E3711" s="3" t="s">
        <v>7618</v>
      </c>
      <c r="F3711" s="3" t="s">
        <v>7650</v>
      </c>
      <c r="G3711" s="3" t="s">
        <v>7617</v>
      </c>
    </row>
    <row r="3712" spans="1:7">
      <c r="A3712" s="2">
        <v>165</v>
      </c>
      <c r="B3712" s="2" t="s">
        <v>568</v>
      </c>
      <c r="C3712" s="2">
        <v>221</v>
      </c>
      <c r="D3712" s="2" t="s">
        <v>813</v>
      </c>
      <c r="E3712" s="2" t="s">
        <v>7618</v>
      </c>
      <c r="F3712" s="2" t="s">
        <v>7650</v>
      </c>
      <c r="G3712" s="2" t="s">
        <v>7617</v>
      </c>
    </row>
    <row r="3713" spans="1:7">
      <c r="A3713" s="3">
        <v>165</v>
      </c>
      <c r="B3713" s="3" t="s">
        <v>568</v>
      </c>
      <c r="C3713" s="3">
        <v>264</v>
      </c>
      <c r="D3713" s="3" t="s">
        <v>775</v>
      </c>
      <c r="E3713" s="3" t="s">
        <v>7618</v>
      </c>
      <c r="F3713" s="3" t="s">
        <v>7650</v>
      </c>
      <c r="G3713" s="3" t="s">
        <v>7617</v>
      </c>
    </row>
    <row r="3714" spans="1:7">
      <c r="A3714" s="2">
        <v>165</v>
      </c>
      <c r="B3714" s="2" t="s">
        <v>568</v>
      </c>
      <c r="C3714" s="2">
        <v>341</v>
      </c>
      <c r="D3714" s="2" t="s">
        <v>1052</v>
      </c>
      <c r="E3714" s="2" t="s">
        <v>7620</v>
      </c>
      <c r="F3714" s="2" t="s">
        <v>7650</v>
      </c>
      <c r="G3714" s="2" t="s">
        <v>7622</v>
      </c>
    </row>
    <row r="3715" spans="1:7">
      <c r="A3715" s="3">
        <v>165</v>
      </c>
      <c r="B3715" s="3" t="s">
        <v>568</v>
      </c>
      <c r="C3715" s="3">
        <v>343</v>
      </c>
      <c r="D3715" s="3" t="s">
        <v>977</v>
      </c>
      <c r="E3715" s="3" t="s">
        <v>7620</v>
      </c>
      <c r="F3715" s="3" t="s">
        <v>7650</v>
      </c>
      <c r="G3715" s="3" t="s">
        <v>7625</v>
      </c>
    </row>
    <row r="3716" spans="1:7">
      <c r="A3716" s="2">
        <v>166</v>
      </c>
      <c r="B3716" s="2" t="s">
        <v>483</v>
      </c>
      <c r="C3716" s="2">
        <v>191</v>
      </c>
      <c r="D3716" s="2" t="s">
        <v>719</v>
      </c>
      <c r="E3716" s="2" t="s">
        <v>7618</v>
      </c>
      <c r="F3716" s="2" t="s">
        <v>7611</v>
      </c>
      <c r="G3716" s="2" t="s">
        <v>7619</v>
      </c>
    </row>
    <row r="3717" spans="1:7">
      <c r="A3717" s="3">
        <v>166</v>
      </c>
      <c r="B3717" s="3" t="s">
        <v>483</v>
      </c>
      <c r="C3717" s="3">
        <v>195</v>
      </c>
      <c r="D3717" s="3" t="s">
        <v>734</v>
      </c>
      <c r="E3717" s="3" t="s">
        <v>7618</v>
      </c>
      <c r="F3717" s="3" t="s">
        <v>7611</v>
      </c>
      <c r="G3717" s="3" t="s">
        <v>7636</v>
      </c>
    </row>
    <row r="3718" spans="1:7">
      <c r="A3718" s="2">
        <v>166</v>
      </c>
      <c r="B3718" s="2" t="s">
        <v>483</v>
      </c>
      <c r="C3718" s="2">
        <v>198</v>
      </c>
      <c r="D3718" s="2" t="s">
        <v>698</v>
      </c>
      <c r="E3718" s="2" t="s">
        <v>7620</v>
      </c>
      <c r="F3718" s="2" t="s">
        <v>7611</v>
      </c>
      <c r="G3718" s="2" t="s">
        <v>7622</v>
      </c>
    </row>
    <row r="3719" spans="1:7">
      <c r="A3719" s="3">
        <v>166</v>
      </c>
      <c r="B3719" s="3" t="s">
        <v>483</v>
      </c>
      <c r="C3719" s="3">
        <v>199</v>
      </c>
      <c r="D3719" s="3" t="s">
        <v>702</v>
      </c>
      <c r="E3719" s="3" t="s">
        <v>7618</v>
      </c>
      <c r="F3719" s="3" t="s">
        <v>7611</v>
      </c>
      <c r="G3719" s="3" t="s">
        <v>7636</v>
      </c>
    </row>
    <row r="3720" spans="1:7">
      <c r="A3720" s="2">
        <v>166</v>
      </c>
      <c r="B3720" s="2" t="s">
        <v>483</v>
      </c>
      <c r="C3720" s="2">
        <v>200</v>
      </c>
      <c r="D3720" s="2" t="s">
        <v>707</v>
      </c>
      <c r="E3720" s="2" t="s">
        <v>7620</v>
      </c>
      <c r="F3720" s="2" t="s">
        <v>7611</v>
      </c>
      <c r="G3720" s="2" t="s">
        <v>7625</v>
      </c>
    </row>
    <row r="3721" spans="1:7">
      <c r="A3721" s="3">
        <v>166</v>
      </c>
      <c r="B3721" s="3" t="s">
        <v>483</v>
      </c>
      <c r="C3721" s="3">
        <v>205</v>
      </c>
      <c r="D3721" s="3" t="s">
        <v>746</v>
      </c>
      <c r="E3721" s="3" t="s">
        <v>7620</v>
      </c>
      <c r="F3721" s="3" t="s">
        <v>7611</v>
      </c>
      <c r="G3721" s="3" t="s">
        <v>7622</v>
      </c>
    </row>
    <row r="3722" spans="1:7">
      <c r="A3722" s="2">
        <v>166</v>
      </c>
      <c r="B3722" s="2" t="s">
        <v>483</v>
      </c>
      <c r="C3722" s="2">
        <v>207</v>
      </c>
      <c r="D3722" s="2" t="s">
        <v>749</v>
      </c>
      <c r="E3722" s="2" t="s">
        <v>7623</v>
      </c>
      <c r="F3722" s="2" t="s">
        <v>7611</v>
      </c>
      <c r="G3722" s="2" t="s">
        <v>7624</v>
      </c>
    </row>
    <row r="3723" spans="1:7">
      <c r="A3723" s="3">
        <v>166</v>
      </c>
      <c r="B3723" s="3" t="s">
        <v>483</v>
      </c>
      <c r="C3723" s="3">
        <v>208</v>
      </c>
      <c r="D3723" s="3" t="s">
        <v>754</v>
      </c>
      <c r="E3723" s="3" t="s">
        <v>7620</v>
      </c>
      <c r="F3723" s="3" t="s">
        <v>7611</v>
      </c>
      <c r="G3723" s="3" t="s">
        <v>7633</v>
      </c>
    </row>
    <row r="3724" spans="1:7">
      <c r="A3724" s="2">
        <v>166</v>
      </c>
      <c r="B3724" s="2" t="s">
        <v>483</v>
      </c>
      <c r="C3724" s="2">
        <v>209</v>
      </c>
      <c r="D3724" s="2" t="s">
        <v>758</v>
      </c>
      <c r="E3724" s="2" t="s">
        <v>7618</v>
      </c>
      <c r="F3724" s="2" t="s">
        <v>7608</v>
      </c>
      <c r="G3724" s="2" t="s">
        <v>7609</v>
      </c>
    </row>
    <row r="3725" spans="1:7">
      <c r="A3725" s="3">
        <v>166</v>
      </c>
      <c r="B3725" s="3" t="s">
        <v>483</v>
      </c>
      <c r="C3725" s="3">
        <v>221</v>
      </c>
      <c r="D3725" s="3" t="s">
        <v>813</v>
      </c>
      <c r="E3725" s="3" t="s">
        <v>7623</v>
      </c>
      <c r="F3725" s="3" t="s">
        <v>7611</v>
      </c>
      <c r="G3725" s="3" t="s">
        <v>7639</v>
      </c>
    </row>
    <row r="3726" spans="1:7">
      <c r="A3726" s="2">
        <v>166</v>
      </c>
      <c r="B3726" s="2" t="s">
        <v>483</v>
      </c>
      <c r="C3726" s="2">
        <v>264</v>
      </c>
      <c r="D3726" s="2" t="s">
        <v>775</v>
      </c>
      <c r="E3726" s="2" t="s">
        <v>7618</v>
      </c>
      <c r="F3726" s="2" t="s">
        <v>7611</v>
      </c>
      <c r="G3726" s="2" t="s">
        <v>7617</v>
      </c>
    </row>
    <row r="3727" spans="1:7">
      <c r="A3727" s="3">
        <v>166</v>
      </c>
      <c r="B3727" s="3" t="s">
        <v>483</v>
      </c>
      <c r="C3727" s="3">
        <v>341</v>
      </c>
      <c r="D3727" s="3" t="s">
        <v>1052</v>
      </c>
      <c r="E3727" s="3" t="s">
        <v>7620</v>
      </c>
      <c r="F3727" s="3" t="s">
        <v>7611</v>
      </c>
      <c r="G3727" s="3" t="s">
        <v>7633</v>
      </c>
    </row>
    <row r="3728" spans="1:7">
      <c r="A3728" s="2">
        <v>166</v>
      </c>
      <c r="B3728" s="2" t="s">
        <v>483</v>
      </c>
      <c r="C3728" s="2">
        <v>343</v>
      </c>
      <c r="D3728" s="2" t="s">
        <v>977</v>
      </c>
      <c r="E3728" s="2" t="s">
        <v>7620</v>
      </c>
      <c r="F3728" s="2" t="s">
        <v>7611</v>
      </c>
      <c r="G3728" s="2" t="s">
        <v>7622</v>
      </c>
    </row>
    <row r="3729" spans="1:7">
      <c r="A3729" s="3">
        <v>167</v>
      </c>
      <c r="B3729" s="3" t="s">
        <v>469</v>
      </c>
      <c r="C3729" s="3">
        <v>191</v>
      </c>
      <c r="D3729" s="3" t="s">
        <v>719</v>
      </c>
      <c r="E3729" s="3" t="s">
        <v>7620</v>
      </c>
      <c r="F3729" s="3" t="s">
        <v>7611</v>
      </c>
      <c r="G3729" s="3" t="s">
        <v>7633</v>
      </c>
    </row>
    <row r="3730" spans="1:7">
      <c r="A3730" s="2">
        <v>167</v>
      </c>
      <c r="B3730" s="2" t="s">
        <v>469</v>
      </c>
      <c r="C3730" s="2">
        <v>195</v>
      </c>
      <c r="D3730" s="2" t="s">
        <v>734</v>
      </c>
      <c r="E3730" s="2" t="s">
        <v>7620</v>
      </c>
      <c r="F3730" s="2" t="s">
        <v>7611</v>
      </c>
      <c r="G3730" s="2" t="s">
        <v>7633</v>
      </c>
    </row>
    <row r="3731" spans="1:7">
      <c r="A3731" s="3">
        <v>167</v>
      </c>
      <c r="B3731" s="3" t="s">
        <v>469</v>
      </c>
      <c r="C3731" s="3">
        <v>198</v>
      </c>
      <c r="D3731" s="3" t="s">
        <v>698</v>
      </c>
      <c r="E3731" s="3" t="s">
        <v>7620</v>
      </c>
      <c r="F3731" s="3" t="s">
        <v>7611</v>
      </c>
      <c r="G3731" s="3" t="s">
        <v>7622</v>
      </c>
    </row>
    <row r="3732" spans="1:7">
      <c r="A3732" s="2">
        <v>167</v>
      </c>
      <c r="B3732" s="2" t="s">
        <v>469</v>
      </c>
      <c r="C3732" s="2">
        <v>199</v>
      </c>
      <c r="D3732" s="2" t="s">
        <v>702</v>
      </c>
      <c r="E3732" s="2" t="s">
        <v>7620</v>
      </c>
      <c r="F3732" s="2" t="s">
        <v>7611</v>
      </c>
      <c r="G3732" s="2" t="s">
        <v>7633</v>
      </c>
    </row>
    <row r="3733" spans="1:7">
      <c r="A3733" s="3">
        <v>167</v>
      </c>
      <c r="B3733" s="3" t="s">
        <v>469</v>
      </c>
      <c r="C3733" s="3">
        <v>200</v>
      </c>
      <c r="D3733" s="3" t="s">
        <v>707</v>
      </c>
      <c r="E3733" s="3" t="s">
        <v>7620</v>
      </c>
      <c r="F3733" s="3" t="s">
        <v>7611</v>
      </c>
      <c r="G3733" s="3" t="s">
        <v>7625</v>
      </c>
    </row>
    <row r="3734" spans="1:7">
      <c r="A3734" s="2">
        <v>167</v>
      </c>
      <c r="B3734" s="2" t="s">
        <v>469</v>
      </c>
      <c r="C3734" s="2">
        <v>205</v>
      </c>
      <c r="D3734" s="2" t="s">
        <v>746</v>
      </c>
      <c r="E3734" s="2" t="s">
        <v>7620</v>
      </c>
      <c r="F3734" s="2" t="s">
        <v>7611</v>
      </c>
      <c r="G3734" s="2" t="s">
        <v>7622</v>
      </c>
    </row>
    <row r="3735" spans="1:7">
      <c r="A3735" s="3">
        <v>167</v>
      </c>
      <c r="B3735" s="3" t="s">
        <v>469</v>
      </c>
      <c r="C3735" s="3">
        <v>207</v>
      </c>
      <c r="D3735" s="3" t="s">
        <v>749</v>
      </c>
      <c r="E3735" s="3" t="s">
        <v>7620</v>
      </c>
      <c r="F3735" s="3" t="s">
        <v>7611</v>
      </c>
      <c r="G3735" s="3" t="s">
        <v>7621</v>
      </c>
    </row>
    <row r="3736" spans="1:7">
      <c r="A3736" s="2">
        <v>167</v>
      </c>
      <c r="B3736" s="2" t="s">
        <v>469</v>
      </c>
      <c r="C3736" s="2">
        <v>208</v>
      </c>
      <c r="D3736" s="2" t="s">
        <v>754</v>
      </c>
      <c r="E3736" s="2" t="s">
        <v>7620</v>
      </c>
      <c r="F3736" s="2" t="s">
        <v>7611</v>
      </c>
      <c r="G3736" s="2" t="s">
        <v>7622</v>
      </c>
    </row>
    <row r="3737" spans="1:7">
      <c r="A3737" s="3">
        <v>167</v>
      </c>
      <c r="B3737" s="3" t="s">
        <v>469</v>
      </c>
      <c r="C3737" s="3">
        <v>209</v>
      </c>
      <c r="D3737" s="3" t="s">
        <v>758</v>
      </c>
      <c r="E3737" s="3" t="s">
        <v>7620</v>
      </c>
      <c r="F3737" s="3" t="s">
        <v>7608</v>
      </c>
      <c r="G3737" s="3" t="s">
        <v>7621</v>
      </c>
    </row>
    <row r="3738" spans="1:7">
      <c r="A3738" s="2">
        <v>167</v>
      </c>
      <c r="B3738" s="2" t="s">
        <v>469</v>
      </c>
      <c r="C3738" s="2">
        <v>221</v>
      </c>
      <c r="D3738" s="2" t="s">
        <v>813</v>
      </c>
      <c r="E3738" s="2" t="s">
        <v>7620</v>
      </c>
      <c r="F3738" s="2" t="s">
        <v>7611</v>
      </c>
      <c r="G3738" s="2" t="s">
        <v>7621</v>
      </c>
    </row>
    <row r="3739" spans="1:7">
      <c r="A3739" s="3">
        <v>167</v>
      </c>
      <c r="B3739" s="3" t="s">
        <v>469</v>
      </c>
      <c r="C3739" s="3">
        <v>264</v>
      </c>
      <c r="D3739" s="3" t="s">
        <v>775</v>
      </c>
      <c r="E3739" s="3" t="s">
        <v>7620</v>
      </c>
      <c r="F3739" s="3" t="s">
        <v>7611</v>
      </c>
      <c r="G3739" s="3" t="s">
        <v>7621</v>
      </c>
    </row>
    <row r="3740" spans="1:7">
      <c r="A3740" s="2">
        <v>167</v>
      </c>
      <c r="B3740" s="2" t="s">
        <v>469</v>
      </c>
      <c r="C3740" s="2">
        <v>341</v>
      </c>
      <c r="D3740" s="2" t="s">
        <v>1052</v>
      </c>
      <c r="E3740" s="2" t="s">
        <v>7620</v>
      </c>
      <c r="F3740" s="2" t="s">
        <v>7611</v>
      </c>
      <c r="G3740" s="2" t="s">
        <v>7621</v>
      </c>
    </row>
    <row r="3741" spans="1:7">
      <c r="A3741" s="3">
        <v>167</v>
      </c>
      <c r="B3741" s="3" t="s">
        <v>469</v>
      </c>
      <c r="C3741" s="3">
        <v>343</v>
      </c>
      <c r="D3741" s="3" t="s">
        <v>977</v>
      </c>
      <c r="E3741" s="3" t="s">
        <v>7620</v>
      </c>
      <c r="F3741" s="3" t="s">
        <v>7611</v>
      </c>
      <c r="G3741" s="3" t="s">
        <v>7622</v>
      </c>
    </row>
    <row r="3742" spans="1:7">
      <c r="A3742" s="2">
        <v>168</v>
      </c>
      <c r="B3742" s="2" t="s">
        <v>626</v>
      </c>
      <c r="C3742" s="2">
        <v>191</v>
      </c>
      <c r="D3742" s="2" t="s">
        <v>719</v>
      </c>
      <c r="E3742" s="2" t="s">
        <v>7618</v>
      </c>
      <c r="F3742" s="2" t="s">
        <v>7611</v>
      </c>
      <c r="G3742" s="2" t="s">
        <v>7617</v>
      </c>
    </row>
    <row r="3743" spans="1:7">
      <c r="A3743" s="3">
        <v>168</v>
      </c>
      <c r="B3743" s="3" t="s">
        <v>626</v>
      </c>
      <c r="C3743" s="3">
        <v>195</v>
      </c>
      <c r="D3743" s="3" t="s">
        <v>734</v>
      </c>
      <c r="E3743" s="3" t="s">
        <v>7618</v>
      </c>
      <c r="F3743" s="3" t="s">
        <v>7611</v>
      </c>
      <c r="G3743" s="3" t="s">
        <v>7636</v>
      </c>
    </row>
    <row r="3744" spans="1:7">
      <c r="A3744" s="2">
        <v>168</v>
      </c>
      <c r="B3744" s="2" t="s">
        <v>626</v>
      </c>
      <c r="C3744" s="2">
        <v>198</v>
      </c>
      <c r="D3744" s="2" t="s">
        <v>698</v>
      </c>
      <c r="E3744" s="2" t="s">
        <v>7620</v>
      </c>
      <c r="F3744" s="2" t="s">
        <v>7611</v>
      </c>
      <c r="G3744" s="2" t="s">
        <v>7622</v>
      </c>
    </row>
    <row r="3745" spans="1:7">
      <c r="A3745" s="3">
        <v>168</v>
      </c>
      <c r="B3745" s="3" t="s">
        <v>626</v>
      </c>
      <c r="C3745" s="3">
        <v>199</v>
      </c>
      <c r="D3745" s="3" t="s">
        <v>702</v>
      </c>
      <c r="E3745" s="3" t="s">
        <v>7618</v>
      </c>
      <c r="F3745" s="3" t="s">
        <v>7611</v>
      </c>
      <c r="G3745" s="3" t="s">
        <v>7619</v>
      </c>
    </row>
    <row r="3746" spans="1:7">
      <c r="A3746" s="2">
        <v>168</v>
      </c>
      <c r="B3746" s="2" t="s">
        <v>626</v>
      </c>
      <c r="C3746" s="2">
        <v>200</v>
      </c>
      <c r="D3746" s="2" t="s">
        <v>707</v>
      </c>
      <c r="E3746" s="2" t="s">
        <v>7620</v>
      </c>
      <c r="F3746" s="2" t="s">
        <v>7611</v>
      </c>
      <c r="G3746" s="2" t="s">
        <v>7625</v>
      </c>
    </row>
    <row r="3747" spans="1:7">
      <c r="A3747" s="3">
        <v>168</v>
      </c>
      <c r="B3747" s="3" t="s">
        <v>626</v>
      </c>
      <c r="C3747" s="3">
        <v>205</v>
      </c>
      <c r="D3747" s="3" t="s">
        <v>746</v>
      </c>
      <c r="E3747" s="3" t="s">
        <v>7620</v>
      </c>
      <c r="F3747" s="3" t="s">
        <v>7611</v>
      </c>
      <c r="G3747" s="3" t="s">
        <v>7621</v>
      </c>
    </row>
    <row r="3748" spans="1:7">
      <c r="A3748" s="2">
        <v>168</v>
      </c>
      <c r="B3748" s="2" t="s">
        <v>626</v>
      </c>
      <c r="C3748" s="2">
        <v>207</v>
      </c>
      <c r="D3748" s="2" t="s">
        <v>749</v>
      </c>
      <c r="E3748" s="2" t="s">
        <v>7618</v>
      </c>
      <c r="F3748" s="2" t="s">
        <v>7611</v>
      </c>
      <c r="G3748" s="2" t="s">
        <v>7617</v>
      </c>
    </row>
    <row r="3749" spans="1:7">
      <c r="A3749" s="3">
        <v>168</v>
      </c>
      <c r="B3749" s="3" t="s">
        <v>626</v>
      </c>
      <c r="C3749" s="3">
        <v>208</v>
      </c>
      <c r="D3749" s="3" t="s">
        <v>754</v>
      </c>
      <c r="E3749" s="3" t="s">
        <v>7620</v>
      </c>
      <c r="F3749" s="3" t="s">
        <v>7611</v>
      </c>
      <c r="G3749" s="3" t="s">
        <v>7622</v>
      </c>
    </row>
    <row r="3750" spans="1:7">
      <c r="A3750" s="2">
        <v>168</v>
      </c>
      <c r="B3750" s="2" t="s">
        <v>626</v>
      </c>
      <c r="C3750" s="2">
        <v>209</v>
      </c>
      <c r="D3750" s="2" t="s">
        <v>758</v>
      </c>
      <c r="E3750" s="2" t="s">
        <v>7618</v>
      </c>
      <c r="F3750" s="2" t="s">
        <v>7608</v>
      </c>
      <c r="G3750" s="2" t="s">
        <v>7609</v>
      </c>
    </row>
    <row r="3751" spans="1:7">
      <c r="A3751" s="3">
        <v>168</v>
      </c>
      <c r="B3751" s="3" t="s">
        <v>626</v>
      </c>
      <c r="C3751" s="3">
        <v>221</v>
      </c>
      <c r="D3751" s="3" t="s">
        <v>813</v>
      </c>
      <c r="E3751" s="3" t="s">
        <v>7697</v>
      </c>
      <c r="F3751" s="3" t="s">
        <v>7611</v>
      </c>
      <c r="G3751" s="3" t="s">
        <v>7632</v>
      </c>
    </row>
    <row r="3752" spans="1:7">
      <c r="A3752" s="2">
        <v>168</v>
      </c>
      <c r="B3752" s="2" t="s">
        <v>626</v>
      </c>
      <c r="C3752" s="2">
        <v>264</v>
      </c>
      <c r="D3752" s="2" t="s">
        <v>775</v>
      </c>
      <c r="E3752" s="2" t="s">
        <v>7618</v>
      </c>
      <c r="F3752" s="2" t="s">
        <v>7611</v>
      </c>
      <c r="G3752" s="2" t="s">
        <v>7617</v>
      </c>
    </row>
    <row r="3753" spans="1:7">
      <c r="A3753" s="3">
        <v>168</v>
      </c>
      <c r="B3753" s="3" t="s">
        <v>626</v>
      </c>
      <c r="C3753" s="3">
        <v>341</v>
      </c>
      <c r="D3753" s="3" t="s">
        <v>1052</v>
      </c>
      <c r="E3753" s="3" t="s">
        <v>7620</v>
      </c>
      <c r="F3753" s="3" t="s">
        <v>7611</v>
      </c>
      <c r="G3753" s="3" t="s">
        <v>7621</v>
      </c>
    </row>
    <row r="3754" spans="1:7">
      <c r="A3754" s="2">
        <v>168</v>
      </c>
      <c r="B3754" s="2" t="s">
        <v>626</v>
      </c>
      <c r="C3754" s="2">
        <v>343</v>
      </c>
      <c r="D3754" s="2" t="s">
        <v>977</v>
      </c>
      <c r="E3754" s="2" t="s">
        <v>7620</v>
      </c>
      <c r="F3754" s="2" t="s">
        <v>7611</v>
      </c>
      <c r="G3754" s="2" t="s">
        <v>7621</v>
      </c>
    </row>
    <row r="3755" spans="1:7">
      <c r="A3755" s="3">
        <v>169</v>
      </c>
      <c r="B3755" s="3" t="s">
        <v>616</v>
      </c>
      <c r="C3755" s="3">
        <v>191</v>
      </c>
      <c r="D3755" s="3" t="s">
        <v>719</v>
      </c>
      <c r="E3755" s="3" t="s">
        <v>7645</v>
      </c>
      <c r="F3755" s="3" t="s">
        <v>7611</v>
      </c>
      <c r="G3755" s="3" t="s">
        <v>7625</v>
      </c>
    </row>
    <row r="3756" spans="1:7">
      <c r="A3756" s="2">
        <v>169</v>
      </c>
      <c r="B3756" s="2" t="s">
        <v>616</v>
      </c>
      <c r="C3756" s="2">
        <v>195</v>
      </c>
      <c r="D3756" s="2" t="s">
        <v>734</v>
      </c>
      <c r="E3756" s="2" t="s">
        <v>7645</v>
      </c>
      <c r="F3756" s="2" t="s">
        <v>7611</v>
      </c>
      <c r="G3756" s="2" t="s">
        <v>7625</v>
      </c>
    </row>
    <row r="3757" spans="1:7">
      <c r="A3757" s="3">
        <v>169</v>
      </c>
      <c r="B3757" s="3" t="s">
        <v>616</v>
      </c>
      <c r="C3757" s="3">
        <v>199</v>
      </c>
      <c r="D3757" s="3" t="s">
        <v>702</v>
      </c>
      <c r="E3757" s="3" t="s">
        <v>7645</v>
      </c>
      <c r="F3757" s="3" t="s">
        <v>7611</v>
      </c>
      <c r="G3757" s="3" t="s">
        <v>7625</v>
      </c>
    </row>
    <row r="3758" spans="1:7">
      <c r="A3758" s="2">
        <v>169</v>
      </c>
      <c r="B3758" s="2" t="s">
        <v>616</v>
      </c>
      <c r="C3758" s="2">
        <v>207</v>
      </c>
      <c r="D3758" s="2" t="s">
        <v>749</v>
      </c>
      <c r="E3758" s="2" t="s">
        <v>7645</v>
      </c>
      <c r="F3758" s="2" t="s">
        <v>7611</v>
      </c>
      <c r="G3758" s="2" t="s">
        <v>7625</v>
      </c>
    </row>
    <row r="3759" spans="1:7">
      <c r="A3759" s="3">
        <v>169</v>
      </c>
      <c r="B3759" s="3" t="s">
        <v>616</v>
      </c>
      <c r="C3759" s="3">
        <v>221</v>
      </c>
      <c r="D3759" s="3" t="s">
        <v>813</v>
      </c>
      <c r="E3759" s="3" t="s">
        <v>7698</v>
      </c>
      <c r="F3759" s="3" t="s">
        <v>7611</v>
      </c>
      <c r="G3759" s="3" t="s">
        <v>7609</v>
      </c>
    </row>
    <row r="3760" spans="1:7">
      <c r="A3760" s="2">
        <v>169</v>
      </c>
      <c r="B3760" s="2" t="s">
        <v>616</v>
      </c>
      <c r="C3760" s="2">
        <v>264</v>
      </c>
      <c r="D3760" s="2" t="s">
        <v>775</v>
      </c>
      <c r="E3760" s="2" t="s">
        <v>7645</v>
      </c>
      <c r="F3760" s="2" t="s">
        <v>7611</v>
      </c>
      <c r="G3760" s="2" t="s">
        <v>7625</v>
      </c>
    </row>
    <row r="3761" spans="1:7">
      <c r="A3761" s="3">
        <v>170</v>
      </c>
      <c r="B3761" s="3" t="s">
        <v>619</v>
      </c>
      <c r="C3761" s="3">
        <v>221</v>
      </c>
      <c r="D3761" s="3" t="s">
        <v>813</v>
      </c>
      <c r="E3761" s="3" t="s">
        <v>7698</v>
      </c>
      <c r="F3761" s="3" t="s">
        <v>7608</v>
      </c>
      <c r="G3761" s="3" t="s">
        <v>7633</v>
      </c>
    </row>
    <row r="3762" spans="1:7">
      <c r="A3762" s="2">
        <v>171</v>
      </c>
      <c r="B3762" s="2" t="s">
        <v>622</v>
      </c>
      <c r="C3762" s="2">
        <v>191</v>
      </c>
      <c r="D3762" s="2" t="s">
        <v>719</v>
      </c>
      <c r="E3762" s="2" t="s">
        <v>7645</v>
      </c>
      <c r="F3762" s="2" t="s">
        <v>7611</v>
      </c>
      <c r="G3762" s="2" t="s">
        <v>7625</v>
      </c>
    </row>
    <row r="3763" spans="1:7">
      <c r="A3763" s="3">
        <v>171</v>
      </c>
      <c r="B3763" s="3" t="s">
        <v>622</v>
      </c>
      <c r="C3763" s="3">
        <v>195</v>
      </c>
      <c r="D3763" s="3" t="s">
        <v>734</v>
      </c>
      <c r="E3763" s="3" t="s">
        <v>7645</v>
      </c>
      <c r="F3763" s="3" t="s">
        <v>7611</v>
      </c>
      <c r="G3763" s="3" t="s">
        <v>7625</v>
      </c>
    </row>
    <row r="3764" spans="1:7">
      <c r="A3764" s="2">
        <v>171</v>
      </c>
      <c r="B3764" s="2" t="s">
        <v>622</v>
      </c>
      <c r="C3764" s="2">
        <v>199</v>
      </c>
      <c r="D3764" s="2" t="s">
        <v>702</v>
      </c>
      <c r="E3764" s="2" t="s">
        <v>7645</v>
      </c>
      <c r="F3764" s="2" t="s">
        <v>7611</v>
      </c>
      <c r="G3764" s="2" t="s">
        <v>7625</v>
      </c>
    </row>
    <row r="3765" spans="1:7">
      <c r="A3765" s="3">
        <v>171</v>
      </c>
      <c r="B3765" s="3" t="s">
        <v>622</v>
      </c>
      <c r="C3765" s="3">
        <v>207</v>
      </c>
      <c r="D3765" s="3" t="s">
        <v>749</v>
      </c>
      <c r="E3765" s="3" t="s">
        <v>7645</v>
      </c>
      <c r="F3765" s="3" t="s">
        <v>7611</v>
      </c>
      <c r="G3765" s="3" t="s">
        <v>7625</v>
      </c>
    </row>
    <row r="3766" spans="1:7">
      <c r="A3766" s="2">
        <v>171</v>
      </c>
      <c r="B3766" s="2" t="s">
        <v>622</v>
      </c>
      <c r="C3766" s="2">
        <v>221</v>
      </c>
      <c r="D3766" s="2" t="s">
        <v>813</v>
      </c>
      <c r="E3766" s="2" t="s">
        <v>7698</v>
      </c>
      <c r="F3766" s="2" t="s">
        <v>7611</v>
      </c>
      <c r="G3766" s="2" t="s">
        <v>7609</v>
      </c>
    </row>
    <row r="3767" spans="1:7">
      <c r="A3767" s="3">
        <v>171</v>
      </c>
      <c r="B3767" s="3" t="s">
        <v>622</v>
      </c>
      <c r="C3767" s="3">
        <v>264</v>
      </c>
      <c r="D3767" s="3" t="s">
        <v>775</v>
      </c>
      <c r="E3767" s="3" t="s">
        <v>7645</v>
      </c>
      <c r="F3767" s="3" t="s">
        <v>7611</v>
      </c>
      <c r="G3767" s="3" t="s">
        <v>7625</v>
      </c>
    </row>
    <row r="3768" spans="1:7">
      <c r="A3768" s="2">
        <v>172</v>
      </c>
      <c r="B3768" s="2" t="s">
        <v>630</v>
      </c>
      <c r="C3768" s="2">
        <v>191</v>
      </c>
      <c r="D3768" s="2" t="s">
        <v>719</v>
      </c>
      <c r="E3768" s="2" t="s">
        <v>7645</v>
      </c>
      <c r="F3768" s="2" t="s">
        <v>7611</v>
      </c>
      <c r="G3768" s="2" t="s">
        <v>7621</v>
      </c>
    </row>
    <row r="3769" spans="1:7">
      <c r="A3769" s="3">
        <v>172</v>
      </c>
      <c r="B3769" s="3" t="s">
        <v>630</v>
      </c>
      <c r="C3769" s="3">
        <v>195</v>
      </c>
      <c r="D3769" s="3" t="s">
        <v>734</v>
      </c>
      <c r="E3769" s="3" t="s">
        <v>7645</v>
      </c>
      <c r="F3769" s="3" t="s">
        <v>7611</v>
      </c>
      <c r="G3769" s="3" t="s">
        <v>7621</v>
      </c>
    </row>
    <row r="3770" spans="1:7">
      <c r="A3770" s="2">
        <v>172</v>
      </c>
      <c r="B3770" s="2" t="s">
        <v>630</v>
      </c>
      <c r="C3770" s="2">
        <v>199</v>
      </c>
      <c r="D3770" s="2" t="s">
        <v>702</v>
      </c>
      <c r="E3770" s="2" t="s">
        <v>7645</v>
      </c>
      <c r="F3770" s="2" t="s">
        <v>7611</v>
      </c>
      <c r="G3770" s="2" t="s">
        <v>7625</v>
      </c>
    </row>
    <row r="3771" spans="1:7">
      <c r="A3771" s="3">
        <v>172</v>
      </c>
      <c r="B3771" s="3" t="s">
        <v>630</v>
      </c>
      <c r="C3771" s="3">
        <v>207</v>
      </c>
      <c r="D3771" s="3" t="s">
        <v>749</v>
      </c>
      <c r="E3771" s="3" t="s">
        <v>7645</v>
      </c>
      <c r="F3771" s="3" t="s">
        <v>7611</v>
      </c>
      <c r="G3771" s="3" t="s">
        <v>7625</v>
      </c>
    </row>
    <row r="3772" spans="1:7">
      <c r="A3772" s="2">
        <v>172</v>
      </c>
      <c r="B3772" s="2" t="s">
        <v>630</v>
      </c>
      <c r="C3772" s="2">
        <v>221</v>
      </c>
      <c r="D3772" s="2" t="s">
        <v>813</v>
      </c>
      <c r="E3772" s="2" t="s">
        <v>7698</v>
      </c>
      <c r="F3772" s="2" t="s">
        <v>7611</v>
      </c>
      <c r="G3772" s="2" t="s">
        <v>7609</v>
      </c>
    </row>
    <row r="3773" spans="1:7">
      <c r="A3773" s="3">
        <v>172</v>
      </c>
      <c r="B3773" s="3" t="s">
        <v>630</v>
      </c>
      <c r="C3773" s="3">
        <v>264</v>
      </c>
      <c r="D3773" s="3" t="s">
        <v>775</v>
      </c>
      <c r="E3773" s="3" t="s">
        <v>7645</v>
      </c>
      <c r="F3773" s="3" t="s">
        <v>7611</v>
      </c>
      <c r="G3773" s="3" t="s">
        <v>7625</v>
      </c>
    </row>
    <row r="3774" spans="1:7">
      <c r="A3774" s="2">
        <v>173</v>
      </c>
      <c r="B3774" s="2" t="s">
        <v>633</v>
      </c>
      <c r="C3774" s="2">
        <v>191</v>
      </c>
      <c r="D3774" s="2" t="s">
        <v>719</v>
      </c>
      <c r="E3774" s="2" t="s">
        <v>7645</v>
      </c>
      <c r="F3774" s="2" t="s">
        <v>7611</v>
      </c>
      <c r="G3774" s="2" t="s">
        <v>7625</v>
      </c>
    </row>
    <row r="3775" spans="1:7">
      <c r="A3775" s="3">
        <v>173</v>
      </c>
      <c r="B3775" s="3" t="s">
        <v>633</v>
      </c>
      <c r="C3775" s="3">
        <v>195</v>
      </c>
      <c r="D3775" s="3" t="s">
        <v>734</v>
      </c>
      <c r="E3775" s="3" t="s">
        <v>7645</v>
      </c>
      <c r="F3775" s="3" t="s">
        <v>7611</v>
      </c>
      <c r="G3775" s="3" t="s">
        <v>7625</v>
      </c>
    </row>
    <row r="3776" spans="1:7">
      <c r="A3776" s="2">
        <v>173</v>
      </c>
      <c r="B3776" s="2" t="s">
        <v>633</v>
      </c>
      <c r="C3776" s="2">
        <v>199</v>
      </c>
      <c r="D3776" s="2" t="s">
        <v>702</v>
      </c>
      <c r="E3776" s="2" t="s">
        <v>7645</v>
      </c>
      <c r="F3776" s="2" t="s">
        <v>7611</v>
      </c>
      <c r="G3776" s="2" t="s">
        <v>7625</v>
      </c>
    </row>
    <row r="3777" spans="1:7">
      <c r="A3777" s="3">
        <v>173</v>
      </c>
      <c r="B3777" s="3" t="s">
        <v>633</v>
      </c>
      <c r="C3777" s="3">
        <v>207</v>
      </c>
      <c r="D3777" s="3" t="s">
        <v>749</v>
      </c>
      <c r="E3777" s="3" t="s">
        <v>7645</v>
      </c>
      <c r="F3777" s="3" t="s">
        <v>7611</v>
      </c>
      <c r="G3777" s="3" t="s">
        <v>7625</v>
      </c>
    </row>
    <row r="3778" spans="1:7">
      <c r="A3778" s="2">
        <v>173</v>
      </c>
      <c r="B3778" s="2" t="s">
        <v>633</v>
      </c>
      <c r="C3778" s="2">
        <v>221</v>
      </c>
      <c r="D3778" s="2" t="s">
        <v>813</v>
      </c>
      <c r="E3778" s="2" t="s">
        <v>7698</v>
      </c>
      <c r="F3778" s="2" t="s">
        <v>7611</v>
      </c>
      <c r="G3778" s="2" t="s">
        <v>7609</v>
      </c>
    </row>
    <row r="3779" spans="1:7">
      <c r="A3779" s="3">
        <v>173</v>
      </c>
      <c r="B3779" s="3" t="s">
        <v>633</v>
      </c>
      <c r="C3779" s="3">
        <v>264</v>
      </c>
      <c r="D3779" s="3" t="s">
        <v>775</v>
      </c>
      <c r="E3779" s="3" t="s">
        <v>7645</v>
      </c>
      <c r="F3779" s="3" t="s">
        <v>7611</v>
      </c>
      <c r="G3779" s="3" t="s">
        <v>7625</v>
      </c>
    </row>
    <row r="3780" spans="1:7">
      <c r="A3780" s="2">
        <v>174</v>
      </c>
      <c r="B3780" s="2" t="s">
        <v>612</v>
      </c>
      <c r="C3780" s="2">
        <v>221</v>
      </c>
      <c r="D3780" s="2" t="s">
        <v>813</v>
      </c>
      <c r="E3780" s="2" t="s">
        <v>7698</v>
      </c>
      <c r="F3780" s="2" t="s">
        <v>7608</v>
      </c>
      <c r="G3780" s="2" t="s">
        <v>7622</v>
      </c>
    </row>
    <row r="3781" spans="1:7">
      <c r="A3781" s="3">
        <v>175</v>
      </c>
      <c r="B3781" s="3" t="s">
        <v>636</v>
      </c>
      <c r="C3781" s="3">
        <v>191</v>
      </c>
      <c r="D3781" s="3" t="s">
        <v>719</v>
      </c>
      <c r="E3781" s="3" t="s">
        <v>7645</v>
      </c>
      <c r="F3781" s="3" t="s">
        <v>7659</v>
      </c>
      <c r="G3781" s="3" t="s">
        <v>7609</v>
      </c>
    </row>
    <row r="3782" spans="1:7">
      <c r="A3782" s="2">
        <v>175</v>
      </c>
      <c r="B3782" s="2" t="s">
        <v>636</v>
      </c>
      <c r="C3782" s="2">
        <v>195</v>
      </c>
      <c r="D3782" s="2" t="s">
        <v>734</v>
      </c>
      <c r="E3782" s="2" t="s">
        <v>7645</v>
      </c>
      <c r="F3782" s="2" t="s">
        <v>7659</v>
      </c>
      <c r="G3782" s="2" t="s">
        <v>7609</v>
      </c>
    </row>
    <row r="3783" spans="1:7">
      <c r="A3783" s="3">
        <v>175</v>
      </c>
      <c r="B3783" s="3" t="s">
        <v>636</v>
      </c>
      <c r="C3783" s="3">
        <v>198</v>
      </c>
      <c r="D3783" s="3" t="s">
        <v>698</v>
      </c>
      <c r="E3783" s="3" t="s">
        <v>7608</v>
      </c>
      <c r="F3783" s="3" t="s">
        <v>7659</v>
      </c>
      <c r="G3783" s="3" t="s">
        <v>7625</v>
      </c>
    </row>
    <row r="3784" spans="1:7">
      <c r="A3784" s="2">
        <v>175</v>
      </c>
      <c r="B3784" s="2" t="s">
        <v>636</v>
      </c>
      <c r="C3784" s="2">
        <v>199</v>
      </c>
      <c r="D3784" s="2" t="s">
        <v>702</v>
      </c>
      <c r="E3784" s="2" t="s">
        <v>7645</v>
      </c>
      <c r="F3784" s="2" t="s">
        <v>7659</v>
      </c>
      <c r="G3784" s="2" t="s">
        <v>7609</v>
      </c>
    </row>
    <row r="3785" spans="1:7">
      <c r="A3785" s="3">
        <v>175</v>
      </c>
      <c r="B3785" s="3" t="s">
        <v>636</v>
      </c>
      <c r="C3785" s="3">
        <v>200</v>
      </c>
      <c r="D3785" s="3" t="s">
        <v>707</v>
      </c>
      <c r="E3785" s="3" t="s">
        <v>7608</v>
      </c>
      <c r="F3785" s="3" t="s">
        <v>7659</v>
      </c>
      <c r="G3785" s="3" t="s">
        <v>7625</v>
      </c>
    </row>
    <row r="3786" spans="1:7">
      <c r="A3786" s="2">
        <v>175</v>
      </c>
      <c r="B3786" s="2" t="s">
        <v>636</v>
      </c>
      <c r="C3786" s="2">
        <v>201</v>
      </c>
      <c r="D3786" s="2" t="s">
        <v>695</v>
      </c>
      <c r="E3786" s="2" t="s">
        <v>7608</v>
      </c>
      <c r="F3786" s="2" t="s">
        <v>7659</v>
      </c>
      <c r="G3786" s="2" t="s">
        <v>7625</v>
      </c>
    </row>
    <row r="3787" spans="1:7">
      <c r="A3787" s="3">
        <v>175</v>
      </c>
      <c r="B3787" s="3" t="s">
        <v>636</v>
      </c>
      <c r="C3787" s="3">
        <v>204</v>
      </c>
      <c r="D3787" s="3" t="s">
        <v>685</v>
      </c>
      <c r="E3787" s="3" t="s">
        <v>7608</v>
      </c>
      <c r="F3787" s="3" t="s">
        <v>7659</v>
      </c>
      <c r="G3787" s="3" t="s">
        <v>7625</v>
      </c>
    </row>
    <row r="3788" spans="1:7">
      <c r="A3788" s="2">
        <v>175</v>
      </c>
      <c r="B3788" s="2" t="s">
        <v>636</v>
      </c>
      <c r="C3788" s="2">
        <v>207</v>
      </c>
      <c r="D3788" s="2" t="s">
        <v>749</v>
      </c>
      <c r="E3788" s="2" t="s">
        <v>7645</v>
      </c>
      <c r="F3788" s="2" t="s">
        <v>7611</v>
      </c>
      <c r="G3788" s="2" t="s">
        <v>7625</v>
      </c>
    </row>
    <row r="3789" spans="1:7">
      <c r="A3789" s="3">
        <v>175</v>
      </c>
      <c r="B3789" s="3" t="s">
        <v>636</v>
      </c>
      <c r="C3789" s="3">
        <v>209</v>
      </c>
      <c r="D3789" s="3" t="s">
        <v>758</v>
      </c>
      <c r="E3789" s="3" t="s">
        <v>7645</v>
      </c>
      <c r="F3789" s="3" t="s">
        <v>7652</v>
      </c>
      <c r="G3789" s="3" t="s">
        <v>7622</v>
      </c>
    </row>
    <row r="3790" spans="1:7">
      <c r="A3790" s="2">
        <v>175</v>
      </c>
      <c r="B3790" s="2" t="s">
        <v>636</v>
      </c>
      <c r="C3790" s="2">
        <v>221</v>
      </c>
      <c r="D3790" s="2" t="s">
        <v>813</v>
      </c>
      <c r="E3790" s="2" t="s">
        <v>7698</v>
      </c>
      <c r="F3790" s="2" t="s">
        <v>7649</v>
      </c>
      <c r="G3790" s="2" t="s">
        <v>7636</v>
      </c>
    </row>
    <row r="3791" spans="1:7">
      <c r="A3791" s="3">
        <v>175</v>
      </c>
      <c r="B3791" s="3" t="s">
        <v>636</v>
      </c>
      <c r="C3791" s="3">
        <v>264</v>
      </c>
      <c r="D3791" s="3" t="s">
        <v>775</v>
      </c>
      <c r="E3791" s="3" t="s">
        <v>7645</v>
      </c>
      <c r="F3791" s="3" t="s">
        <v>7659</v>
      </c>
      <c r="G3791" s="3" t="s">
        <v>7609</v>
      </c>
    </row>
    <row r="3792" spans="1:7">
      <c r="A3792" s="2">
        <v>175</v>
      </c>
      <c r="B3792" s="2" t="s">
        <v>636</v>
      </c>
      <c r="C3792" s="2">
        <v>312</v>
      </c>
      <c r="D3792" s="2" t="s">
        <v>949</v>
      </c>
      <c r="E3792" s="2" t="s">
        <v>7608</v>
      </c>
      <c r="F3792" s="2" t="s">
        <v>7659</v>
      </c>
      <c r="G3792" s="2" t="s">
        <v>7625</v>
      </c>
    </row>
    <row r="3793" spans="1:7">
      <c r="A3793" s="3">
        <v>175</v>
      </c>
      <c r="B3793" s="3" t="s">
        <v>636</v>
      </c>
      <c r="C3793" s="3">
        <v>343</v>
      </c>
      <c r="D3793" s="3" t="s">
        <v>977</v>
      </c>
      <c r="E3793" s="3" t="s">
        <v>7608</v>
      </c>
      <c r="F3793" s="3" t="s">
        <v>7659</v>
      </c>
      <c r="G3793" s="3" t="s">
        <v>7625</v>
      </c>
    </row>
    <row r="3794" spans="1:7">
      <c r="A3794" s="2">
        <v>176</v>
      </c>
      <c r="B3794" s="2" t="s">
        <v>609</v>
      </c>
      <c r="C3794" s="2">
        <v>191</v>
      </c>
      <c r="D3794" s="2" t="s">
        <v>719</v>
      </c>
      <c r="E3794" s="2" t="s">
        <v>7645</v>
      </c>
      <c r="F3794" s="2" t="s">
        <v>7628</v>
      </c>
      <c r="G3794" s="2" t="s">
        <v>7622</v>
      </c>
    </row>
    <row r="3795" spans="1:7">
      <c r="A3795" s="3">
        <v>176</v>
      </c>
      <c r="B3795" s="3" t="s">
        <v>609</v>
      </c>
      <c r="C3795" s="3">
        <v>195</v>
      </c>
      <c r="D3795" s="3" t="s">
        <v>734</v>
      </c>
      <c r="E3795" s="3" t="s">
        <v>7645</v>
      </c>
      <c r="F3795" s="3" t="s">
        <v>7628</v>
      </c>
      <c r="G3795" s="3" t="s">
        <v>7622</v>
      </c>
    </row>
    <row r="3796" spans="1:7">
      <c r="A3796" s="2">
        <v>176</v>
      </c>
      <c r="B3796" s="2" t="s">
        <v>609</v>
      </c>
      <c r="C3796" s="2">
        <v>199</v>
      </c>
      <c r="D3796" s="2" t="s">
        <v>702</v>
      </c>
      <c r="E3796" s="2" t="s">
        <v>7645</v>
      </c>
      <c r="F3796" s="2" t="s">
        <v>7628</v>
      </c>
      <c r="G3796" s="2" t="s">
        <v>7622</v>
      </c>
    </row>
    <row r="3797" spans="1:7">
      <c r="A3797" s="3">
        <v>176</v>
      </c>
      <c r="B3797" s="3" t="s">
        <v>609</v>
      </c>
      <c r="C3797" s="3">
        <v>207</v>
      </c>
      <c r="D3797" s="3" t="s">
        <v>749</v>
      </c>
      <c r="E3797" s="3" t="s">
        <v>7645</v>
      </c>
      <c r="F3797" s="3" t="s">
        <v>7611</v>
      </c>
      <c r="G3797" s="3" t="s">
        <v>7625</v>
      </c>
    </row>
    <row r="3798" spans="1:7">
      <c r="A3798" s="2">
        <v>176</v>
      </c>
      <c r="B3798" s="2" t="s">
        <v>609</v>
      </c>
      <c r="C3798" s="2">
        <v>209</v>
      </c>
      <c r="D3798" s="2" t="s">
        <v>758</v>
      </c>
      <c r="E3798" s="2" t="s">
        <v>7645</v>
      </c>
      <c r="F3798" s="2" t="s">
        <v>7635</v>
      </c>
      <c r="G3798" s="2" t="s">
        <v>7625</v>
      </c>
    </row>
    <row r="3799" spans="1:7">
      <c r="A3799" s="3">
        <v>176</v>
      </c>
      <c r="B3799" s="3" t="s">
        <v>609</v>
      </c>
      <c r="C3799" s="3">
        <v>221</v>
      </c>
      <c r="D3799" s="3" t="s">
        <v>813</v>
      </c>
      <c r="E3799" s="3" t="s">
        <v>7698</v>
      </c>
      <c r="F3799" s="3" t="s">
        <v>7611</v>
      </c>
      <c r="G3799" s="3" t="s">
        <v>7609</v>
      </c>
    </row>
    <row r="3800" spans="1:7">
      <c r="A3800" s="2">
        <v>176</v>
      </c>
      <c r="B3800" s="2" t="s">
        <v>609</v>
      </c>
      <c r="C3800" s="2">
        <v>264</v>
      </c>
      <c r="D3800" s="2" t="s">
        <v>775</v>
      </c>
      <c r="E3800" s="2" t="s">
        <v>7645</v>
      </c>
      <c r="F3800" s="2" t="s">
        <v>7628</v>
      </c>
      <c r="G3800" s="2" t="s">
        <v>7622</v>
      </c>
    </row>
    <row r="3801" spans="1:7">
      <c r="A3801" s="3">
        <v>176</v>
      </c>
      <c r="B3801" s="3" t="s">
        <v>609</v>
      </c>
      <c r="C3801" s="3">
        <v>312</v>
      </c>
      <c r="D3801" s="3" t="s">
        <v>949</v>
      </c>
      <c r="E3801" s="3" t="s">
        <v>7608</v>
      </c>
      <c r="F3801" s="3" t="s">
        <v>7631</v>
      </c>
      <c r="G3801" s="3" t="s">
        <v>7625</v>
      </c>
    </row>
    <row r="3802" spans="1:7">
      <c r="A3802" s="2">
        <v>177</v>
      </c>
      <c r="B3802" s="2" t="s">
        <v>605</v>
      </c>
      <c r="C3802" s="2">
        <v>191</v>
      </c>
      <c r="D3802" s="2" t="s">
        <v>719</v>
      </c>
      <c r="E3802" s="2" t="s">
        <v>7645</v>
      </c>
      <c r="F3802" s="2" t="s">
        <v>7650</v>
      </c>
      <c r="G3802" s="2" t="s">
        <v>7621</v>
      </c>
    </row>
    <row r="3803" spans="1:7">
      <c r="A3803" s="3">
        <v>177</v>
      </c>
      <c r="B3803" s="3" t="s">
        <v>605</v>
      </c>
      <c r="C3803" s="3">
        <v>195</v>
      </c>
      <c r="D3803" s="3" t="s">
        <v>734</v>
      </c>
      <c r="E3803" s="3" t="s">
        <v>7645</v>
      </c>
      <c r="F3803" s="3" t="s">
        <v>7650</v>
      </c>
      <c r="G3803" s="3" t="s">
        <v>7621</v>
      </c>
    </row>
    <row r="3804" spans="1:7">
      <c r="A3804" s="2">
        <v>177</v>
      </c>
      <c r="B3804" s="2" t="s">
        <v>605</v>
      </c>
      <c r="C3804" s="2">
        <v>199</v>
      </c>
      <c r="D3804" s="2" t="s">
        <v>702</v>
      </c>
      <c r="E3804" s="2" t="s">
        <v>7645</v>
      </c>
      <c r="F3804" s="2" t="s">
        <v>7650</v>
      </c>
      <c r="G3804" s="2" t="s">
        <v>7621</v>
      </c>
    </row>
    <row r="3805" spans="1:7">
      <c r="A3805" s="3">
        <v>177</v>
      </c>
      <c r="B3805" s="3" t="s">
        <v>605</v>
      </c>
      <c r="C3805" s="3">
        <v>209</v>
      </c>
      <c r="D3805" s="3" t="s">
        <v>758</v>
      </c>
      <c r="E3805" s="3" t="s">
        <v>7645</v>
      </c>
      <c r="F3805" s="3" t="s">
        <v>7650</v>
      </c>
      <c r="G3805" s="3" t="s">
        <v>7621</v>
      </c>
    </row>
    <row r="3806" spans="1:7">
      <c r="A3806" s="2">
        <v>177</v>
      </c>
      <c r="B3806" s="2" t="s">
        <v>605</v>
      </c>
      <c r="C3806" s="2">
        <v>221</v>
      </c>
      <c r="D3806" s="2" t="s">
        <v>813</v>
      </c>
      <c r="E3806" s="2" t="s">
        <v>7698</v>
      </c>
      <c r="F3806" s="2" t="s">
        <v>7650</v>
      </c>
      <c r="G3806" s="2" t="s">
        <v>7617</v>
      </c>
    </row>
    <row r="3807" spans="1:7">
      <c r="A3807" s="3">
        <v>177</v>
      </c>
      <c r="B3807" s="3" t="s">
        <v>605</v>
      </c>
      <c r="C3807" s="3">
        <v>264</v>
      </c>
      <c r="D3807" s="3" t="s">
        <v>775</v>
      </c>
      <c r="E3807" s="3" t="s">
        <v>7645</v>
      </c>
      <c r="F3807" s="3" t="s">
        <v>7650</v>
      </c>
      <c r="G3807" s="3" t="s">
        <v>7621</v>
      </c>
    </row>
    <row r="3808" spans="1:7">
      <c r="A3808" s="2">
        <v>178</v>
      </c>
      <c r="B3808" s="2" t="s">
        <v>640</v>
      </c>
      <c r="C3808" s="2">
        <v>191</v>
      </c>
      <c r="D3808" s="2" t="s">
        <v>719</v>
      </c>
      <c r="E3808" s="2" t="s">
        <v>7618</v>
      </c>
      <c r="F3808" s="2" t="s">
        <v>7611</v>
      </c>
      <c r="G3808" s="2" t="s">
        <v>7617</v>
      </c>
    </row>
    <row r="3809" spans="1:7">
      <c r="A3809" s="3">
        <v>178</v>
      </c>
      <c r="B3809" s="3" t="s">
        <v>640</v>
      </c>
      <c r="C3809" s="3">
        <v>195</v>
      </c>
      <c r="D3809" s="3" t="s">
        <v>734</v>
      </c>
      <c r="E3809" s="3" t="s">
        <v>7618</v>
      </c>
      <c r="F3809" s="3" t="s">
        <v>7611</v>
      </c>
      <c r="G3809" s="3" t="s">
        <v>7617</v>
      </c>
    </row>
    <row r="3810" spans="1:7">
      <c r="A3810" s="2">
        <v>178</v>
      </c>
      <c r="B3810" s="2" t="s">
        <v>640</v>
      </c>
      <c r="C3810" s="2">
        <v>198</v>
      </c>
      <c r="D3810" s="2" t="s">
        <v>698</v>
      </c>
      <c r="E3810" s="2" t="s">
        <v>7620</v>
      </c>
      <c r="F3810" s="2" t="s">
        <v>7611</v>
      </c>
      <c r="G3810" s="2" t="s">
        <v>7621</v>
      </c>
    </row>
    <row r="3811" spans="1:7">
      <c r="A3811" s="3">
        <v>178</v>
      </c>
      <c r="B3811" s="3" t="s">
        <v>640</v>
      </c>
      <c r="C3811" s="3">
        <v>199</v>
      </c>
      <c r="D3811" s="3" t="s">
        <v>702</v>
      </c>
      <c r="E3811" s="3" t="s">
        <v>7630</v>
      </c>
      <c r="F3811" s="3" t="s">
        <v>7611</v>
      </c>
      <c r="G3811" s="3" t="s">
        <v>7617</v>
      </c>
    </row>
    <row r="3812" spans="1:7">
      <c r="A3812" s="2">
        <v>178</v>
      </c>
      <c r="B3812" s="2" t="s">
        <v>640</v>
      </c>
      <c r="C3812" s="2">
        <v>200</v>
      </c>
      <c r="D3812" s="2" t="s">
        <v>707</v>
      </c>
      <c r="E3812" s="2" t="s">
        <v>7620</v>
      </c>
      <c r="F3812" s="2" t="s">
        <v>7611</v>
      </c>
      <c r="G3812" s="2" t="s">
        <v>7625</v>
      </c>
    </row>
    <row r="3813" spans="1:7">
      <c r="A3813" s="3">
        <v>178</v>
      </c>
      <c r="B3813" s="3" t="s">
        <v>640</v>
      </c>
      <c r="C3813" s="3">
        <v>205</v>
      </c>
      <c r="D3813" s="3" t="s">
        <v>746</v>
      </c>
      <c r="E3813" s="3" t="s">
        <v>7620</v>
      </c>
      <c r="F3813" s="3" t="s">
        <v>7611</v>
      </c>
      <c r="G3813" s="3" t="s">
        <v>7621</v>
      </c>
    </row>
    <row r="3814" spans="1:7">
      <c r="A3814" s="2">
        <v>178</v>
      </c>
      <c r="B3814" s="2" t="s">
        <v>640</v>
      </c>
      <c r="C3814" s="2">
        <v>207</v>
      </c>
      <c r="D3814" s="2" t="s">
        <v>749</v>
      </c>
      <c r="E3814" s="2" t="s">
        <v>7618</v>
      </c>
      <c r="F3814" s="2" t="s">
        <v>7611</v>
      </c>
      <c r="G3814" s="2" t="s">
        <v>7617</v>
      </c>
    </row>
    <row r="3815" spans="1:7">
      <c r="A3815" s="3">
        <v>178</v>
      </c>
      <c r="B3815" s="3" t="s">
        <v>640</v>
      </c>
      <c r="C3815" s="3">
        <v>208</v>
      </c>
      <c r="D3815" s="3" t="s">
        <v>754</v>
      </c>
      <c r="E3815" s="3" t="s">
        <v>7620</v>
      </c>
      <c r="F3815" s="3" t="s">
        <v>7611</v>
      </c>
      <c r="G3815" s="3" t="s">
        <v>7621</v>
      </c>
    </row>
    <row r="3816" spans="1:7">
      <c r="A3816" s="2">
        <v>178</v>
      </c>
      <c r="B3816" s="2" t="s">
        <v>640</v>
      </c>
      <c r="C3816" s="2">
        <v>209</v>
      </c>
      <c r="D3816" s="2" t="s">
        <v>758</v>
      </c>
      <c r="E3816" s="2" t="s">
        <v>7618</v>
      </c>
      <c r="F3816" s="2" t="s">
        <v>7608</v>
      </c>
      <c r="G3816" s="2" t="s">
        <v>7633</v>
      </c>
    </row>
    <row r="3817" spans="1:7">
      <c r="A3817" s="3">
        <v>178</v>
      </c>
      <c r="B3817" s="3" t="s">
        <v>640</v>
      </c>
      <c r="C3817" s="3">
        <v>221</v>
      </c>
      <c r="D3817" s="3" t="s">
        <v>813</v>
      </c>
      <c r="E3817" s="3" t="s">
        <v>7699</v>
      </c>
      <c r="F3817" s="3" t="s">
        <v>7611</v>
      </c>
      <c r="G3817" s="3" t="s">
        <v>7637</v>
      </c>
    </row>
    <row r="3818" spans="1:7">
      <c r="A3818" s="2">
        <v>178</v>
      </c>
      <c r="B3818" s="2" t="s">
        <v>640</v>
      </c>
      <c r="C3818" s="2">
        <v>264</v>
      </c>
      <c r="D3818" s="2" t="s">
        <v>775</v>
      </c>
      <c r="E3818" s="2" t="s">
        <v>7618</v>
      </c>
      <c r="F3818" s="2" t="s">
        <v>7611</v>
      </c>
      <c r="G3818" s="2" t="s">
        <v>7617</v>
      </c>
    </row>
    <row r="3819" spans="1:7">
      <c r="A3819" s="3">
        <v>178</v>
      </c>
      <c r="B3819" s="3" t="s">
        <v>640</v>
      </c>
      <c r="C3819" s="3">
        <v>341</v>
      </c>
      <c r="D3819" s="3" t="s">
        <v>1052</v>
      </c>
      <c r="E3819" s="3" t="s">
        <v>7620</v>
      </c>
      <c r="F3819" s="3" t="s">
        <v>7611</v>
      </c>
      <c r="G3819" s="3" t="s">
        <v>7621</v>
      </c>
    </row>
    <row r="3820" spans="1:7">
      <c r="A3820" s="2">
        <v>178</v>
      </c>
      <c r="B3820" s="2" t="s">
        <v>640</v>
      </c>
      <c r="C3820" s="2">
        <v>343</v>
      </c>
      <c r="D3820" s="2" t="s">
        <v>977</v>
      </c>
      <c r="E3820" s="2" t="s">
        <v>7620</v>
      </c>
      <c r="F3820" s="2" t="s">
        <v>7611</v>
      </c>
      <c r="G3820" s="2" t="s">
        <v>7625</v>
      </c>
    </row>
    <row r="3821" spans="1:7">
      <c r="A3821" s="3">
        <v>179</v>
      </c>
      <c r="B3821" s="3" t="s">
        <v>603</v>
      </c>
      <c r="C3821" s="3">
        <v>221</v>
      </c>
      <c r="D3821" s="3" t="s">
        <v>813</v>
      </c>
      <c r="E3821" s="3" t="s">
        <v>7698</v>
      </c>
      <c r="F3821" s="3" t="s">
        <v>7608</v>
      </c>
      <c r="G3821" s="3" t="s">
        <v>7609</v>
      </c>
    </row>
    <row r="3822" spans="1:7">
      <c r="A3822" s="2">
        <v>181</v>
      </c>
      <c r="B3822" s="2" t="s">
        <v>653</v>
      </c>
      <c r="C3822" s="2">
        <v>183</v>
      </c>
      <c r="D3822" s="2" t="s">
        <v>660</v>
      </c>
      <c r="E3822" s="2" t="s">
        <v>7715</v>
      </c>
      <c r="F3822" s="2" t="s">
        <v>7732</v>
      </c>
      <c r="G3822" s="2" t="s">
        <v>7621</v>
      </c>
    </row>
    <row r="3823" spans="1:7">
      <c r="A3823" s="3">
        <v>181</v>
      </c>
      <c r="B3823" s="3" t="s">
        <v>653</v>
      </c>
      <c r="C3823" s="3">
        <v>189</v>
      </c>
      <c r="D3823" s="3" t="s">
        <v>742</v>
      </c>
      <c r="E3823" s="3" t="s">
        <v>7635</v>
      </c>
      <c r="F3823" s="3" t="s">
        <v>7608</v>
      </c>
      <c r="G3823" s="3" t="s">
        <v>7625</v>
      </c>
    </row>
    <row r="3824" spans="1:7">
      <c r="A3824" s="2">
        <v>181</v>
      </c>
      <c r="B3824" s="2" t="s">
        <v>653</v>
      </c>
      <c r="C3824" s="2">
        <v>191</v>
      </c>
      <c r="D3824" s="2" t="s">
        <v>719</v>
      </c>
      <c r="E3824" s="2" t="s">
        <v>7635</v>
      </c>
      <c r="F3824" s="2" t="s">
        <v>7652</v>
      </c>
      <c r="G3824" s="2" t="s">
        <v>7609</v>
      </c>
    </row>
    <row r="3825" spans="1:7">
      <c r="A3825" s="3">
        <v>181</v>
      </c>
      <c r="B3825" s="3" t="s">
        <v>653</v>
      </c>
      <c r="C3825" s="3">
        <v>195</v>
      </c>
      <c r="D3825" s="3" t="s">
        <v>734</v>
      </c>
      <c r="E3825" s="3" t="s">
        <v>7635</v>
      </c>
      <c r="F3825" s="3" t="s">
        <v>7652</v>
      </c>
      <c r="G3825" s="3" t="s">
        <v>7617</v>
      </c>
    </row>
    <row r="3826" spans="1:7">
      <c r="A3826" s="2">
        <v>181</v>
      </c>
      <c r="B3826" s="2" t="s">
        <v>653</v>
      </c>
      <c r="C3826" s="2">
        <v>198</v>
      </c>
      <c r="D3826" s="2" t="s">
        <v>698</v>
      </c>
      <c r="E3826" s="2" t="s">
        <v>7743</v>
      </c>
      <c r="F3826" s="2" t="s">
        <v>7652</v>
      </c>
      <c r="G3826" s="2" t="s">
        <v>7637</v>
      </c>
    </row>
    <row r="3827" spans="1:7">
      <c r="A3827" s="3">
        <v>181</v>
      </c>
      <c r="B3827" s="3" t="s">
        <v>653</v>
      </c>
      <c r="C3827" s="3">
        <v>199</v>
      </c>
      <c r="D3827" s="3" t="s">
        <v>702</v>
      </c>
      <c r="E3827" s="3" t="s">
        <v>7635</v>
      </c>
      <c r="F3827" s="3" t="s">
        <v>7652</v>
      </c>
      <c r="G3827" s="3" t="s">
        <v>7617</v>
      </c>
    </row>
    <row r="3828" spans="1:7">
      <c r="A3828" s="2">
        <v>181</v>
      </c>
      <c r="B3828" s="2" t="s">
        <v>653</v>
      </c>
      <c r="C3828" s="2">
        <v>200</v>
      </c>
      <c r="D3828" s="2" t="s">
        <v>707</v>
      </c>
      <c r="E3828" s="2" t="s">
        <v>7743</v>
      </c>
      <c r="F3828" s="2" t="s">
        <v>7652</v>
      </c>
      <c r="G3828" s="2" t="s">
        <v>7644</v>
      </c>
    </row>
    <row r="3829" spans="1:7">
      <c r="A3829" s="3">
        <v>181</v>
      </c>
      <c r="B3829" s="3" t="s">
        <v>653</v>
      </c>
      <c r="C3829" s="3">
        <v>201</v>
      </c>
      <c r="D3829" s="3" t="s">
        <v>695</v>
      </c>
      <c r="E3829" s="3" t="s">
        <v>7724</v>
      </c>
      <c r="F3829" s="3" t="s">
        <v>7652</v>
      </c>
      <c r="G3829" s="3" t="s">
        <v>7634</v>
      </c>
    </row>
    <row r="3830" spans="1:7">
      <c r="A3830" s="2">
        <v>181</v>
      </c>
      <c r="B3830" s="2" t="s">
        <v>653</v>
      </c>
      <c r="C3830" s="2">
        <v>205</v>
      </c>
      <c r="D3830" s="2" t="s">
        <v>746</v>
      </c>
      <c r="E3830" s="2" t="s">
        <v>7635</v>
      </c>
      <c r="F3830" s="2" t="s">
        <v>7635</v>
      </c>
      <c r="G3830" s="2" t="s">
        <v>7622</v>
      </c>
    </row>
    <row r="3831" spans="1:7">
      <c r="A3831" s="3">
        <v>181</v>
      </c>
      <c r="B3831" s="3" t="s">
        <v>653</v>
      </c>
      <c r="C3831" s="3">
        <v>208</v>
      </c>
      <c r="D3831" s="3" t="s">
        <v>754</v>
      </c>
      <c r="E3831" s="3" t="s">
        <v>7635</v>
      </c>
      <c r="F3831" s="3" t="s">
        <v>7635</v>
      </c>
      <c r="G3831" s="3" t="s">
        <v>7621</v>
      </c>
    </row>
    <row r="3832" spans="1:7">
      <c r="A3832" s="2">
        <v>181</v>
      </c>
      <c r="B3832" s="2" t="s">
        <v>653</v>
      </c>
      <c r="C3832" s="2">
        <v>209</v>
      </c>
      <c r="D3832" s="2" t="s">
        <v>758</v>
      </c>
      <c r="E3832" s="2" t="s">
        <v>7608</v>
      </c>
      <c r="F3832" s="2" t="s">
        <v>7652</v>
      </c>
      <c r="G3832" s="2" t="s">
        <v>7621</v>
      </c>
    </row>
    <row r="3833" spans="1:7">
      <c r="A3833" s="3">
        <v>181</v>
      </c>
      <c r="B3833" s="3" t="s">
        <v>653</v>
      </c>
      <c r="C3833" s="3">
        <v>220</v>
      </c>
      <c r="D3833" s="3" t="s">
        <v>810</v>
      </c>
      <c r="E3833" s="3" t="s">
        <v>7715</v>
      </c>
      <c r="F3833" s="3" t="s">
        <v>7652</v>
      </c>
      <c r="G3833" s="3" t="s">
        <v>7622</v>
      </c>
    </row>
    <row r="3834" spans="1:7">
      <c r="A3834" s="2">
        <v>181</v>
      </c>
      <c r="B3834" s="2" t="s">
        <v>653</v>
      </c>
      <c r="C3834" s="2">
        <v>264</v>
      </c>
      <c r="D3834" s="2" t="s">
        <v>775</v>
      </c>
      <c r="E3834" s="2" t="s">
        <v>7635</v>
      </c>
      <c r="F3834" s="2" t="s">
        <v>7652</v>
      </c>
      <c r="G3834" s="2" t="s">
        <v>7636</v>
      </c>
    </row>
    <row r="3835" spans="1:7">
      <c r="A3835" s="3">
        <v>181</v>
      </c>
      <c r="B3835" s="3" t="s">
        <v>653</v>
      </c>
      <c r="C3835" s="3">
        <v>280</v>
      </c>
      <c r="D3835" s="3" t="s">
        <v>847</v>
      </c>
      <c r="E3835" s="3" t="s">
        <v>7715</v>
      </c>
      <c r="F3835" s="3" t="s">
        <v>7732</v>
      </c>
      <c r="G3835" s="3" t="s">
        <v>7621</v>
      </c>
    </row>
    <row r="3836" spans="1:7">
      <c r="A3836" s="2">
        <v>181</v>
      </c>
      <c r="B3836" s="2" t="s">
        <v>653</v>
      </c>
      <c r="C3836" s="2">
        <v>326</v>
      </c>
      <c r="D3836" s="2" t="s">
        <v>1022</v>
      </c>
      <c r="E3836" s="2" t="s">
        <v>7715</v>
      </c>
      <c r="F3836" s="2" t="s">
        <v>7635</v>
      </c>
      <c r="G3836" s="2" t="s">
        <v>7621</v>
      </c>
    </row>
    <row r="3837" spans="1:7">
      <c r="A3837" s="3">
        <v>181</v>
      </c>
      <c r="B3837" s="3" t="s">
        <v>653</v>
      </c>
      <c r="C3837" s="3">
        <v>343</v>
      </c>
      <c r="D3837" s="3" t="s">
        <v>977</v>
      </c>
      <c r="E3837" s="3" t="s">
        <v>7743</v>
      </c>
      <c r="F3837" s="3" t="s">
        <v>7652</v>
      </c>
      <c r="G3837" s="3" t="s">
        <v>7641</v>
      </c>
    </row>
    <row r="3838" spans="1:7">
      <c r="A3838" s="2">
        <v>181</v>
      </c>
      <c r="B3838" s="2" t="s">
        <v>653</v>
      </c>
      <c r="C3838" s="2">
        <v>406</v>
      </c>
      <c r="D3838" s="2" t="s">
        <v>1114</v>
      </c>
      <c r="E3838" s="2" t="s">
        <v>7715</v>
      </c>
      <c r="F3838" s="2" t="s">
        <v>7735</v>
      </c>
      <c r="G3838" s="2" t="s">
        <v>7633</v>
      </c>
    </row>
    <row r="3839" spans="1:7">
      <c r="A3839" s="3">
        <v>183</v>
      </c>
      <c r="B3839" s="3" t="s">
        <v>660</v>
      </c>
      <c r="C3839" s="3">
        <v>191</v>
      </c>
      <c r="D3839" s="3" t="s">
        <v>719</v>
      </c>
      <c r="E3839" s="3" t="s">
        <v>7618</v>
      </c>
      <c r="F3839" s="3" t="s">
        <v>7611</v>
      </c>
      <c r="G3839" s="3" t="s">
        <v>7636</v>
      </c>
    </row>
    <row r="3840" spans="1:7">
      <c r="A3840" s="2">
        <v>183</v>
      </c>
      <c r="B3840" s="2" t="s">
        <v>660</v>
      </c>
      <c r="C3840" s="2">
        <v>195</v>
      </c>
      <c r="D3840" s="2" t="s">
        <v>734</v>
      </c>
      <c r="E3840" s="2" t="s">
        <v>7618</v>
      </c>
      <c r="F3840" s="2" t="s">
        <v>7611</v>
      </c>
      <c r="G3840" s="2" t="s">
        <v>7617</v>
      </c>
    </row>
    <row r="3841" spans="1:7">
      <c r="A3841" s="3">
        <v>183</v>
      </c>
      <c r="B3841" s="3" t="s">
        <v>660</v>
      </c>
      <c r="C3841" s="3">
        <v>198</v>
      </c>
      <c r="D3841" s="3" t="s">
        <v>698</v>
      </c>
      <c r="E3841" s="3" t="s">
        <v>7620</v>
      </c>
      <c r="F3841" s="3" t="s">
        <v>7611</v>
      </c>
      <c r="G3841" s="3" t="s">
        <v>7621</v>
      </c>
    </row>
    <row r="3842" spans="1:7">
      <c r="A3842" s="2">
        <v>183</v>
      </c>
      <c r="B3842" s="2" t="s">
        <v>660</v>
      </c>
      <c r="C3842" s="2">
        <v>199</v>
      </c>
      <c r="D3842" s="2" t="s">
        <v>702</v>
      </c>
      <c r="E3842" s="2" t="s">
        <v>7618</v>
      </c>
      <c r="F3842" s="2" t="s">
        <v>7611</v>
      </c>
      <c r="G3842" s="2" t="s">
        <v>7636</v>
      </c>
    </row>
    <row r="3843" spans="1:7">
      <c r="A3843" s="3">
        <v>183</v>
      </c>
      <c r="B3843" s="3" t="s">
        <v>660</v>
      </c>
      <c r="C3843" s="3">
        <v>200</v>
      </c>
      <c r="D3843" s="3" t="s">
        <v>707</v>
      </c>
      <c r="E3843" s="3" t="s">
        <v>7620</v>
      </c>
      <c r="F3843" s="3" t="s">
        <v>7611</v>
      </c>
      <c r="G3843" s="3" t="s">
        <v>7625</v>
      </c>
    </row>
    <row r="3844" spans="1:7">
      <c r="A3844" s="2">
        <v>183</v>
      </c>
      <c r="B3844" s="2" t="s">
        <v>660</v>
      </c>
      <c r="C3844" s="2">
        <v>205</v>
      </c>
      <c r="D3844" s="2" t="s">
        <v>746</v>
      </c>
      <c r="E3844" s="2" t="s">
        <v>7620</v>
      </c>
      <c r="F3844" s="2" t="s">
        <v>7611</v>
      </c>
      <c r="G3844" s="2" t="s">
        <v>7621</v>
      </c>
    </row>
    <row r="3845" spans="1:7">
      <c r="A3845" s="3">
        <v>183</v>
      </c>
      <c r="B3845" s="3" t="s">
        <v>660</v>
      </c>
      <c r="C3845" s="3">
        <v>207</v>
      </c>
      <c r="D3845" s="3" t="s">
        <v>749</v>
      </c>
      <c r="E3845" s="3" t="s">
        <v>7618</v>
      </c>
      <c r="F3845" s="3" t="s">
        <v>7611</v>
      </c>
      <c r="G3845" s="3" t="s">
        <v>7636</v>
      </c>
    </row>
    <row r="3846" spans="1:7">
      <c r="A3846" s="2">
        <v>183</v>
      </c>
      <c r="B3846" s="2" t="s">
        <v>660</v>
      </c>
      <c r="C3846" s="2">
        <v>208</v>
      </c>
      <c r="D3846" s="2" t="s">
        <v>754</v>
      </c>
      <c r="E3846" s="2" t="s">
        <v>7620</v>
      </c>
      <c r="F3846" s="2" t="s">
        <v>7611</v>
      </c>
      <c r="G3846" s="2" t="s">
        <v>7622</v>
      </c>
    </row>
    <row r="3847" spans="1:7">
      <c r="A3847" s="3">
        <v>183</v>
      </c>
      <c r="B3847" s="3" t="s">
        <v>660</v>
      </c>
      <c r="C3847" s="3">
        <v>209</v>
      </c>
      <c r="D3847" s="3" t="s">
        <v>758</v>
      </c>
      <c r="E3847" s="3" t="s">
        <v>7618</v>
      </c>
      <c r="F3847" s="3" t="s">
        <v>7608</v>
      </c>
      <c r="G3847" s="3" t="s">
        <v>7633</v>
      </c>
    </row>
    <row r="3848" spans="1:7">
      <c r="A3848" s="2">
        <v>183</v>
      </c>
      <c r="B3848" s="2" t="s">
        <v>660</v>
      </c>
      <c r="C3848" s="2">
        <v>221</v>
      </c>
      <c r="D3848" s="2" t="s">
        <v>813</v>
      </c>
      <c r="E3848" s="2" t="s">
        <v>7618</v>
      </c>
      <c r="F3848" s="2" t="s">
        <v>7611</v>
      </c>
      <c r="G3848" s="2" t="s">
        <v>7619</v>
      </c>
    </row>
    <row r="3849" spans="1:7">
      <c r="A3849" s="3">
        <v>183</v>
      </c>
      <c r="B3849" s="3" t="s">
        <v>660</v>
      </c>
      <c r="C3849" s="3">
        <v>264</v>
      </c>
      <c r="D3849" s="3" t="s">
        <v>775</v>
      </c>
      <c r="E3849" s="3" t="s">
        <v>7618</v>
      </c>
      <c r="F3849" s="3" t="s">
        <v>7611</v>
      </c>
      <c r="G3849" s="3" t="s">
        <v>7617</v>
      </c>
    </row>
    <row r="3850" spans="1:7">
      <c r="A3850" s="2">
        <v>183</v>
      </c>
      <c r="B3850" s="2" t="s">
        <v>660</v>
      </c>
      <c r="C3850" s="2">
        <v>341</v>
      </c>
      <c r="D3850" s="2" t="s">
        <v>1052</v>
      </c>
      <c r="E3850" s="2" t="s">
        <v>7620</v>
      </c>
      <c r="F3850" s="2" t="s">
        <v>7611</v>
      </c>
      <c r="G3850" s="2" t="s">
        <v>7633</v>
      </c>
    </row>
    <row r="3851" spans="1:7">
      <c r="A3851" s="3">
        <v>183</v>
      </c>
      <c r="B3851" s="3" t="s">
        <v>660</v>
      </c>
      <c r="C3851" s="3">
        <v>343</v>
      </c>
      <c r="D3851" s="3" t="s">
        <v>977</v>
      </c>
      <c r="E3851" s="3" t="s">
        <v>7620</v>
      </c>
      <c r="F3851" s="3" t="s">
        <v>7611</v>
      </c>
      <c r="G3851" s="3" t="s">
        <v>7625</v>
      </c>
    </row>
    <row r="3852" spans="1:7">
      <c r="A3852" s="2">
        <v>184</v>
      </c>
      <c r="B3852" s="2" t="s">
        <v>662</v>
      </c>
      <c r="C3852" s="2">
        <v>191</v>
      </c>
      <c r="D3852" s="2" t="s">
        <v>719</v>
      </c>
      <c r="E3852" s="2" t="s">
        <v>7618</v>
      </c>
      <c r="F3852" s="2" t="s">
        <v>7649</v>
      </c>
      <c r="G3852" s="2" t="s">
        <v>7624</v>
      </c>
    </row>
    <row r="3853" spans="1:7">
      <c r="A3853" s="3">
        <v>184</v>
      </c>
      <c r="B3853" s="3" t="s">
        <v>662</v>
      </c>
      <c r="C3853" s="3">
        <v>195</v>
      </c>
      <c r="D3853" s="3" t="s">
        <v>734</v>
      </c>
      <c r="E3853" s="3" t="s">
        <v>7618</v>
      </c>
      <c r="F3853" s="3" t="s">
        <v>7649</v>
      </c>
      <c r="G3853" s="3" t="s">
        <v>7639</v>
      </c>
    </row>
    <row r="3854" spans="1:7">
      <c r="A3854" s="2">
        <v>184</v>
      </c>
      <c r="B3854" s="2" t="s">
        <v>662</v>
      </c>
      <c r="C3854" s="2">
        <v>198</v>
      </c>
      <c r="D3854" s="2" t="s">
        <v>698</v>
      </c>
      <c r="E3854" s="2" t="s">
        <v>7620</v>
      </c>
      <c r="F3854" s="2" t="s">
        <v>7649</v>
      </c>
      <c r="G3854" s="2" t="s">
        <v>7617</v>
      </c>
    </row>
    <row r="3855" spans="1:7">
      <c r="A3855" s="3">
        <v>184</v>
      </c>
      <c r="B3855" s="3" t="s">
        <v>662</v>
      </c>
      <c r="C3855" s="3">
        <v>199</v>
      </c>
      <c r="D3855" s="3" t="s">
        <v>702</v>
      </c>
      <c r="E3855" s="3" t="s">
        <v>7618</v>
      </c>
      <c r="F3855" s="3" t="s">
        <v>7649</v>
      </c>
      <c r="G3855" s="3" t="s">
        <v>7634</v>
      </c>
    </row>
    <row r="3856" spans="1:7">
      <c r="A3856" s="2">
        <v>184</v>
      </c>
      <c r="B3856" s="2" t="s">
        <v>662</v>
      </c>
      <c r="C3856" s="2">
        <v>200</v>
      </c>
      <c r="D3856" s="2" t="s">
        <v>707</v>
      </c>
      <c r="E3856" s="2" t="s">
        <v>7620</v>
      </c>
      <c r="F3856" s="2" t="s">
        <v>7649</v>
      </c>
      <c r="G3856" s="2" t="s">
        <v>7617</v>
      </c>
    </row>
    <row r="3857" spans="1:7">
      <c r="A3857" s="3">
        <v>184</v>
      </c>
      <c r="B3857" s="3" t="s">
        <v>662</v>
      </c>
      <c r="C3857" s="3">
        <v>205</v>
      </c>
      <c r="D3857" s="3" t="s">
        <v>746</v>
      </c>
      <c r="E3857" s="3" t="s">
        <v>7620</v>
      </c>
      <c r="F3857" s="3" t="s">
        <v>7611</v>
      </c>
      <c r="G3857" s="3" t="s">
        <v>7633</v>
      </c>
    </row>
    <row r="3858" spans="1:7">
      <c r="A3858" s="2">
        <v>184</v>
      </c>
      <c r="B3858" s="2" t="s">
        <v>662</v>
      </c>
      <c r="C3858" s="2">
        <v>207</v>
      </c>
      <c r="D3858" s="2" t="s">
        <v>749</v>
      </c>
      <c r="E3858" s="2" t="s">
        <v>7623</v>
      </c>
      <c r="F3858" s="2" t="s">
        <v>7611</v>
      </c>
      <c r="G3858" s="2" t="s">
        <v>7624</v>
      </c>
    </row>
    <row r="3859" spans="1:7">
      <c r="A3859" s="3">
        <v>184</v>
      </c>
      <c r="B3859" s="3" t="s">
        <v>662</v>
      </c>
      <c r="C3859" s="3">
        <v>208</v>
      </c>
      <c r="D3859" s="3" t="s">
        <v>754</v>
      </c>
      <c r="E3859" s="3" t="s">
        <v>7620</v>
      </c>
      <c r="F3859" s="3" t="s">
        <v>7611</v>
      </c>
      <c r="G3859" s="3" t="s">
        <v>7621</v>
      </c>
    </row>
    <row r="3860" spans="1:7">
      <c r="A3860" s="2">
        <v>184</v>
      </c>
      <c r="B3860" s="2" t="s">
        <v>662</v>
      </c>
      <c r="C3860" s="2">
        <v>209</v>
      </c>
      <c r="D3860" s="2" t="s">
        <v>758</v>
      </c>
      <c r="E3860" s="2" t="s">
        <v>7618</v>
      </c>
      <c r="F3860" s="2" t="s">
        <v>7650</v>
      </c>
      <c r="G3860" s="2" t="s">
        <v>7619</v>
      </c>
    </row>
    <row r="3861" spans="1:7">
      <c r="A3861" s="3">
        <v>184</v>
      </c>
      <c r="B3861" s="3" t="s">
        <v>662</v>
      </c>
      <c r="C3861" s="3">
        <v>221</v>
      </c>
      <c r="D3861" s="3" t="s">
        <v>813</v>
      </c>
      <c r="E3861" s="3" t="s">
        <v>7623</v>
      </c>
      <c r="F3861" s="3" t="s">
        <v>7649</v>
      </c>
      <c r="G3861" s="3" t="s">
        <v>7632</v>
      </c>
    </row>
    <row r="3862" spans="1:7">
      <c r="A3862" s="2">
        <v>184</v>
      </c>
      <c r="B3862" s="2" t="s">
        <v>662</v>
      </c>
      <c r="C3862" s="2">
        <v>264</v>
      </c>
      <c r="D3862" s="2" t="s">
        <v>775</v>
      </c>
      <c r="E3862" s="2" t="s">
        <v>7618</v>
      </c>
      <c r="F3862" s="2" t="s">
        <v>7649</v>
      </c>
      <c r="G3862" s="2" t="s">
        <v>7619</v>
      </c>
    </row>
    <row r="3863" spans="1:7">
      <c r="A3863" s="3">
        <v>184</v>
      </c>
      <c r="B3863" s="3" t="s">
        <v>662</v>
      </c>
      <c r="C3863" s="3">
        <v>341</v>
      </c>
      <c r="D3863" s="3" t="s">
        <v>1052</v>
      </c>
      <c r="E3863" s="3" t="s">
        <v>7620</v>
      </c>
      <c r="F3863" s="3" t="s">
        <v>7649</v>
      </c>
      <c r="G3863" s="3" t="s">
        <v>7633</v>
      </c>
    </row>
    <row r="3864" spans="1:7">
      <c r="A3864" s="2">
        <v>184</v>
      </c>
      <c r="B3864" s="2" t="s">
        <v>662</v>
      </c>
      <c r="C3864" s="2">
        <v>343</v>
      </c>
      <c r="D3864" s="2" t="s">
        <v>977</v>
      </c>
      <c r="E3864" s="2" t="s">
        <v>7620</v>
      </c>
      <c r="F3864" s="2" t="s">
        <v>7649</v>
      </c>
      <c r="G3864" s="2" t="s">
        <v>7633</v>
      </c>
    </row>
    <row r="3865" spans="1:7">
      <c r="A3865" s="3">
        <v>185</v>
      </c>
      <c r="B3865" s="3" t="s">
        <v>667</v>
      </c>
      <c r="C3865" s="3">
        <v>191</v>
      </c>
      <c r="D3865" s="3" t="s">
        <v>719</v>
      </c>
      <c r="E3865" s="3" t="s">
        <v>7618</v>
      </c>
      <c r="F3865" s="3" t="s">
        <v>7611</v>
      </c>
      <c r="G3865" s="3" t="s">
        <v>7636</v>
      </c>
    </row>
    <row r="3866" spans="1:7">
      <c r="A3866" s="2">
        <v>185</v>
      </c>
      <c r="B3866" s="2" t="s">
        <v>667</v>
      </c>
      <c r="C3866" s="2">
        <v>195</v>
      </c>
      <c r="D3866" s="2" t="s">
        <v>734</v>
      </c>
      <c r="E3866" s="2" t="s">
        <v>7618</v>
      </c>
      <c r="F3866" s="2" t="s">
        <v>7611</v>
      </c>
      <c r="G3866" s="2" t="s">
        <v>7617</v>
      </c>
    </row>
    <row r="3867" spans="1:7">
      <c r="A3867" s="3">
        <v>185</v>
      </c>
      <c r="B3867" s="3" t="s">
        <v>667</v>
      </c>
      <c r="C3867" s="3">
        <v>198</v>
      </c>
      <c r="D3867" s="3" t="s">
        <v>698</v>
      </c>
      <c r="E3867" s="3" t="s">
        <v>7620</v>
      </c>
      <c r="F3867" s="3" t="s">
        <v>7611</v>
      </c>
      <c r="G3867" s="3" t="s">
        <v>7622</v>
      </c>
    </row>
    <row r="3868" spans="1:7">
      <c r="A3868" s="2">
        <v>185</v>
      </c>
      <c r="B3868" s="2" t="s">
        <v>667</v>
      </c>
      <c r="C3868" s="2">
        <v>199</v>
      </c>
      <c r="D3868" s="2" t="s">
        <v>702</v>
      </c>
      <c r="E3868" s="2" t="s">
        <v>7618</v>
      </c>
      <c r="F3868" s="2" t="s">
        <v>7611</v>
      </c>
      <c r="G3868" s="2" t="s">
        <v>7636</v>
      </c>
    </row>
    <row r="3869" spans="1:7">
      <c r="A3869" s="3">
        <v>185</v>
      </c>
      <c r="B3869" s="3" t="s">
        <v>667</v>
      </c>
      <c r="C3869" s="3">
        <v>200</v>
      </c>
      <c r="D3869" s="3" t="s">
        <v>707</v>
      </c>
      <c r="E3869" s="3" t="s">
        <v>7620</v>
      </c>
      <c r="F3869" s="3" t="s">
        <v>7611</v>
      </c>
      <c r="G3869" s="3" t="s">
        <v>7622</v>
      </c>
    </row>
    <row r="3870" spans="1:7">
      <c r="A3870" s="2">
        <v>185</v>
      </c>
      <c r="B3870" s="2" t="s">
        <v>667</v>
      </c>
      <c r="C3870" s="2">
        <v>205</v>
      </c>
      <c r="D3870" s="2" t="s">
        <v>746</v>
      </c>
      <c r="E3870" s="2" t="s">
        <v>7620</v>
      </c>
      <c r="F3870" s="2" t="s">
        <v>7611</v>
      </c>
      <c r="G3870" s="2" t="s">
        <v>7625</v>
      </c>
    </row>
    <row r="3871" spans="1:7">
      <c r="A3871" s="3">
        <v>185</v>
      </c>
      <c r="B3871" s="3" t="s">
        <v>667</v>
      </c>
      <c r="C3871" s="3">
        <v>207</v>
      </c>
      <c r="D3871" s="3" t="s">
        <v>749</v>
      </c>
      <c r="E3871" s="3" t="s">
        <v>7618</v>
      </c>
      <c r="F3871" s="3" t="s">
        <v>7611</v>
      </c>
      <c r="G3871" s="3" t="s">
        <v>7609</v>
      </c>
    </row>
    <row r="3872" spans="1:7">
      <c r="A3872" s="2">
        <v>185</v>
      </c>
      <c r="B3872" s="2" t="s">
        <v>667</v>
      </c>
      <c r="C3872" s="2">
        <v>208</v>
      </c>
      <c r="D3872" s="2" t="s">
        <v>754</v>
      </c>
      <c r="E3872" s="2" t="s">
        <v>7620</v>
      </c>
      <c r="F3872" s="2" t="s">
        <v>7611</v>
      </c>
      <c r="G3872" s="2" t="s">
        <v>7625</v>
      </c>
    </row>
    <row r="3873" spans="1:7">
      <c r="A3873" s="3">
        <v>185</v>
      </c>
      <c r="B3873" s="3" t="s">
        <v>667</v>
      </c>
      <c r="C3873" s="3">
        <v>209</v>
      </c>
      <c r="D3873" s="3" t="s">
        <v>758</v>
      </c>
      <c r="E3873" s="3" t="s">
        <v>7618</v>
      </c>
      <c r="F3873" s="3" t="s">
        <v>7608</v>
      </c>
      <c r="G3873" s="3" t="s">
        <v>7633</v>
      </c>
    </row>
    <row r="3874" spans="1:7">
      <c r="A3874" s="2">
        <v>185</v>
      </c>
      <c r="B3874" s="2" t="s">
        <v>667</v>
      </c>
      <c r="C3874" s="2">
        <v>221</v>
      </c>
      <c r="D3874" s="2" t="s">
        <v>813</v>
      </c>
      <c r="E3874" s="2" t="s">
        <v>7697</v>
      </c>
      <c r="F3874" s="2" t="s">
        <v>7611</v>
      </c>
      <c r="G3874" s="2" t="s">
        <v>7624</v>
      </c>
    </row>
    <row r="3875" spans="1:7">
      <c r="A3875" s="3">
        <v>185</v>
      </c>
      <c r="B3875" s="3" t="s">
        <v>667</v>
      </c>
      <c r="C3875" s="3">
        <v>264</v>
      </c>
      <c r="D3875" s="3" t="s">
        <v>775</v>
      </c>
      <c r="E3875" s="3" t="s">
        <v>7618</v>
      </c>
      <c r="F3875" s="3" t="s">
        <v>7611</v>
      </c>
      <c r="G3875" s="3" t="s">
        <v>7609</v>
      </c>
    </row>
    <row r="3876" spans="1:7">
      <c r="A3876" s="2">
        <v>185</v>
      </c>
      <c r="B3876" s="2" t="s">
        <v>667</v>
      </c>
      <c r="C3876" s="2">
        <v>341</v>
      </c>
      <c r="D3876" s="2" t="s">
        <v>1052</v>
      </c>
      <c r="E3876" s="2" t="s">
        <v>7620</v>
      </c>
      <c r="F3876" s="2" t="s">
        <v>7611</v>
      </c>
      <c r="G3876" s="2" t="s">
        <v>7621</v>
      </c>
    </row>
    <row r="3877" spans="1:7">
      <c r="A3877" s="3">
        <v>185</v>
      </c>
      <c r="B3877" s="3" t="s">
        <v>667</v>
      </c>
      <c r="C3877" s="3">
        <v>343</v>
      </c>
      <c r="D3877" s="3" t="s">
        <v>977</v>
      </c>
      <c r="E3877" s="3" t="s">
        <v>7620</v>
      </c>
      <c r="F3877" s="3" t="s">
        <v>7611</v>
      </c>
      <c r="G3877" s="3" t="s">
        <v>7625</v>
      </c>
    </row>
    <row r="3878" spans="1:7">
      <c r="A3878" s="2">
        <v>186</v>
      </c>
      <c r="B3878" s="2" t="s">
        <v>469</v>
      </c>
      <c r="C3878" s="2">
        <v>191</v>
      </c>
      <c r="D3878" s="2" t="s">
        <v>719</v>
      </c>
      <c r="E3878" s="2" t="s">
        <v>7620</v>
      </c>
      <c r="F3878" s="2" t="s">
        <v>7611</v>
      </c>
      <c r="G3878" s="2" t="s">
        <v>7622</v>
      </c>
    </row>
    <row r="3879" spans="1:7">
      <c r="A3879" s="3">
        <v>186</v>
      </c>
      <c r="B3879" s="3" t="s">
        <v>469</v>
      </c>
      <c r="C3879" s="3">
        <v>195</v>
      </c>
      <c r="D3879" s="3" t="s">
        <v>734</v>
      </c>
      <c r="E3879" s="3" t="s">
        <v>7620</v>
      </c>
      <c r="F3879" s="3" t="s">
        <v>7611</v>
      </c>
      <c r="G3879" s="3" t="s">
        <v>7633</v>
      </c>
    </row>
    <row r="3880" spans="1:7">
      <c r="A3880" s="2">
        <v>186</v>
      </c>
      <c r="B3880" s="2" t="s">
        <v>469</v>
      </c>
      <c r="C3880" s="2">
        <v>198</v>
      </c>
      <c r="D3880" s="2" t="s">
        <v>698</v>
      </c>
      <c r="E3880" s="2" t="s">
        <v>7620</v>
      </c>
      <c r="F3880" s="2" t="s">
        <v>7611</v>
      </c>
      <c r="G3880" s="2" t="s">
        <v>7621</v>
      </c>
    </row>
    <row r="3881" spans="1:7">
      <c r="A3881" s="3">
        <v>186</v>
      </c>
      <c r="B3881" s="3" t="s">
        <v>469</v>
      </c>
      <c r="C3881" s="3">
        <v>199</v>
      </c>
      <c r="D3881" s="3" t="s">
        <v>702</v>
      </c>
      <c r="E3881" s="3" t="s">
        <v>7620</v>
      </c>
      <c r="F3881" s="3" t="s">
        <v>7611</v>
      </c>
      <c r="G3881" s="3" t="s">
        <v>7622</v>
      </c>
    </row>
    <row r="3882" spans="1:7">
      <c r="A3882" s="2">
        <v>186</v>
      </c>
      <c r="B3882" s="2" t="s">
        <v>469</v>
      </c>
      <c r="C3882" s="2">
        <v>200</v>
      </c>
      <c r="D3882" s="2" t="s">
        <v>707</v>
      </c>
      <c r="E3882" s="2" t="s">
        <v>7620</v>
      </c>
      <c r="F3882" s="2" t="s">
        <v>7611</v>
      </c>
      <c r="G3882" s="2" t="s">
        <v>7625</v>
      </c>
    </row>
    <row r="3883" spans="1:7">
      <c r="A3883" s="3">
        <v>186</v>
      </c>
      <c r="B3883" s="3" t="s">
        <v>469</v>
      </c>
      <c r="C3883" s="3">
        <v>205</v>
      </c>
      <c r="D3883" s="3" t="s">
        <v>746</v>
      </c>
      <c r="E3883" s="3" t="s">
        <v>7620</v>
      </c>
      <c r="F3883" s="3" t="s">
        <v>7611</v>
      </c>
      <c r="G3883" s="3" t="s">
        <v>7621</v>
      </c>
    </row>
    <row r="3884" spans="1:7">
      <c r="A3884" s="2">
        <v>186</v>
      </c>
      <c r="B3884" s="2" t="s">
        <v>469</v>
      </c>
      <c r="C3884" s="2">
        <v>207</v>
      </c>
      <c r="D3884" s="2" t="s">
        <v>749</v>
      </c>
      <c r="E3884" s="2" t="s">
        <v>7620</v>
      </c>
      <c r="F3884" s="2" t="s">
        <v>7611</v>
      </c>
      <c r="G3884" s="2" t="s">
        <v>7621</v>
      </c>
    </row>
    <row r="3885" spans="1:7">
      <c r="A3885" s="3">
        <v>186</v>
      </c>
      <c r="B3885" s="3" t="s">
        <v>469</v>
      </c>
      <c r="C3885" s="3">
        <v>208</v>
      </c>
      <c r="D3885" s="3" t="s">
        <v>754</v>
      </c>
      <c r="E3885" s="3" t="s">
        <v>7620</v>
      </c>
      <c r="F3885" s="3" t="s">
        <v>7611</v>
      </c>
      <c r="G3885" s="3" t="s">
        <v>7622</v>
      </c>
    </row>
    <row r="3886" spans="1:7">
      <c r="A3886" s="2">
        <v>186</v>
      </c>
      <c r="B3886" s="2" t="s">
        <v>469</v>
      </c>
      <c r="C3886" s="2">
        <v>209</v>
      </c>
      <c r="D3886" s="2" t="s">
        <v>758</v>
      </c>
      <c r="E3886" s="2" t="s">
        <v>7620</v>
      </c>
      <c r="F3886" s="2" t="s">
        <v>7608</v>
      </c>
      <c r="G3886" s="2" t="s">
        <v>7625</v>
      </c>
    </row>
    <row r="3887" spans="1:7">
      <c r="A3887" s="3">
        <v>186</v>
      </c>
      <c r="B3887" s="3" t="s">
        <v>469</v>
      </c>
      <c r="C3887" s="3">
        <v>221</v>
      </c>
      <c r="D3887" s="3" t="s">
        <v>813</v>
      </c>
      <c r="E3887" s="3" t="s">
        <v>7696</v>
      </c>
      <c r="F3887" s="3" t="s">
        <v>7611</v>
      </c>
      <c r="G3887" s="3" t="s">
        <v>7617</v>
      </c>
    </row>
    <row r="3888" spans="1:7">
      <c r="A3888" s="2">
        <v>186</v>
      </c>
      <c r="B3888" s="2" t="s">
        <v>469</v>
      </c>
      <c r="C3888" s="2">
        <v>264</v>
      </c>
      <c r="D3888" s="2" t="s">
        <v>775</v>
      </c>
      <c r="E3888" s="2" t="s">
        <v>7620</v>
      </c>
      <c r="F3888" s="2" t="s">
        <v>7611</v>
      </c>
      <c r="G3888" s="2" t="s">
        <v>7625</v>
      </c>
    </row>
    <row r="3889" spans="1:7">
      <c r="A3889" s="3">
        <v>186</v>
      </c>
      <c r="B3889" s="3" t="s">
        <v>469</v>
      </c>
      <c r="C3889" s="3">
        <v>341</v>
      </c>
      <c r="D3889" s="3" t="s">
        <v>1052</v>
      </c>
      <c r="E3889" s="3" t="s">
        <v>7620</v>
      </c>
      <c r="F3889" s="3" t="s">
        <v>7611</v>
      </c>
      <c r="G3889" s="3" t="s">
        <v>7621</v>
      </c>
    </row>
    <row r="3890" spans="1:7">
      <c r="A3890" s="2">
        <v>186</v>
      </c>
      <c r="B3890" s="2" t="s">
        <v>469</v>
      </c>
      <c r="C3890" s="2">
        <v>343</v>
      </c>
      <c r="D3890" s="2" t="s">
        <v>977</v>
      </c>
      <c r="E3890" s="2" t="s">
        <v>7620</v>
      </c>
      <c r="F3890" s="2" t="s">
        <v>7611</v>
      </c>
      <c r="G3890" s="2" t="s">
        <v>7622</v>
      </c>
    </row>
    <row r="3891" spans="1:7">
      <c r="A3891" s="3">
        <v>189</v>
      </c>
      <c r="B3891" s="3" t="s">
        <v>742</v>
      </c>
      <c r="C3891" s="3">
        <v>191</v>
      </c>
      <c r="D3891" s="3" t="s">
        <v>719</v>
      </c>
      <c r="E3891" s="3" t="s">
        <v>7635</v>
      </c>
      <c r="F3891" s="3" t="s">
        <v>7608</v>
      </c>
      <c r="G3891" s="3" t="s">
        <v>7625</v>
      </c>
    </row>
    <row r="3892" spans="1:7">
      <c r="A3892" s="2">
        <v>189</v>
      </c>
      <c r="B3892" s="2" t="s">
        <v>742</v>
      </c>
      <c r="C3892" s="2">
        <v>192</v>
      </c>
      <c r="D3892" s="2" t="s">
        <v>727</v>
      </c>
      <c r="E3892" s="2" t="s">
        <v>7635</v>
      </c>
      <c r="F3892" s="2" t="s">
        <v>7608</v>
      </c>
      <c r="G3892" s="2" t="s">
        <v>7625</v>
      </c>
    </row>
    <row r="3893" spans="1:7">
      <c r="A3893" s="3">
        <v>189</v>
      </c>
      <c r="B3893" s="3" t="s">
        <v>742</v>
      </c>
      <c r="C3893" s="3">
        <v>195</v>
      </c>
      <c r="D3893" s="3" t="s">
        <v>734</v>
      </c>
      <c r="E3893" s="3" t="s">
        <v>7635</v>
      </c>
      <c r="F3893" s="3" t="s">
        <v>7608</v>
      </c>
      <c r="G3893" s="3" t="s">
        <v>7621</v>
      </c>
    </row>
    <row r="3894" spans="1:7">
      <c r="A3894" s="2">
        <v>189</v>
      </c>
      <c r="B3894" s="2" t="s">
        <v>742</v>
      </c>
      <c r="C3894" s="2">
        <v>196</v>
      </c>
      <c r="D3894" s="2" t="s">
        <v>736</v>
      </c>
      <c r="E3894" s="2" t="s">
        <v>7635</v>
      </c>
      <c r="F3894" s="2" t="s">
        <v>7608</v>
      </c>
      <c r="G3894" s="2" t="s">
        <v>7625</v>
      </c>
    </row>
    <row r="3895" spans="1:7">
      <c r="A3895" s="3">
        <v>189</v>
      </c>
      <c r="B3895" s="3" t="s">
        <v>742</v>
      </c>
      <c r="C3895" s="3">
        <v>197</v>
      </c>
      <c r="D3895" s="3" t="s">
        <v>690</v>
      </c>
      <c r="E3895" s="3" t="s">
        <v>7635</v>
      </c>
      <c r="F3895" s="3" t="s">
        <v>7608</v>
      </c>
      <c r="G3895" s="3" t="s">
        <v>7625</v>
      </c>
    </row>
    <row r="3896" spans="1:7">
      <c r="A3896" s="2">
        <v>189</v>
      </c>
      <c r="B3896" s="2" t="s">
        <v>742</v>
      </c>
      <c r="C3896" s="2">
        <v>198</v>
      </c>
      <c r="D3896" s="2" t="s">
        <v>698</v>
      </c>
      <c r="E3896" s="2" t="s">
        <v>7635</v>
      </c>
      <c r="F3896" s="2" t="s">
        <v>7608</v>
      </c>
      <c r="G3896" s="2" t="s">
        <v>7622</v>
      </c>
    </row>
    <row r="3897" spans="1:7">
      <c r="A3897" s="3">
        <v>189</v>
      </c>
      <c r="B3897" s="3" t="s">
        <v>742</v>
      </c>
      <c r="C3897" s="3">
        <v>199</v>
      </c>
      <c r="D3897" s="3" t="s">
        <v>702</v>
      </c>
      <c r="E3897" s="3" t="s">
        <v>7744</v>
      </c>
      <c r="F3897" s="3" t="s">
        <v>7608</v>
      </c>
      <c r="G3897" s="3" t="s">
        <v>7609</v>
      </c>
    </row>
    <row r="3898" spans="1:7">
      <c r="A3898" s="2">
        <v>189</v>
      </c>
      <c r="B3898" s="2" t="s">
        <v>742</v>
      </c>
      <c r="C3898" s="2">
        <v>200</v>
      </c>
      <c r="D3898" s="2" t="s">
        <v>707</v>
      </c>
      <c r="E3898" s="2" t="s">
        <v>7744</v>
      </c>
      <c r="F3898" s="2" t="s">
        <v>7608</v>
      </c>
      <c r="G3898" s="2" t="s">
        <v>7636</v>
      </c>
    </row>
    <row r="3899" spans="1:7">
      <c r="A3899" s="3">
        <v>189</v>
      </c>
      <c r="B3899" s="3" t="s">
        <v>742</v>
      </c>
      <c r="C3899" s="3">
        <v>203</v>
      </c>
      <c r="D3899" s="3" t="s">
        <v>681</v>
      </c>
      <c r="E3899" s="3" t="s">
        <v>7635</v>
      </c>
      <c r="F3899" s="3" t="s">
        <v>7608</v>
      </c>
      <c r="G3899" s="3" t="s">
        <v>7625</v>
      </c>
    </row>
    <row r="3900" spans="1:7">
      <c r="A3900" s="2">
        <v>189</v>
      </c>
      <c r="B3900" s="2" t="s">
        <v>742</v>
      </c>
      <c r="C3900" s="2">
        <v>205</v>
      </c>
      <c r="D3900" s="2" t="s">
        <v>746</v>
      </c>
      <c r="E3900" s="2" t="s">
        <v>7635</v>
      </c>
      <c r="F3900" s="2" t="s">
        <v>7608</v>
      </c>
      <c r="G3900" s="2" t="s">
        <v>7625</v>
      </c>
    </row>
    <row r="3901" spans="1:7">
      <c r="A3901" s="3">
        <v>189</v>
      </c>
      <c r="B3901" s="3" t="s">
        <v>742</v>
      </c>
      <c r="C3901" s="3">
        <v>230</v>
      </c>
      <c r="D3901" s="3" t="s">
        <v>920</v>
      </c>
      <c r="E3901" s="3" t="s">
        <v>7653</v>
      </c>
      <c r="F3901" s="3" t="s">
        <v>7608</v>
      </c>
      <c r="G3901" s="3" t="s">
        <v>7625</v>
      </c>
    </row>
    <row r="3902" spans="1:7">
      <c r="A3902" s="2">
        <v>189</v>
      </c>
      <c r="B3902" s="2" t="s">
        <v>742</v>
      </c>
      <c r="C3902" s="2">
        <v>234</v>
      </c>
      <c r="D3902" s="2" t="s">
        <v>936</v>
      </c>
      <c r="E3902" s="2" t="s">
        <v>7653</v>
      </c>
      <c r="F3902" s="2" t="s">
        <v>7608</v>
      </c>
      <c r="G3902" s="2" t="s">
        <v>7622</v>
      </c>
    </row>
    <row r="3903" spans="1:7">
      <c r="A3903" s="3">
        <v>189</v>
      </c>
      <c r="B3903" s="3" t="s">
        <v>742</v>
      </c>
      <c r="C3903" s="3">
        <v>236</v>
      </c>
      <c r="D3903" s="3" t="s">
        <v>928</v>
      </c>
      <c r="E3903" s="3" t="s">
        <v>7653</v>
      </c>
      <c r="F3903" s="3" t="s">
        <v>7608</v>
      </c>
      <c r="G3903" s="3" t="s">
        <v>7621</v>
      </c>
    </row>
    <row r="3904" spans="1:7">
      <c r="A3904" s="2">
        <v>189</v>
      </c>
      <c r="B3904" s="2" t="s">
        <v>742</v>
      </c>
      <c r="C3904" s="2">
        <v>267</v>
      </c>
      <c r="D3904" s="2" t="s">
        <v>801</v>
      </c>
      <c r="E3904" s="2" t="s">
        <v>7653</v>
      </c>
      <c r="F3904" s="2" t="s">
        <v>7608</v>
      </c>
      <c r="G3904" s="2" t="s">
        <v>7621</v>
      </c>
    </row>
    <row r="3905" spans="1:7">
      <c r="A3905" s="3">
        <v>189</v>
      </c>
      <c r="B3905" s="3" t="s">
        <v>742</v>
      </c>
      <c r="C3905" s="3">
        <v>269</v>
      </c>
      <c r="D3905" s="3" t="s">
        <v>825</v>
      </c>
      <c r="E3905" s="3" t="s">
        <v>7653</v>
      </c>
      <c r="F3905" s="3" t="s">
        <v>7608</v>
      </c>
      <c r="G3905" s="3" t="s">
        <v>7625</v>
      </c>
    </row>
    <row r="3906" spans="1:7">
      <c r="A3906" s="2">
        <v>189</v>
      </c>
      <c r="B3906" s="2" t="s">
        <v>742</v>
      </c>
      <c r="C3906" s="2">
        <v>273</v>
      </c>
      <c r="D3906" s="2" t="s">
        <v>816</v>
      </c>
      <c r="E3906" s="2" t="s">
        <v>7653</v>
      </c>
      <c r="F3906" s="2" t="s">
        <v>7608</v>
      </c>
      <c r="G3906" s="2" t="s">
        <v>7625</v>
      </c>
    </row>
    <row r="3907" spans="1:7">
      <c r="A3907" s="3">
        <v>189</v>
      </c>
      <c r="B3907" s="3" t="s">
        <v>742</v>
      </c>
      <c r="C3907" s="3">
        <v>278</v>
      </c>
      <c r="D3907" s="3" t="s">
        <v>800</v>
      </c>
      <c r="E3907" s="3" t="s">
        <v>7653</v>
      </c>
      <c r="F3907" s="3" t="s">
        <v>7608</v>
      </c>
      <c r="G3907" s="3" t="s">
        <v>7625</v>
      </c>
    </row>
    <row r="3908" spans="1:7">
      <c r="A3908" s="2">
        <v>189</v>
      </c>
      <c r="B3908" s="2" t="s">
        <v>742</v>
      </c>
      <c r="C3908" s="2">
        <v>281</v>
      </c>
      <c r="D3908" s="2" t="s">
        <v>856</v>
      </c>
      <c r="E3908" s="2" t="s">
        <v>7653</v>
      </c>
      <c r="F3908" s="2" t="s">
        <v>7608</v>
      </c>
      <c r="G3908" s="2" t="s">
        <v>7625</v>
      </c>
    </row>
    <row r="3909" spans="1:7">
      <c r="A3909" s="3">
        <v>189</v>
      </c>
      <c r="B3909" s="3" t="s">
        <v>742</v>
      </c>
      <c r="C3909" s="3">
        <v>285</v>
      </c>
      <c r="D3909" s="3" t="s">
        <v>854</v>
      </c>
      <c r="E3909" s="3" t="s">
        <v>7653</v>
      </c>
      <c r="F3909" s="3" t="s">
        <v>7608</v>
      </c>
      <c r="G3909" s="3" t="s">
        <v>7621</v>
      </c>
    </row>
    <row r="3910" spans="1:7">
      <c r="A3910" s="2">
        <v>189</v>
      </c>
      <c r="B3910" s="2" t="s">
        <v>742</v>
      </c>
      <c r="C3910" s="2">
        <v>289</v>
      </c>
      <c r="D3910" s="2" t="s">
        <v>854</v>
      </c>
      <c r="E3910" s="2" t="s">
        <v>7653</v>
      </c>
      <c r="F3910" s="2" t="s">
        <v>7608</v>
      </c>
      <c r="G3910" s="2" t="s">
        <v>7621</v>
      </c>
    </row>
    <row r="3911" spans="1:7">
      <c r="A3911" s="3">
        <v>189</v>
      </c>
      <c r="B3911" s="3" t="s">
        <v>742</v>
      </c>
      <c r="C3911" s="3">
        <v>294</v>
      </c>
      <c r="D3911" s="3" t="s">
        <v>854</v>
      </c>
      <c r="E3911" s="3" t="s">
        <v>7653</v>
      </c>
      <c r="F3911" s="3" t="s">
        <v>7608</v>
      </c>
      <c r="G3911" s="3" t="s">
        <v>7625</v>
      </c>
    </row>
    <row r="3912" spans="1:7">
      <c r="A3912" s="2">
        <v>189</v>
      </c>
      <c r="B3912" s="2" t="s">
        <v>742</v>
      </c>
      <c r="C3912" s="2">
        <v>296</v>
      </c>
      <c r="D3912" s="2" t="s">
        <v>854</v>
      </c>
      <c r="E3912" s="2" t="s">
        <v>7653</v>
      </c>
      <c r="F3912" s="2" t="s">
        <v>7608</v>
      </c>
      <c r="G3912" s="2" t="s">
        <v>7625</v>
      </c>
    </row>
    <row r="3913" spans="1:7">
      <c r="A3913" s="3">
        <v>189</v>
      </c>
      <c r="B3913" s="3" t="s">
        <v>742</v>
      </c>
      <c r="C3913" s="3">
        <v>298</v>
      </c>
      <c r="D3913" s="3" t="s">
        <v>854</v>
      </c>
      <c r="E3913" s="3" t="s">
        <v>7653</v>
      </c>
      <c r="F3913" s="3" t="s">
        <v>7608</v>
      </c>
      <c r="G3913" s="3" t="s">
        <v>7625</v>
      </c>
    </row>
    <row r="3914" spans="1:7">
      <c r="A3914" s="2">
        <v>189</v>
      </c>
      <c r="B3914" s="2" t="s">
        <v>742</v>
      </c>
      <c r="C3914" s="2">
        <v>303</v>
      </c>
      <c r="D3914" s="2" t="s">
        <v>854</v>
      </c>
      <c r="E3914" s="2" t="s">
        <v>7653</v>
      </c>
      <c r="F3914" s="2" t="s">
        <v>7608</v>
      </c>
      <c r="G3914" s="2" t="s">
        <v>7621</v>
      </c>
    </row>
    <row r="3915" spans="1:7">
      <c r="A3915" s="3">
        <v>189</v>
      </c>
      <c r="B3915" s="3" t="s">
        <v>742</v>
      </c>
      <c r="C3915" s="3">
        <v>304</v>
      </c>
      <c r="D3915" s="3" t="s">
        <v>854</v>
      </c>
      <c r="E3915" s="3" t="s">
        <v>7653</v>
      </c>
      <c r="F3915" s="3" t="s">
        <v>7608</v>
      </c>
      <c r="G3915" s="3" t="s">
        <v>7625</v>
      </c>
    </row>
    <row r="3916" spans="1:7">
      <c r="A3916" s="2">
        <v>189</v>
      </c>
      <c r="B3916" s="2" t="s">
        <v>742</v>
      </c>
      <c r="C3916" s="2">
        <v>307</v>
      </c>
      <c r="D3916" s="2" t="s">
        <v>854</v>
      </c>
      <c r="E3916" s="2" t="s">
        <v>7653</v>
      </c>
      <c r="F3916" s="2" t="s">
        <v>7608</v>
      </c>
      <c r="G3916" s="2" t="s">
        <v>7621</v>
      </c>
    </row>
    <row r="3917" spans="1:7">
      <c r="A3917" s="3">
        <v>189</v>
      </c>
      <c r="B3917" s="3" t="s">
        <v>742</v>
      </c>
      <c r="C3917" s="3">
        <v>315</v>
      </c>
      <c r="D3917" s="3" t="s">
        <v>1046</v>
      </c>
      <c r="E3917" s="3" t="s">
        <v>7653</v>
      </c>
      <c r="F3917" s="3" t="s">
        <v>7608</v>
      </c>
      <c r="G3917" s="3" t="s">
        <v>7625</v>
      </c>
    </row>
    <row r="3918" spans="1:7">
      <c r="A3918" s="2">
        <v>189</v>
      </c>
      <c r="B3918" s="2" t="s">
        <v>742</v>
      </c>
      <c r="C3918" s="2">
        <v>316</v>
      </c>
      <c r="D3918" s="2" t="s">
        <v>1028</v>
      </c>
      <c r="E3918" s="2" t="s">
        <v>7653</v>
      </c>
      <c r="F3918" s="2" t="s">
        <v>7608</v>
      </c>
      <c r="G3918" s="2" t="s">
        <v>7625</v>
      </c>
    </row>
    <row r="3919" spans="1:7">
      <c r="A3919" s="3">
        <v>189</v>
      </c>
      <c r="B3919" s="3" t="s">
        <v>742</v>
      </c>
      <c r="C3919" s="3">
        <v>321</v>
      </c>
      <c r="D3919" s="3" t="s">
        <v>1048</v>
      </c>
      <c r="E3919" s="3" t="s">
        <v>7653</v>
      </c>
      <c r="F3919" s="3" t="s">
        <v>7608</v>
      </c>
      <c r="G3919" s="3" t="s">
        <v>7625</v>
      </c>
    </row>
    <row r="3920" spans="1:7">
      <c r="A3920" s="2">
        <v>189</v>
      </c>
      <c r="B3920" s="2" t="s">
        <v>742</v>
      </c>
      <c r="C3920" s="2">
        <v>323</v>
      </c>
      <c r="D3920" s="2" t="s">
        <v>1016</v>
      </c>
      <c r="E3920" s="2" t="s">
        <v>7653</v>
      </c>
      <c r="F3920" s="2" t="s">
        <v>7608</v>
      </c>
      <c r="G3920" s="2" t="s">
        <v>7621</v>
      </c>
    </row>
    <row r="3921" spans="1:7">
      <c r="A3921" s="3">
        <v>189</v>
      </c>
      <c r="B3921" s="3" t="s">
        <v>742</v>
      </c>
      <c r="C3921" s="3">
        <v>326</v>
      </c>
      <c r="D3921" s="3" t="s">
        <v>1022</v>
      </c>
      <c r="E3921" s="3" t="s">
        <v>7653</v>
      </c>
      <c r="F3921" s="3" t="s">
        <v>7608</v>
      </c>
      <c r="G3921" s="3" t="s">
        <v>7621</v>
      </c>
    </row>
    <row r="3922" spans="1:7">
      <c r="A3922" s="2">
        <v>189</v>
      </c>
      <c r="B3922" s="2" t="s">
        <v>742</v>
      </c>
      <c r="C3922" s="2">
        <v>328</v>
      </c>
      <c r="D3922" s="2" t="s">
        <v>1026</v>
      </c>
      <c r="E3922" s="2" t="s">
        <v>7653</v>
      </c>
      <c r="F3922" s="2" t="s">
        <v>7608</v>
      </c>
      <c r="G3922" s="2" t="s">
        <v>7622</v>
      </c>
    </row>
    <row r="3923" spans="1:7">
      <c r="A3923" s="3">
        <v>189</v>
      </c>
      <c r="B3923" s="3" t="s">
        <v>742</v>
      </c>
      <c r="C3923" s="3">
        <v>329</v>
      </c>
      <c r="D3923" s="3" t="s">
        <v>965</v>
      </c>
      <c r="E3923" s="3" t="s">
        <v>7653</v>
      </c>
      <c r="F3923" s="3" t="s">
        <v>7608</v>
      </c>
      <c r="G3923" s="3" t="s">
        <v>7621</v>
      </c>
    </row>
    <row r="3924" spans="1:7">
      <c r="A3924" s="2">
        <v>189</v>
      </c>
      <c r="B3924" s="2" t="s">
        <v>742</v>
      </c>
      <c r="C3924" s="2">
        <v>333</v>
      </c>
      <c r="D3924" s="2" t="s">
        <v>989</v>
      </c>
      <c r="E3924" s="2" t="s">
        <v>7653</v>
      </c>
      <c r="F3924" s="2" t="s">
        <v>7608</v>
      </c>
      <c r="G3924" s="2" t="s">
        <v>7621</v>
      </c>
    </row>
    <row r="3925" spans="1:7">
      <c r="A3925" s="3">
        <v>189</v>
      </c>
      <c r="B3925" s="3" t="s">
        <v>742</v>
      </c>
      <c r="C3925" s="3">
        <v>334</v>
      </c>
      <c r="D3925" s="3" t="s">
        <v>970</v>
      </c>
      <c r="E3925" s="3" t="s">
        <v>7653</v>
      </c>
      <c r="F3925" s="3" t="s">
        <v>7608</v>
      </c>
      <c r="G3925" s="3" t="s">
        <v>7621</v>
      </c>
    </row>
    <row r="3926" spans="1:7">
      <c r="A3926" s="2">
        <v>189</v>
      </c>
      <c r="B3926" s="2" t="s">
        <v>742</v>
      </c>
      <c r="C3926" s="2">
        <v>340</v>
      </c>
      <c r="D3926" s="2" t="s">
        <v>1000</v>
      </c>
      <c r="E3926" s="2" t="s">
        <v>7653</v>
      </c>
      <c r="F3926" s="2" t="s">
        <v>7608</v>
      </c>
      <c r="G3926" s="2" t="s">
        <v>7621</v>
      </c>
    </row>
    <row r="3927" spans="1:7">
      <c r="A3927" s="3">
        <v>189</v>
      </c>
      <c r="B3927" s="3" t="s">
        <v>742</v>
      </c>
      <c r="C3927" s="3">
        <v>402</v>
      </c>
      <c r="D3927" s="3" t="s">
        <v>1120</v>
      </c>
      <c r="E3927" s="3" t="s">
        <v>7653</v>
      </c>
      <c r="F3927" s="3" t="s">
        <v>7608</v>
      </c>
      <c r="G3927" s="3" t="s">
        <v>7622</v>
      </c>
    </row>
    <row r="3928" spans="1:7">
      <c r="A3928" s="2">
        <v>190</v>
      </c>
      <c r="B3928" s="2" t="s">
        <v>717</v>
      </c>
      <c r="C3928" s="2">
        <v>207</v>
      </c>
      <c r="D3928" s="2" t="s">
        <v>749</v>
      </c>
      <c r="E3928" s="2" t="s">
        <v>7700</v>
      </c>
      <c r="F3928" s="2" t="s">
        <v>7608</v>
      </c>
      <c r="G3928" s="2" t="s">
        <v>7622</v>
      </c>
    </row>
    <row r="3929" spans="1:7">
      <c r="A3929" s="3">
        <v>191</v>
      </c>
      <c r="B3929" s="3" t="s">
        <v>719</v>
      </c>
      <c r="C3929" s="3">
        <v>192</v>
      </c>
      <c r="D3929" s="3" t="s">
        <v>727</v>
      </c>
      <c r="E3929" s="3" t="s">
        <v>7635</v>
      </c>
      <c r="F3929" s="3" t="s">
        <v>7652</v>
      </c>
      <c r="G3929" s="3" t="s">
        <v>7633</v>
      </c>
    </row>
    <row r="3930" spans="1:7">
      <c r="A3930" s="2">
        <v>191</v>
      </c>
      <c r="B3930" s="2" t="s">
        <v>719</v>
      </c>
      <c r="C3930" s="2">
        <v>195</v>
      </c>
      <c r="D3930" s="2" t="s">
        <v>734</v>
      </c>
      <c r="E3930" s="2" t="s">
        <v>7693</v>
      </c>
      <c r="F3930" s="2" t="s">
        <v>7659</v>
      </c>
      <c r="G3930" s="2" t="s">
        <v>7626</v>
      </c>
    </row>
    <row r="3931" spans="1:7">
      <c r="A3931" s="3">
        <v>191</v>
      </c>
      <c r="B3931" s="3" t="s">
        <v>719</v>
      </c>
      <c r="C3931" s="3">
        <v>196</v>
      </c>
      <c r="D3931" s="3" t="s">
        <v>736</v>
      </c>
      <c r="E3931" s="3" t="s">
        <v>7635</v>
      </c>
      <c r="F3931" s="3" t="s">
        <v>7652</v>
      </c>
      <c r="G3931" s="3" t="s">
        <v>7609</v>
      </c>
    </row>
    <row r="3932" spans="1:7">
      <c r="A3932" s="2">
        <v>191</v>
      </c>
      <c r="B3932" s="2" t="s">
        <v>719</v>
      </c>
      <c r="C3932" s="2">
        <v>197</v>
      </c>
      <c r="D3932" s="2" t="s">
        <v>690</v>
      </c>
      <c r="E3932" s="2" t="s">
        <v>7635</v>
      </c>
      <c r="F3932" s="2" t="s">
        <v>7652</v>
      </c>
      <c r="G3932" s="2" t="s">
        <v>7633</v>
      </c>
    </row>
    <row r="3933" spans="1:7">
      <c r="A3933" s="3">
        <v>191</v>
      </c>
      <c r="B3933" s="3" t="s">
        <v>719</v>
      </c>
      <c r="C3933" s="3">
        <v>198</v>
      </c>
      <c r="D3933" s="3" t="s">
        <v>698</v>
      </c>
      <c r="E3933" s="3" t="s">
        <v>7694</v>
      </c>
      <c r="F3933" s="3" t="s">
        <v>7659</v>
      </c>
      <c r="G3933" s="3" t="s">
        <v>7632</v>
      </c>
    </row>
    <row r="3934" spans="1:7">
      <c r="A3934" s="2">
        <v>191</v>
      </c>
      <c r="B3934" s="2" t="s">
        <v>719</v>
      </c>
      <c r="C3934" s="2">
        <v>199</v>
      </c>
      <c r="D3934" s="2" t="s">
        <v>702</v>
      </c>
      <c r="E3934" s="2" t="s">
        <v>7693</v>
      </c>
      <c r="F3934" s="2" t="s">
        <v>7659</v>
      </c>
      <c r="G3934" s="2" t="s">
        <v>7626</v>
      </c>
    </row>
    <row r="3935" spans="1:7">
      <c r="A3935" s="3">
        <v>191</v>
      </c>
      <c r="B3935" s="3" t="s">
        <v>719</v>
      </c>
      <c r="C3935" s="3">
        <v>200</v>
      </c>
      <c r="D3935" s="3" t="s">
        <v>707</v>
      </c>
      <c r="E3935" s="3" t="s">
        <v>7694</v>
      </c>
      <c r="F3935" s="3" t="s">
        <v>7659</v>
      </c>
      <c r="G3935" s="3" t="s">
        <v>7632</v>
      </c>
    </row>
    <row r="3936" spans="1:7">
      <c r="A3936" s="2">
        <v>191</v>
      </c>
      <c r="B3936" s="2" t="s">
        <v>719</v>
      </c>
      <c r="C3936" s="2">
        <v>201</v>
      </c>
      <c r="D3936" s="2" t="s">
        <v>695</v>
      </c>
      <c r="E3936" s="2" t="s">
        <v>7635</v>
      </c>
      <c r="F3936" s="2" t="s">
        <v>7659</v>
      </c>
      <c r="G3936" s="2" t="s">
        <v>7617</v>
      </c>
    </row>
    <row r="3937" spans="1:7">
      <c r="A3937" s="3">
        <v>191</v>
      </c>
      <c r="B3937" s="3" t="s">
        <v>719</v>
      </c>
      <c r="C3937" s="3">
        <v>202</v>
      </c>
      <c r="D3937" s="3" t="s">
        <v>712</v>
      </c>
      <c r="E3937" s="3" t="s">
        <v>7635</v>
      </c>
      <c r="F3937" s="3" t="s">
        <v>7652</v>
      </c>
      <c r="G3937" s="3" t="s">
        <v>7622</v>
      </c>
    </row>
    <row r="3938" spans="1:7">
      <c r="A3938" s="2">
        <v>191</v>
      </c>
      <c r="B3938" s="2" t="s">
        <v>719</v>
      </c>
      <c r="C3938" s="2">
        <v>203</v>
      </c>
      <c r="D3938" s="2" t="s">
        <v>681</v>
      </c>
      <c r="E3938" s="2" t="s">
        <v>7635</v>
      </c>
      <c r="F3938" s="2" t="s">
        <v>7652</v>
      </c>
      <c r="G3938" s="2" t="s">
        <v>7609</v>
      </c>
    </row>
    <row r="3939" spans="1:7">
      <c r="A3939" s="3">
        <v>191</v>
      </c>
      <c r="B3939" s="3" t="s">
        <v>719</v>
      </c>
      <c r="C3939" s="3">
        <v>204</v>
      </c>
      <c r="D3939" s="3" t="s">
        <v>685</v>
      </c>
      <c r="E3939" s="3" t="s">
        <v>7635</v>
      </c>
      <c r="F3939" s="3" t="s">
        <v>7659</v>
      </c>
      <c r="G3939" s="3" t="s">
        <v>7617</v>
      </c>
    </row>
    <row r="3940" spans="1:7">
      <c r="A3940" s="2">
        <v>191</v>
      </c>
      <c r="B3940" s="2" t="s">
        <v>719</v>
      </c>
      <c r="C3940" s="2">
        <v>205</v>
      </c>
      <c r="D3940" s="2" t="s">
        <v>746</v>
      </c>
      <c r="E3940" s="2" t="s">
        <v>7694</v>
      </c>
      <c r="F3940" s="2" t="s">
        <v>7628</v>
      </c>
      <c r="G3940" s="2" t="s">
        <v>7639</v>
      </c>
    </row>
    <row r="3941" spans="1:7">
      <c r="A3941" s="3">
        <v>191</v>
      </c>
      <c r="B3941" s="3" t="s">
        <v>719</v>
      </c>
      <c r="C3941" s="3">
        <v>206</v>
      </c>
      <c r="D3941" s="3" t="s">
        <v>723</v>
      </c>
      <c r="E3941" s="3" t="s">
        <v>7635</v>
      </c>
      <c r="F3941" s="3" t="s">
        <v>7635</v>
      </c>
      <c r="G3941" s="3" t="s">
        <v>7625</v>
      </c>
    </row>
    <row r="3942" spans="1:7">
      <c r="A3942" s="2">
        <v>191</v>
      </c>
      <c r="B3942" s="2" t="s">
        <v>719</v>
      </c>
      <c r="C3942" s="2">
        <v>207</v>
      </c>
      <c r="D3942" s="2" t="s">
        <v>749</v>
      </c>
      <c r="E3942" s="2" t="s">
        <v>7693</v>
      </c>
      <c r="F3942" s="2" t="s">
        <v>7611</v>
      </c>
      <c r="G3942" s="2" t="s">
        <v>7639</v>
      </c>
    </row>
    <row r="3943" spans="1:7">
      <c r="A3943" s="3">
        <v>191</v>
      </c>
      <c r="B3943" s="3" t="s">
        <v>719</v>
      </c>
      <c r="C3943" s="3">
        <v>208</v>
      </c>
      <c r="D3943" s="3" t="s">
        <v>754</v>
      </c>
      <c r="E3943" s="3" t="s">
        <v>7694</v>
      </c>
      <c r="F3943" s="3" t="s">
        <v>7628</v>
      </c>
      <c r="G3943" s="3" t="s">
        <v>7634</v>
      </c>
    </row>
    <row r="3944" spans="1:7">
      <c r="A3944" s="2">
        <v>191</v>
      </c>
      <c r="B3944" s="2" t="s">
        <v>719</v>
      </c>
      <c r="C3944" s="2">
        <v>209</v>
      </c>
      <c r="D3944" s="2" t="s">
        <v>758</v>
      </c>
      <c r="E3944" s="2" t="s">
        <v>7618</v>
      </c>
      <c r="F3944" s="2" t="s">
        <v>7652</v>
      </c>
      <c r="G3944" s="2" t="s">
        <v>7634</v>
      </c>
    </row>
    <row r="3945" spans="1:7">
      <c r="A3945" s="3">
        <v>191</v>
      </c>
      <c r="B3945" s="3" t="s">
        <v>719</v>
      </c>
      <c r="C3945" s="3">
        <v>214</v>
      </c>
      <c r="D3945" s="3" t="s">
        <v>870</v>
      </c>
      <c r="E3945" s="3" t="s">
        <v>7620</v>
      </c>
      <c r="F3945" s="3" t="s">
        <v>7611</v>
      </c>
      <c r="G3945" s="3" t="s">
        <v>7621</v>
      </c>
    </row>
    <row r="3946" spans="1:7">
      <c r="A3946" s="2">
        <v>191</v>
      </c>
      <c r="B3946" s="2" t="s">
        <v>719</v>
      </c>
      <c r="C3946" s="2">
        <v>215</v>
      </c>
      <c r="D3946" s="2" t="s">
        <v>844</v>
      </c>
      <c r="E3946" s="2" t="s">
        <v>7618</v>
      </c>
      <c r="F3946" s="2" t="s">
        <v>7649</v>
      </c>
      <c r="G3946" s="2" t="s">
        <v>7619</v>
      </c>
    </row>
    <row r="3947" spans="1:7">
      <c r="A3947" s="3">
        <v>191</v>
      </c>
      <c r="B3947" s="3" t="s">
        <v>719</v>
      </c>
      <c r="C3947" s="3">
        <v>216</v>
      </c>
      <c r="D3947" s="3"/>
      <c r="E3947" s="3" t="s">
        <v>7630</v>
      </c>
      <c r="F3947" s="3" t="s">
        <v>7611</v>
      </c>
      <c r="G3947" s="3" t="s">
        <v>7617</v>
      </c>
    </row>
    <row r="3948" spans="1:7">
      <c r="A3948" s="2">
        <v>191</v>
      </c>
      <c r="B3948" s="2" t="s">
        <v>719</v>
      </c>
      <c r="C3948" s="2">
        <v>217</v>
      </c>
      <c r="D3948" s="2" t="s">
        <v>795</v>
      </c>
      <c r="E3948" s="2" t="s">
        <v>7618</v>
      </c>
      <c r="F3948" s="2" t="s">
        <v>7649</v>
      </c>
      <c r="G3948" s="2" t="s">
        <v>7634</v>
      </c>
    </row>
    <row r="3949" spans="1:7">
      <c r="A3949" s="3">
        <v>191</v>
      </c>
      <c r="B3949" s="3" t="s">
        <v>719</v>
      </c>
      <c r="C3949" s="3">
        <v>218</v>
      </c>
      <c r="D3949" s="3" t="s">
        <v>789</v>
      </c>
      <c r="E3949" s="3" t="s">
        <v>7618</v>
      </c>
      <c r="F3949" s="3" t="s">
        <v>7611</v>
      </c>
      <c r="G3949" s="3" t="s">
        <v>7636</v>
      </c>
    </row>
    <row r="3950" spans="1:7">
      <c r="A3950" s="2">
        <v>191</v>
      </c>
      <c r="B3950" s="2" t="s">
        <v>719</v>
      </c>
      <c r="C3950" s="2">
        <v>219</v>
      </c>
      <c r="D3950" s="2" t="s">
        <v>822</v>
      </c>
      <c r="E3950" s="2" t="s">
        <v>7618</v>
      </c>
      <c r="F3950" s="2" t="s">
        <v>7659</v>
      </c>
      <c r="G3950" s="2" t="s">
        <v>7632</v>
      </c>
    </row>
    <row r="3951" spans="1:7">
      <c r="A3951" s="3">
        <v>191</v>
      </c>
      <c r="B3951" s="3" t="s">
        <v>719</v>
      </c>
      <c r="C3951" s="3">
        <v>220</v>
      </c>
      <c r="D3951" s="3" t="s">
        <v>810</v>
      </c>
      <c r="E3951" s="3" t="s">
        <v>7618</v>
      </c>
      <c r="F3951" s="3" t="s">
        <v>7659</v>
      </c>
      <c r="G3951" s="3" t="s">
        <v>7624</v>
      </c>
    </row>
    <row r="3952" spans="1:7">
      <c r="A3952" s="2">
        <v>191</v>
      </c>
      <c r="B3952" s="2" t="s">
        <v>719</v>
      </c>
      <c r="C3952" s="2">
        <v>221</v>
      </c>
      <c r="D3952" s="2" t="s">
        <v>813</v>
      </c>
      <c r="E3952" s="2" t="s">
        <v>7618</v>
      </c>
      <c r="F3952" s="2" t="s">
        <v>7649</v>
      </c>
      <c r="G3952" s="2" t="s">
        <v>7619</v>
      </c>
    </row>
    <row r="3953" spans="1:7">
      <c r="A3953" s="3">
        <v>191</v>
      </c>
      <c r="B3953" s="3" t="s">
        <v>719</v>
      </c>
      <c r="C3953" s="3">
        <v>222</v>
      </c>
      <c r="D3953" s="3" t="s">
        <v>864</v>
      </c>
      <c r="E3953" s="3" t="s">
        <v>7620</v>
      </c>
      <c r="F3953" s="3" t="s">
        <v>7611</v>
      </c>
      <c r="G3953" s="3" t="s">
        <v>7621</v>
      </c>
    </row>
    <row r="3954" spans="1:7">
      <c r="A3954" s="2">
        <v>191</v>
      </c>
      <c r="B3954" s="2" t="s">
        <v>719</v>
      </c>
      <c r="C3954" s="2">
        <v>230</v>
      </c>
      <c r="D3954" s="2" t="s">
        <v>920</v>
      </c>
      <c r="E3954" s="2" t="s">
        <v>7620</v>
      </c>
      <c r="F3954" s="2" t="s">
        <v>7650</v>
      </c>
      <c r="G3954" s="2" t="s">
        <v>7621</v>
      </c>
    </row>
    <row r="3955" spans="1:7">
      <c r="A3955" s="3">
        <v>191</v>
      </c>
      <c r="B3955" s="3" t="s">
        <v>719</v>
      </c>
      <c r="C3955" s="3">
        <v>231</v>
      </c>
      <c r="D3955" s="3" t="s">
        <v>923</v>
      </c>
      <c r="E3955" s="3" t="s">
        <v>7618</v>
      </c>
      <c r="F3955" s="3" t="s">
        <v>7611</v>
      </c>
      <c r="G3955" s="3" t="s">
        <v>7636</v>
      </c>
    </row>
    <row r="3956" spans="1:7">
      <c r="A3956" s="2">
        <v>191</v>
      </c>
      <c r="B3956" s="2" t="s">
        <v>719</v>
      </c>
      <c r="C3956" s="2">
        <v>232</v>
      </c>
      <c r="D3956" s="2" t="s">
        <v>933</v>
      </c>
      <c r="E3956" s="2" t="s">
        <v>7618</v>
      </c>
      <c r="F3956" s="2" t="s">
        <v>7608</v>
      </c>
      <c r="G3956" s="2" t="s">
        <v>7609</v>
      </c>
    </row>
    <row r="3957" spans="1:7">
      <c r="A3957" s="3">
        <v>191</v>
      </c>
      <c r="B3957" s="3" t="s">
        <v>719</v>
      </c>
      <c r="C3957" s="3">
        <v>233</v>
      </c>
      <c r="D3957" s="3" t="s">
        <v>937</v>
      </c>
      <c r="E3957" s="3" t="s">
        <v>7620</v>
      </c>
      <c r="F3957" s="3" t="s">
        <v>7611</v>
      </c>
      <c r="G3957" s="3" t="s">
        <v>7625</v>
      </c>
    </row>
    <row r="3958" spans="1:7">
      <c r="A3958" s="2">
        <v>191</v>
      </c>
      <c r="B3958" s="2" t="s">
        <v>719</v>
      </c>
      <c r="C3958" s="2">
        <v>243</v>
      </c>
      <c r="D3958" s="2" t="s">
        <v>941</v>
      </c>
      <c r="E3958" s="2" t="s">
        <v>7618</v>
      </c>
      <c r="F3958" s="2" t="s">
        <v>7608</v>
      </c>
      <c r="G3958" s="2" t="s">
        <v>7633</v>
      </c>
    </row>
    <row r="3959" spans="1:7">
      <c r="A3959" s="3">
        <v>191</v>
      </c>
      <c r="B3959" s="3" t="s">
        <v>719</v>
      </c>
      <c r="C3959" s="3">
        <v>251</v>
      </c>
      <c r="D3959" s="3" t="s">
        <v>819</v>
      </c>
      <c r="E3959" s="3" t="s">
        <v>7620</v>
      </c>
      <c r="F3959" s="3" t="s">
        <v>7611</v>
      </c>
      <c r="G3959" s="3" t="s">
        <v>7625</v>
      </c>
    </row>
    <row r="3960" spans="1:7">
      <c r="A3960" s="2">
        <v>191</v>
      </c>
      <c r="B3960" s="2" t="s">
        <v>719</v>
      </c>
      <c r="C3960" s="2">
        <v>254</v>
      </c>
      <c r="D3960" s="2" t="s">
        <v>837</v>
      </c>
      <c r="E3960" s="2" t="s">
        <v>7630</v>
      </c>
      <c r="F3960" s="2" t="s">
        <v>7649</v>
      </c>
      <c r="G3960" s="2" t="s">
        <v>7619</v>
      </c>
    </row>
    <row r="3961" spans="1:7">
      <c r="A3961" s="3">
        <v>191</v>
      </c>
      <c r="B3961" s="3" t="s">
        <v>719</v>
      </c>
      <c r="C3961" s="3">
        <v>256</v>
      </c>
      <c r="D3961" s="3" t="s">
        <v>785</v>
      </c>
      <c r="E3961" s="3" t="s">
        <v>7618</v>
      </c>
      <c r="F3961" s="3" t="s">
        <v>7611</v>
      </c>
      <c r="G3961" s="3" t="s">
        <v>7636</v>
      </c>
    </row>
    <row r="3962" spans="1:7">
      <c r="A3962" s="2">
        <v>191</v>
      </c>
      <c r="B3962" s="2" t="s">
        <v>719</v>
      </c>
      <c r="C3962" s="2">
        <v>257</v>
      </c>
      <c r="D3962" s="2" t="s">
        <v>876</v>
      </c>
      <c r="E3962" s="2" t="s">
        <v>7620</v>
      </c>
      <c r="F3962" s="2" t="s">
        <v>7611</v>
      </c>
      <c r="G3962" s="2" t="s">
        <v>7621</v>
      </c>
    </row>
    <row r="3963" spans="1:7">
      <c r="A3963" s="3">
        <v>191</v>
      </c>
      <c r="B3963" s="3" t="s">
        <v>719</v>
      </c>
      <c r="C3963" s="3">
        <v>258</v>
      </c>
      <c r="D3963" s="3" t="s">
        <v>882</v>
      </c>
      <c r="E3963" s="3" t="s">
        <v>7618</v>
      </c>
      <c r="F3963" s="3" t="s">
        <v>7608</v>
      </c>
      <c r="G3963" s="3" t="s">
        <v>7609</v>
      </c>
    </row>
    <row r="3964" spans="1:7">
      <c r="A3964" s="2">
        <v>191</v>
      </c>
      <c r="B3964" s="2" t="s">
        <v>719</v>
      </c>
      <c r="C3964" s="2">
        <v>262</v>
      </c>
      <c r="D3964" s="2" t="s">
        <v>355</v>
      </c>
      <c r="E3964" s="2" t="s">
        <v>7618</v>
      </c>
      <c r="F3964" s="2" t="s">
        <v>7611</v>
      </c>
      <c r="G3964" s="2" t="s">
        <v>7619</v>
      </c>
    </row>
    <row r="3965" spans="1:7">
      <c r="A3965" s="3">
        <v>191</v>
      </c>
      <c r="B3965" s="3" t="s">
        <v>719</v>
      </c>
      <c r="C3965" s="3">
        <v>263</v>
      </c>
      <c r="D3965" s="3" t="s">
        <v>793</v>
      </c>
      <c r="E3965" s="3" t="s">
        <v>7620</v>
      </c>
      <c r="F3965" s="3" t="s">
        <v>7608</v>
      </c>
      <c r="G3965" s="3" t="s">
        <v>7625</v>
      </c>
    </row>
    <row r="3966" spans="1:7">
      <c r="A3966" s="2">
        <v>191</v>
      </c>
      <c r="B3966" s="2" t="s">
        <v>719</v>
      </c>
      <c r="C3966" s="2">
        <v>264</v>
      </c>
      <c r="D3966" s="2" t="s">
        <v>775</v>
      </c>
      <c r="E3966" s="2" t="s">
        <v>7693</v>
      </c>
      <c r="F3966" s="2" t="s">
        <v>7659</v>
      </c>
      <c r="G3966" s="2" t="s">
        <v>7612</v>
      </c>
    </row>
    <row r="3967" spans="1:7">
      <c r="A3967" s="3">
        <v>191</v>
      </c>
      <c r="B3967" s="3" t="s">
        <v>719</v>
      </c>
      <c r="C3967" s="3">
        <v>265</v>
      </c>
      <c r="D3967" s="3" t="s">
        <v>860</v>
      </c>
      <c r="E3967" s="3" t="s">
        <v>7620</v>
      </c>
      <c r="F3967" s="3" t="s">
        <v>7611</v>
      </c>
      <c r="G3967" s="3" t="s">
        <v>7622</v>
      </c>
    </row>
    <row r="3968" spans="1:7">
      <c r="A3968" s="2">
        <v>191</v>
      </c>
      <c r="B3968" s="2" t="s">
        <v>719</v>
      </c>
      <c r="C3968" s="2">
        <v>266</v>
      </c>
      <c r="D3968" s="2" t="s">
        <v>826</v>
      </c>
      <c r="E3968" s="2" t="s">
        <v>7618</v>
      </c>
      <c r="F3968" s="2" t="s">
        <v>7659</v>
      </c>
      <c r="G3968" s="2" t="s">
        <v>7644</v>
      </c>
    </row>
    <row r="3969" spans="1:7">
      <c r="A3969" s="3">
        <v>191</v>
      </c>
      <c r="B3969" s="3" t="s">
        <v>719</v>
      </c>
      <c r="C3969" s="3">
        <v>267</v>
      </c>
      <c r="D3969" s="3" t="s">
        <v>801</v>
      </c>
      <c r="E3969" s="3" t="s">
        <v>7618</v>
      </c>
      <c r="F3969" s="3" t="s">
        <v>7649</v>
      </c>
      <c r="G3969" s="3" t="s">
        <v>7634</v>
      </c>
    </row>
    <row r="3970" spans="1:7">
      <c r="A3970" s="2">
        <v>191</v>
      </c>
      <c r="B3970" s="2" t="s">
        <v>719</v>
      </c>
      <c r="C3970" s="2">
        <v>268</v>
      </c>
      <c r="D3970" s="2" t="s">
        <v>934</v>
      </c>
      <c r="E3970" s="2" t="s">
        <v>7620</v>
      </c>
      <c r="F3970" s="2" t="s">
        <v>7608</v>
      </c>
      <c r="G3970" s="2" t="s">
        <v>7625</v>
      </c>
    </row>
    <row r="3971" spans="1:7">
      <c r="A3971" s="3">
        <v>191</v>
      </c>
      <c r="B3971" s="3" t="s">
        <v>719</v>
      </c>
      <c r="C3971" s="3">
        <v>269</v>
      </c>
      <c r="D3971" s="3" t="s">
        <v>825</v>
      </c>
      <c r="E3971" s="3" t="s">
        <v>7618</v>
      </c>
      <c r="F3971" s="3" t="s">
        <v>7649</v>
      </c>
      <c r="G3971" s="3" t="s">
        <v>7634</v>
      </c>
    </row>
    <row r="3972" spans="1:7">
      <c r="A3972" s="2">
        <v>191</v>
      </c>
      <c r="B3972" s="2" t="s">
        <v>719</v>
      </c>
      <c r="C3972" s="2">
        <v>270</v>
      </c>
      <c r="D3972" s="2" t="s">
        <v>769</v>
      </c>
      <c r="E3972" s="2" t="s">
        <v>7620</v>
      </c>
      <c r="F3972" s="2" t="s">
        <v>7611</v>
      </c>
      <c r="G3972" s="2" t="s">
        <v>7633</v>
      </c>
    </row>
    <row r="3973" spans="1:7">
      <c r="A3973" s="3">
        <v>191</v>
      </c>
      <c r="B3973" s="3" t="s">
        <v>719</v>
      </c>
      <c r="C3973" s="3">
        <v>271</v>
      </c>
      <c r="D3973" s="3" t="s">
        <v>935</v>
      </c>
      <c r="E3973" s="3" t="s">
        <v>7620</v>
      </c>
      <c r="F3973" s="3" t="s">
        <v>7608</v>
      </c>
      <c r="G3973" s="3" t="s">
        <v>7625</v>
      </c>
    </row>
    <row r="3974" spans="1:7">
      <c r="A3974" s="2">
        <v>191</v>
      </c>
      <c r="B3974" s="2" t="s">
        <v>719</v>
      </c>
      <c r="C3974" s="2">
        <v>272</v>
      </c>
      <c r="D3974" s="2" t="s">
        <v>873</v>
      </c>
      <c r="E3974" s="2" t="s">
        <v>7618</v>
      </c>
      <c r="F3974" s="2" t="s">
        <v>7628</v>
      </c>
      <c r="G3974" s="2" t="s">
        <v>7639</v>
      </c>
    </row>
    <row r="3975" spans="1:7">
      <c r="A3975" s="3">
        <v>191</v>
      </c>
      <c r="B3975" s="3" t="s">
        <v>719</v>
      </c>
      <c r="C3975" s="3">
        <v>273</v>
      </c>
      <c r="D3975" s="3" t="s">
        <v>816</v>
      </c>
      <c r="E3975" s="3" t="s">
        <v>7620</v>
      </c>
      <c r="F3975" s="3" t="s">
        <v>7650</v>
      </c>
      <c r="G3975" s="3" t="s">
        <v>7622</v>
      </c>
    </row>
    <row r="3976" spans="1:7">
      <c r="A3976" s="2">
        <v>191</v>
      </c>
      <c r="B3976" s="2" t="s">
        <v>719</v>
      </c>
      <c r="C3976" s="2">
        <v>275</v>
      </c>
      <c r="D3976" s="2" t="s">
        <v>781</v>
      </c>
      <c r="E3976" s="2" t="s">
        <v>7618</v>
      </c>
      <c r="F3976" s="2" t="s">
        <v>7649</v>
      </c>
      <c r="G3976" s="2" t="s">
        <v>7634</v>
      </c>
    </row>
    <row r="3977" spans="1:7">
      <c r="A3977" s="3">
        <v>191</v>
      </c>
      <c r="B3977" s="3" t="s">
        <v>719</v>
      </c>
      <c r="C3977" s="3">
        <v>276</v>
      </c>
      <c r="D3977" s="3" t="s">
        <v>842</v>
      </c>
      <c r="E3977" s="3" t="s">
        <v>7618</v>
      </c>
      <c r="F3977" s="3" t="s">
        <v>7611</v>
      </c>
      <c r="G3977" s="3" t="s">
        <v>7619</v>
      </c>
    </row>
    <row r="3978" spans="1:7">
      <c r="A3978" s="2">
        <v>191</v>
      </c>
      <c r="B3978" s="2" t="s">
        <v>719</v>
      </c>
      <c r="C3978" s="2">
        <v>277</v>
      </c>
      <c r="D3978" s="2" t="s">
        <v>796</v>
      </c>
      <c r="E3978" s="2" t="s">
        <v>7620</v>
      </c>
      <c r="F3978" s="2" t="s">
        <v>7650</v>
      </c>
      <c r="G3978" s="2" t="s">
        <v>7621</v>
      </c>
    </row>
    <row r="3979" spans="1:7">
      <c r="A3979" s="3">
        <v>191</v>
      </c>
      <c r="B3979" s="3" t="s">
        <v>719</v>
      </c>
      <c r="C3979" s="3">
        <v>280</v>
      </c>
      <c r="D3979" s="3" t="s">
        <v>847</v>
      </c>
      <c r="E3979" s="3" t="s">
        <v>7645</v>
      </c>
      <c r="F3979" s="3" t="s">
        <v>7611</v>
      </c>
      <c r="G3979" s="3" t="s">
        <v>7621</v>
      </c>
    </row>
    <row r="3980" spans="1:7">
      <c r="A3980" s="2">
        <v>191</v>
      </c>
      <c r="B3980" s="2" t="s">
        <v>719</v>
      </c>
      <c r="C3980" s="2">
        <v>281</v>
      </c>
      <c r="D3980" s="2" t="s">
        <v>856</v>
      </c>
      <c r="E3980" s="2" t="s">
        <v>7618</v>
      </c>
      <c r="F3980" s="2" t="s">
        <v>7659</v>
      </c>
      <c r="G3980" s="2" t="s">
        <v>7632</v>
      </c>
    </row>
    <row r="3981" spans="1:7">
      <c r="A3981" s="3">
        <v>191</v>
      </c>
      <c r="B3981" s="3" t="s">
        <v>719</v>
      </c>
      <c r="C3981" s="3">
        <v>282</v>
      </c>
      <c r="D3981" s="3" t="s">
        <v>885</v>
      </c>
      <c r="E3981" s="3" t="s">
        <v>7618</v>
      </c>
      <c r="F3981" s="3" t="s">
        <v>7649</v>
      </c>
      <c r="G3981" s="3" t="s">
        <v>7619</v>
      </c>
    </row>
    <row r="3982" spans="1:7">
      <c r="A3982" s="2">
        <v>191</v>
      </c>
      <c r="B3982" s="2" t="s">
        <v>719</v>
      </c>
      <c r="C3982" s="2">
        <v>284</v>
      </c>
      <c r="D3982" s="2" t="s">
        <v>854</v>
      </c>
      <c r="E3982" s="2" t="s">
        <v>7618</v>
      </c>
      <c r="F3982" s="2" t="s">
        <v>7628</v>
      </c>
      <c r="G3982" s="2" t="s">
        <v>7639</v>
      </c>
    </row>
    <row r="3983" spans="1:7">
      <c r="A3983" s="3">
        <v>191</v>
      </c>
      <c r="B3983" s="3" t="s">
        <v>719</v>
      </c>
      <c r="C3983" s="3">
        <v>285</v>
      </c>
      <c r="D3983" s="3" t="s">
        <v>854</v>
      </c>
      <c r="E3983" s="3" t="s">
        <v>7620</v>
      </c>
      <c r="F3983" s="3" t="s">
        <v>7611</v>
      </c>
      <c r="G3983" s="3" t="s">
        <v>7622</v>
      </c>
    </row>
    <row r="3984" spans="1:7">
      <c r="A3984" s="2">
        <v>191</v>
      </c>
      <c r="B3984" s="2" t="s">
        <v>719</v>
      </c>
      <c r="C3984" s="2">
        <v>286</v>
      </c>
      <c r="D3984" s="2" t="s">
        <v>807</v>
      </c>
      <c r="E3984" s="2" t="s">
        <v>7620</v>
      </c>
      <c r="F3984" s="2" t="s">
        <v>7649</v>
      </c>
      <c r="G3984" s="2" t="s">
        <v>7633</v>
      </c>
    </row>
    <row r="3985" spans="1:7">
      <c r="A3985" s="3">
        <v>191</v>
      </c>
      <c r="B3985" s="3" t="s">
        <v>719</v>
      </c>
      <c r="C3985" s="3">
        <v>287</v>
      </c>
      <c r="D3985" s="3" t="s">
        <v>929</v>
      </c>
      <c r="E3985" s="3" t="s">
        <v>7618</v>
      </c>
      <c r="F3985" s="3" t="s">
        <v>7611</v>
      </c>
      <c r="G3985" s="3" t="s">
        <v>7617</v>
      </c>
    </row>
    <row r="3986" spans="1:7">
      <c r="A3986" s="2">
        <v>191</v>
      </c>
      <c r="B3986" s="2" t="s">
        <v>719</v>
      </c>
      <c r="C3986" s="2">
        <v>288</v>
      </c>
      <c r="D3986" s="2" t="s">
        <v>805</v>
      </c>
      <c r="E3986" s="2" t="s">
        <v>7618</v>
      </c>
      <c r="F3986" s="2" t="s">
        <v>7611</v>
      </c>
      <c r="G3986" s="2" t="s">
        <v>7619</v>
      </c>
    </row>
    <row r="3987" spans="1:7">
      <c r="A3987" s="3">
        <v>191</v>
      </c>
      <c r="B3987" s="3" t="s">
        <v>719</v>
      </c>
      <c r="C3987" s="3">
        <v>289</v>
      </c>
      <c r="D3987" s="3" t="s">
        <v>854</v>
      </c>
      <c r="E3987" s="3" t="s">
        <v>7620</v>
      </c>
      <c r="F3987" s="3" t="s">
        <v>7608</v>
      </c>
      <c r="G3987" s="3" t="s">
        <v>7622</v>
      </c>
    </row>
    <row r="3988" spans="1:7">
      <c r="A3988" s="2">
        <v>191</v>
      </c>
      <c r="B3988" s="2" t="s">
        <v>719</v>
      </c>
      <c r="C3988" s="2">
        <v>290</v>
      </c>
      <c r="D3988" s="2" t="s">
        <v>854</v>
      </c>
      <c r="E3988" s="2" t="s">
        <v>7620</v>
      </c>
      <c r="F3988" s="2" t="s">
        <v>7611</v>
      </c>
      <c r="G3988" s="2" t="s">
        <v>7625</v>
      </c>
    </row>
    <row r="3989" spans="1:7">
      <c r="A3989" s="3">
        <v>191</v>
      </c>
      <c r="B3989" s="3" t="s">
        <v>719</v>
      </c>
      <c r="C3989" s="3">
        <v>293</v>
      </c>
      <c r="D3989" s="3" t="s">
        <v>854</v>
      </c>
      <c r="E3989" s="3" t="s">
        <v>7618</v>
      </c>
      <c r="F3989" s="3" t="s">
        <v>7611</v>
      </c>
      <c r="G3989" s="3" t="s">
        <v>7619</v>
      </c>
    </row>
    <row r="3990" spans="1:7">
      <c r="A3990" s="2">
        <v>191</v>
      </c>
      <c r="B3990" s="2" t="s">
        <v>719</v>
      </c>
      <c r="C3990" s="2">
        <v>294</v>
      </c>
      <c r="D3990" s="2" t="s">
        <v>854</v>
      </c>
      <c r="E3990" s="2" t="s">
        <v>7618</v>
      </c>
      <c r="F3990" s="2" t="s">
        <v>7608</v>
      </c>
      <c r="G3990" s="2" t="s">
        <v>7636</v>
      </c>
    </row>
    <row r="3991" spans="1:7">
      <c r="A3991" s="3">
        <v>191</v>
      </c>
      <c r="B3991" s="3" t="s">
        <v>719</v>
      </c>
      <c r="C3991" s="3">
        <v>295</v>
      </c>
      <c r="D3991" s="3" t="s">
        <v>854</v>
      </c>
      <c r="E3991" s="3" t="s">
        <v>7620</v>
      </c>
      <c r="F3991" s="3" t="s">
        <v>7635</v>
      </c>
      <c r="G3991" s="3" t="s">
        <v>7633</v>
      </c>
    </row>
    <row r="3992" spans="1:7">
      <c r="A3992" s="2">
        <v>191</v>
      </c>
      <c r="B3992" s="2" t="s">
        <v>719</v>
      </c>
      <c r="C3992" s="2">
        <v>296</v>
      </c>
      <c r="D3992" s="2" t="s">
        <v>854</v>
      </c>
      <c r="E3992" s="2" t="s">
        <v>7620</v>
      </c>
      <c r="F3992" s="2" t="s">
        <v>7608</v>
      </c>
      <c r="G3992" s="2" t="s">
        <v>7621</v>
      </c>
    </row>
    <row r="3993" spans="1:7">
      <c r="A3993" s="3">
        <v>191</v>
      </c>
      <c r="B3993" s="3" t="s">
        <v>719</v>
      </c>
      <c r="C3993" s="3">
        <v>297</v>
      </c>
      <c r="D3993" s="3" t="s">
        <v>833</v>
      </c>
      <c r="E3993" s="3" t="s">
        <v>7618</v>
      </c>
      <c r="F3993" s="3" t="s">
        <v>7608</v>
      </c>
      <c r="G3993" s="3" t="s">
        <v>7633</v>
      </c>
    </row>
    <row r="3994" spans="1:7">
      <c r="A3994" s="2">
        <v>191</v>
      </c>
      <c r="B3994" s="2" t="s">
        <v>719</v>
      </c>
      <c r="C3994" s="2">
        <v>301</v>
      </c>
      <c r="D3994" s="2" t="s">
        <v>850</v>
      </c>
      <c r="E3994" s="2" t="s">
        <v>7620</v>
      </c>
      <c r="F3994" s="2" t="s">
        <v>7650</v>
      </c>
      <c r="G3994" s="2" t="s">
        <v>7621</v>
      </c>
    </row>
    <row r="3995" spans="1:7">
      <c r="A3995" s="3">
        <v>191</v>
      </c>
      <c r="B3995" s="3" t="s">
        <v>719</v>
      </c>
      <c r="C3995" s="3">
        <v>302</v>
      </c>
      <c r="D3995" s="3" t="s">
        <v>916</v>
      </c>
      <c r="E3995" s="3" t="s">
        <v>7620</v>
      </c>
      <c r="F3995" s="3" t="s">
        <v>7628</v>
      </c>
      <c r="G3995" s="3" t="s">
        <v>7633</v>
      </c>
    </row>
    <row r="3996" spans="1:7">
      <c r="A3996" s="2">
        <v>191</v>
      </c>
      <c r="B3996" s="2" t="s">
        <v>719</v>
      </c>
      <c r="C3996" s="2">
        <v>303</v>
      </c>
      <c r="D3996" s="2" t="s">
        <v>854</v>
      </c>
      <c r="E3996" s="2" t="s">
        <v>7620</v>
      </c>
      <c r="F3996" s="2" t="s">
        <v>7611</v>
      </c>
      <c r="G3996" s="2" t="s">
        <v>7617</v>
      </c>
    </row>
    <row r="3997" spans="1:7">
      <c r="A3997" s="3">
        <v>191</v>
      </c>
      <c r="B3997" s="3" t="s">
        <v>719</v>
      </c>
      <c r="C3997" s="3">
        <v>304</v>
      </c>
      <c r="D3997" s="3" t="s">
        <v>854</v>
      </c>
      <c r="E3997" s="3" t="s">
        <v>7620</v>
      </c>
      <c r="F3997" s="3" t="s">
        <v>7608</v>
      </c>
      <c r="G3997" s="3" t="s">
        <v>7625</v>
      </c>
    </row>
    <row r="3998" spans="1:7">
      <c r="A3998" s="2">
        <v>191</v>
      </c>
      <c r="B3998" s="2" t="s">
        <v>719</v>
      </c>
      <c r="C3998" s="2">
        <v>305</v>
      </c>
      <c r="D3998" s="2" t="s">
        <v>854</v>
      </c>
      <c r="E3998" s="2" t="s">
        <v>7620</v>
      </c>
      <c r="F3998" s="2" t="s">
        <v>7608</v>
      </c>
      <c r="G3998" s="2" t="s">
        <v>7625</v>
      </c>
    </row>
    <row r="3999" spans="1:7">
      <c r="A3999" s="3">
        <v>191</v>
      </c>
      <c r="B3999" s="3" t="s">
        <v>719</v>
      </c>
      <c r="C3999" s="3">
        <v>307</v>
      </c>
      <c r="D3999" s="3" t="s">
        <v>854</v>
      </c>
      <c r="E3999" s="3" t="s">
        <v>7620</v>
      </c>
      <c r="F3999" s="3" t="s">
        <v>7611</v>
      </c>
      <c r="G3999" s="3" t="s">
        <v>7621</v>
      </c>
    </row>
    <row r="4000" spans="1:7">
      <c r="A4000" s="2">
        <v>191</v>
      </c>
      <c r="B4000" s="2" t="s">
        <v>719</v>
      </c>
      <c r="C4000" s="2">
        <v>308</v>
      </c>
      <c r="D4000" s="2" t="s">
        <v>854</v>
      </c>
      <c r="E4000" s="2" t="s">
        <v>7618</v>
      </c>
      <c r="F4000" s="2" t="s">
        <v>7608</v>
      </c>
      <c r="G4000" s="2" t="s">
        <v>7633</v>
      </c>
    </row>
    <row r="4001" spans="1:7">
      <c r="A4001" s="3">
        <v>191</v>
      </c>
      <c r="B4001" s="3" t="s">
        <v>719</v>
      </c>
      <c r="C4001" s="3">
        <v>311</v>
      </c>
      <c r="D4001" s="3" t="s">
        <v>954</v>
      </c>
      <c r="E4001" s="3" t="s">
        <v>7635</v>
      </c>
      <c r="F4001" s="3" t="s">
        <v>7635</v>
      </c>
      <c r="G4001" s="3" t="s">
        <v>7633</v>
      </c>
    </row>
    <row r="4002" spans="1:7">
      <c r="A4002" s="2">
        <v>191</v>
      </c>
      <c r="B4002" s="2" t="s">
        <v>719</v>
      </c>
      <c r="C4002" s="2">
        <v>312</v>
      </c>
      <c r="D4002" s="2" t="s">
        <v>949</v>
      </c>
      <c r="E4002" s="2" t="s">
        <v>7635</v>
      </c>
      <c r="F4002" s="2" t="s">
        <v>7659</v>
      </c>
      <c r="G4002" s="2" t="s">
        <v>7617</v>
      </c>
    </row>
    <row r="4003" spans="1:7">
      <c r="A4003" s="3">
        <v>191</v>
      </c>
      <c r="B4003" s="3" t="s">
        <v>719</v>
      </c>
      <c r="C4003" s="3">
        <v>314</v>
      </c>
      <c r="D4003" s="3" t="s">
        <v>1050</v>
      </c>
      <c r="E4003" s="3" t="s">
        <v>7635</v>
      </c>
      <c r="F4003" s="3" t="s">
        <v>7652</v>
      </c>
      <c r="G4003" s="3" t="s">
        <v>7633</v>
      </c>
    </row>
    <row r="4004" spans="1:7">
      <c r="A4004" s="2">
        <v>191</v>
      </c>
      <c r="B4004" s="2" t="s">
        <v>719</v>
      </c>
      <c r="C4004" s="2">
        <v>316</v>
      </c>
      <c r="D4004" s="2" t="s">
        <v>1028</v>
      </c>
      <c r="E4004" s="2" t="s">
        <v>7620</v>
      </c>
      <c r="F4004" s="2" t="s">
        <v>7650</v>
      </c>
      <c r="G4004" s="2" t="s">
        <v>7633</v>
      </c>
    </row>
    <row r="4005" spans="1:7">
      <c r="A4005" s="3">
        <v>191</v>
      </c>
      <c r="B4005" s="3" t="s">
        <v>719</v>
      </c>
      <c r="C4005" s="3">
        <v>317</v>
      </c>
      <c r="D4005" s="3" t="s">
        <v>1030</v>
      </c>
      <c r="E4005" s="3" t="s">
        <v>7618</v>
      </c>
      <c r="F4005" s="3" t="s">
        <v>7611</v>
      </c>
      <c r="G4005" s="3" t="s">
        <v>7636</v>
      </c>
    </row>
    <row r="4006" spans="1:7">
      <c r="A4006" s="2">
        <v>191</v>
      </c>
      <c r="B4006" s="2" t="s">
        <v>719</v>
      </c>
      <c r="C4006" s="2">
        <v>318</v>
      </c>
      <c r="D4006" s="2" t="s">
        <v>1032</v>
      </c>
      <c r="E4006" s="2" t="s">
        <v>7618</v>
      </c>
      <c r="F4006" s="2" t="s">
        <v>7611</v>
      </c>
      <c r="G4006" s="2" t="s">
        <v>7617</v>
      </c>
    </row>
    <row r="4007" spans="1:7">
      <c r="A4007" s="3">
        <v>191</v>
      </c>
      <c r="B4007" s="3" t="s">
        <v>719</v>
      </c>
      <c r="C4007" s="3">
        <v>319</v>
      </c>
      <c r="D4007" s="3" t="s">
        <v>1035</v>
      </c>
      <c r="E4007" s="3" t="s">
        <v>7635</v>
      </c>
      <c r="F4007" s="3" t="s">
        <v>7628</v>
      </c>
      <c r="G4007" s="3" t="s">
        <v>7633</v>
      </c>
    </row>
    <row r="4008" spans="1:7">
      <c r="A4008" s="2">
        <v>191</v>
      </c>
      <c r="B4008" s="2" t="s">
        <v>719</v>
      </c>
      <c r="C4008" s="2">
        <v>320</v>
      </c>
      <c r="D4008" s="2" t="s">
        <v>1039</v>
      </c>
      <c r="E4008" s="2" t="s">
        <v>7635</v>
      </c>
      <c r="F4008" s="2" t="s">
        <v>7652</v>
      </c>
      <c r="G4008" s="2" t="s">
        <v>7633</v>
      </c>
    </row>
    <row r="4009" spans="1:7">
      <c r="A4009" s="3">
        <v>191</v>
      </c>
      <c r="B4009" s="3" t="s">
        <v>719</v>
      </c>
      <c r="C4009" s="3">
        <v>321</v>
      </c>
      <c r="D4009" s="3" t="s">
        <v>1048</v>
      </c>
      <c r="E4009" s="3" t="s">
        <v>7618</v>
      </c>
      <c r="F4009" s="3" t="s">
        <v>7649</v>
      </c>
      <c r="G4009" s="3" t="s">
        <v>7624</v>
      </c>
    </row>
    <row r="4010" spans="1:7">
      <c r="A4010" s="2">
        <v>191</v>
      </c>
      <c r="B4010" s="2" t="s">
        <v>719</v>
      </c>
      <c r="C4010" s="2">
        <v>322</v>
      </c>
      <c r="D4010" s="2" t="s">
        <v>1012</v>
      </c>
      <c r="E4010" s="2" t="s">
        <v>7635</v>
      </c>
      <c r="F4010" s="2" t="s">
        <v>7652</v>
      </c>
      <c r="G4010" s="2" t="s">
        <v>7633</v>
      </c>
    </row>
    <row r="4011" spans="1:7">
      <c r="A4011" s="3">
        <v>191</v>
      </c>
      <c r="B4011" s="3" t="s">
        <v>719</v>
      </c>
      <c r="C4011" s="3">
        <v>323</v>
      </c>
      <c r="D4011" s="3" t="s">
        <v>1016</v>
      </c>
      <c r="E4011" s="3" t="s">
        <v>7618</v>
      </c>
      <c r="F4011" s="3" t="s">
        <v>7649</v>
      </c>
      <c r="G4011" s="3" t="s">
        <v>7639</v>
      </c>
    </row>
    <row r="4012" spans="1:7">
      <c r="A4012" s="2">
        <v>191</v>
      </c>
      <c r="B4012" s="2" t="s">
        <v>719</v>
      </c>
      <c r="C4012" s="2">
        <v>325</v>
      </c>
      <c r="D4012" s="2" t="s">
        <v>1020</v>
      </c>
      <c r="E4012" s="2" t="s">
        <v>7618</v>
      </c>
      <c r="F4012" s="2" t="s">
        <v>7611</v>
      </c>
      <c r="G4012" s="2" t="s">
        <v>7634</v>
      </c>
    </row>
    <row r="4013" spans="1:7">
      <c r="A4013" s="3">
        <v>191</v>
      </c>
      <c r="B4013" s="3" t="s">
        <v>719</v>
      </c>
      <c r="C4013" s="3">
        <v>326</v>
      </c>
      <c r="D4013" s="3" t="s">
        <v>1022</v>
      </c>
      <c r="E4013" s="3" t="s">
        <v>7618</v>
      </c>
      <c r="F4013" s="3" t="s">
        <v>7628</v>
      </c>
      <c r="G4013" s="3" t="s">
        <v>7639</v>
      </c>
    </row>
    <row r="4014" spans="1:7">
      <c r="A4014" s="2">
        <v>191</v>
      </c>
      <c r="B4014" s="2" t="s">
        <v>719</v>
      </c>
      <c r="C4014" s="2">
        <v>327</v>
      </c>
      <c r="D4014" s="2" t="s">
        <v>1025</v>
      </c>
      <c r="E4014" s="2" t="s">
        <v>7618</v>
      </c>
      <c r="F4014" s="2" t="s">
        <v>7628</v>
      </c>
      <c r="G4014" s="2" t="s">
        <v>7634</v>
      </c>
    </row>
    <row r="4015" spans="1:7">
      <c r="A4015" s="3">
        <v>191</v>
      </c>
      <c r="B4015" s="3" t="s">
        <v>719</v>
      </c>
      <c r="C4015" s="3">
        <v>328</v>
      </c>
      <c r="D4015" s="3" t="s">
        <v>1026</v>
      </c>
      <c r="E4015" s="3" t="s">
        <v>7618</v>
      </c>
      <c r="F4015" s="3" t="s">
        <v>7649</v>
      </c>
      <c r="G4015" s="3" t="s">
        <v>7624</v>
      </c>
    </row>
    <row r="4016" spans="1:7">
      <c r="A4016" s="2">
        <v>191</v>
      </c>
      <c r="B4016" s="2" t="s">
        <v>719</v>
      </c>
      <c r="C4016" s="2">
        <v>329</v>
      </c>
      <c r="D4016" s="2" t="s">
        <v>965</v>
      </c>
      <c r="E4016" s="2" t="s">
        <v>7618</v>
      </c>
      <c r="F4016" s="2" t="s">
        <v>7649</v>
      </c>
      <c r="G4016" s="2" t="s">
        <v>7624</v>
      </c>
    </row>
    <row r="4017" spans="1:7">
      <c r="A4017" s="3">
        <v>191</v>
      </c>
      <c r="B4017" s="3" t="s">
        <v>719</v>
      </c>
      <c r="C4017" s="3">
        <v>330</v>
      </c>
      <c r="D4017" s="3" t="s">
        <v>974</v>
      </c>
      <c r="E4017" s="3" t="s">
        <v>7618</v>
      </c>
      <c r="F4017" s="3" t="s">
        <v>7652</v>
      </c>
      <c r="G4017" s="3" t="s">
        <v>7624</v>
      </c>
    </row>
    <row r="4018" spans="1:7">
      <c r="A4018" s="2">
        <v>191</v>
      </c>
      <c r="B4018" s="2" t="s">
        <v>719</v>
      </c>
      <c r="C4018" s="2">
        <v>331</v>
      </c>
      <c r="D4018" s="2" t="s">
        <v>982</v>
      </c>
      <c r="E4018" s="2" t="s">
        <v>7645</v>
      </c>
      <c r="F4018" s="2" t="s">
        <v>7608</v>
      </c>
      <c r="G4018" s="2" t="s">
        <v>7625</v>
      </c>
    </row>
    <row r="4019" spans="1:7">
      <c r="A4019" s="3">
        <v>191</v>
      </c>
      <c r="B4019" s="3" t="s">
        <v>719</v>
      </c>
      <c r="C4019" s="3">
        <v>332</v>
      </c>
      <c r="D4019" s="3" t="s">
        <v>986</v>
      </c>
      <c r="E4019" s="3" t="s">
        <v>7645</v>
      </c>
      <c r="F4019" s="3" t="s">
        <v>7611</v>
      </c>
      <c r="G4019" s="3" t="s">
        <v>7621</v>
      </c>
    </row>
    <row r="4020" spans="1:7">
      <c r="A4020" s="2">
        <v>191</v>
      </c>
      <c r="B4020" s="2" t="s">
        <v>719</v>
      </c>
      <c r="C4020" s="2">
        <v>333</v>
      </c>
      <c r="D4020" s="2" t="s">
        <v>989</v>
      </c>
      <c r="E4020" s="2" t="s">
        <v>7618</v>
      </c>
      <c r="F4020" s="2" t="s">
        <v>7649</v>
      </c>
      <c r="G4020" s="2" t="s">
        <v>7619</v>
      </c>
    </row>
    <row r="4021" spans="1:7">
      <c r="A4021" s="3">
        <v>191</v>
      </c>
      <c r="B4021" s="3" t="s">
        <v>719</v>
      </c>
      <c r="C4021" s="3">
        <v>334</v>
      </c>
      <c r="D4021" s="3" t="s">
        <v>970</v>
      </c>
      <c r="E4021" s="3" t="s">
        <v>7620</v>
      </c>
      <c r="F4021" s="3" t="s">
        <v>7659</v>
      </c>
      <c r="G4021" s="3" t="s">
        <v>7636</v>
      </c>
    </row>
    <row r="4022" spans="1:7">
      <c r="A4022" s="2">
        <v>191</v>
      </c>
      <c r="B4022" s="2" t="s">
        <v>719</v>
      </c>
      <c r="C4022" s="2">
        <v>335</v>
      </c>
      <c r="D4022" s="2" t="s">
        <v>1057</v>
      </c>
      <c r="E4022" s="2" t="s">
        <v>7620</v>
      </c>
      <c r="F4022" s="2" t="s">
        <v>7611</v>
      </c>
      <c r="G4022" s="2" t="s">
        <v>7625</v>
      </c>
    </row>
    <row r="4023" spans="1:7">
      <c r="A4023" s="3">
        <v>191</v>
      </c>
      <c r="B4023" s="3" t="s">
        <v>719</v>
      </c>
      <c r="C4023" s="3">
        <v>336</v>
      </c>
      <c r="D4023" s="3" t="s">
        <v>992</v>
      </c>
      <c r="E4023" s="3" t="s">
        <v>7620</v>
      </c>
      <c r="F4023" s="3" t="s">
        <v>7611</v>
      </c>
      <c r="G4023" s="3" t="s">
        <v>7625</v>
      </c>
    </row>
    <row r="4024" spans="1:7">
      <c r="A4024" s="2">
        <v>191</v>
      </c>
      <c r="B4024" s="2" t="s">
        <v>719</v>
      </c>
      <c r="C4024" s="2">
        <v>337</v>
      </c>
      <c r="D4024" s="2" t="s">
        <v>1042</v>
      </c>
      <c r="E4024" s="2" t="s">
        <v>7620</v>
      </c>
      <c r="F4024" s="2" t="s">
        <v>7649</v>
      </c>
      <c r="G4024" s="2" t="s">
        <v>7633</v>
      </c>
    </row>
    <row r="4025" spans="1:7">
      <c r="A4025" s="3">
        <v>191</v>
      </c>
      <c r="B4025" s="3" t="s">
        <v>719</v>
      </c>
      <c r="C4025" s="3">
        <v>338</v>
      </c>
      <c r="D4025" s="3" t="s">
        <v>996</v>
      </c>
      <c r="E4025" s="3" t="s">
        <v>7620</v>
      </c>
      <c r="F4025" s="3" t="s">
        <v>7649</v>
      </c>
      <c r="G4025" s="3" t="s">
        <v>7622</v>
      </c>
    </row>
    <row r="4026" spans="1:7">
      <c r="A4026" s="2">
        <v>191</v>
      </c>
      <c r="B4026" s="2" t="s">
        <v>719</v>
      </c>
      <c r="C4026" s="2">
        <v>339</v>
      </c>
      <c r="D4026" s="2" t="s">
        <v>1058</v>
      </c>
      <c r="E4026" s="2" t="s">
        <v>7620</v>
      </c>
      <c r="F4026" s="2" t="s">
        <v>7611</v>
      </c>
      <c r="G4026" s="2" t="s">
        <v>7621</v>
      </c>
    </row>
    <row r="4027" spans="1:7">
      <c r="A4027" s="3">
        <v>191</v>
      </c>
      <c r="B4027" s="3" t="s">
        <v>719</v>
      </c>
      <c r="C4027" s="3">
        <v>340</v>
      </c>
      <c r="D4027" s="3" t="s">
        <v>1000</v>
      </c>
      <c r="E4027" s="3" t="s">
        <v>7620</v>
      </c>
      <c r="F4027" s="3" t="s">
        <v>7650</v>
      </c>
      <c r="G4027" s="3" t="s">
        <v>7633</v>
      </c>
    </row>
    <row r="4028" spans="1:7">
      <c r="A4028" s="2">
        <v>191</v>
      </c>
      <c r="B4028" s="2" t="s">
        <v>719</v>
      </c>
      <c r="C4028" s="2">
        <v>341</v>
      </c>
      <c r="D4028" s="2" t="s">
        <v>1052</v>
      </c>
      <c r="E4028" s="2" t="s">
        <v>7620</v>
      </c>
      <c r="F4028" s="2" t="s">
        <v>7649</v>
      </c>
      <c r="G4028" s="2" t="s">
        <v>7609</v>
      </c>
    </row>
    <row r="4029" spans="1:7">
      <c r="A4029" s="3">
        <v>191</v>
      </c>
      <c r="B4029" s="3" t="s">
        <v>719</v>
      </c>
      <c r="C4029" s="3">
        <v>343</v>
      </c>
      <c r="D4029" s="3" t="s">
        <v>977</v>
      </c>
      <c r="E4029" s="3" t="s">
        <v>7694</v>
      </c>
      <c r="F4029" s="3" t="s">
        <v>7659</v>
      </c>
      <c r="G4029" s="3" t="s">
        <v>7624</v>
      </c>
    </row>
    <row r="4030" spans="1:7">
      <c r="A4030" s="2">
        <v>191</v>
      </c>
      <c r="B4030" s="2" t="s">
        <v>719</v>
      </c>
      <c r="C4030" s="2">
        <v>402</v>
      </c>
      <c r="D4030" s="2" t="s">
        <v>1120</v>
      </c>
      <c r="E4030" s="2" t="s">
        <v>7645</v>
      </c>
      <c r="F4030" s="2" t="s">
        <v>7649</v>
      </c>
      <c r="G4030" s="2" t="s">
        <v>7617</v>
      </c>
    </row>
    <row r="4031" spans="1:7">
      <c r="A4031" s="3">
        <v>191</v>
      </c>
      <c r="B4031" s="3" t="s">
        <v>719</v>
      </c>
      <c r="C4031" s="3">
        <v>405</v>
      </c>
      <c r="D4031" s="3" t="s">
        <v>1110</v>
      </c>
      <c r="E4031" s="3" t="s">
        <v>7618</v>
      </c>
      <c r="F4031" s="3" t="s">
        <v>7611</v>
      </c>
      <c r="G4031" s="3" t="s">
        <v>7636</v>
      </c>
    </row>
    <row r="4032" spans="1:7">
      <c r="A4032" s="2">
        <v>191</v>
      </c>
      <c r="B4032" s="2" t="s">
        <v>719</v>
      </c>
      <c r="C4032" s="2">
        <v>406</v>
      </c>
      <c r="D4032" s="2" t="s">
        <v>1114</v>
      </c>
      <c r="E4032" s="2" t="s">
        <v>7618</v>
      </c>
      <c r="F4032" s="2" t="s">
        <v>7628</v>
      </c>
      <c r="G4032" s="2" t="s">
        <v>7624</v>
      </c>
    </row>
    <row r="4033" spans="1:7">
      <c r="A4033" s="3">
        <v>191</v>
      </c>
      <c r="B4033" s="3" t="s">
        <v>719</v>
      </c>
      <c r="C4033" s="3">
        <v>408</v>
      </c>
      <c r="D4033" s="3" t="s">
        <v>1131</v>
      </c>
      <c r="E4033" s="3" t="s">
        <v>7618</v>
      </c>
      <c r="F4033" s="3" t="s">
        <v>7608</v>
      </c>
      <c r="G4033" s="3" t="s">
        <v>7633</v>
      </c>
    </row>
    <row r="4034" spans="1:7">
      <c r="A4034" s="2">
        <v>191</v>
      </c>
      <c r="B4034" s="2" t="s">
        <v>719</v>
      </c>
      <c r="C4034" s="2">
        <v>409</v>
      </c>
      <c r="D4034" s="2" t="s">
        <v>1126</v>
      </c>
      <c r="E4034" s="2" t="s">
        <v>7618</v>
      </c>
      <c r="F4034" s="2" t="s">
        <v>7611</v>
      </c>
      <c r="G4034" s="2" t="s">
        <v>7617</v>
      </c>
    </row>
    <row r="4035" spans="1:7">
      <c r="A4035" s="3">
        <v>191</v>
      </c>
      <c r="B4035" s="3" t="s">
        <v>719</v>
      </c>
      <c r="C4035" s="3">
        <v>410</v>
      </c>
      <c r="D4035" s="3" t="s">
        <v>1123</v>
      </c>
      <c r="E4035" s="3" t="s">
        <v>7620</v>
      </c>
      <c r="F4035" s="3" t="s">
        <v>7611</v>
      </c>
      <c r="G4035" s="3" t="s">
        <v>7625</v>
      </c>
    </row>
    <row r="4036" spans="1:7">
      <c r="A4036" s="2">
        <v>192</v>
      </c>
      <c r="B4036" s="2" t="s">
        <v>727</v>
      </c>
      <c r="C4036" s="2">
        <v>195</v>
      </c>
      <c r="D4036" s="2" t="s">
        <v>734</v>
      </c>
      <c r="E4036" s="2" t="s">
        <v>7635</v>
      </c>
      <c r="F4036" s="2" t="s">
        <v>7652</v>
      </c>
      <c r="G4036" s="2" t="s">
        <v>7617</v>
      </c>
    </row>
    <row r="4037" spans="1:7">
      <c r="A4037" s="3">
        <v>192</v>
      </c>
      <c r="B4037" s="3" t="s">
        <v>727</v>
      </c>
      <c r="C4037" s="3">
        <v>198</v>
      </c>
      <c r="D4037" s="3" t="s">
        <v>698</v>
      </c>
      <c r="E4037" s="3" t="s">
        <v>7743</v>
      </c>
      <c r="F4037" s="3" t="s">
        <v>7652</v>
      </c>
      <c r="G4037" s="3" t="s">
        <v>7626</v>
      </c>
    </row>
    <row r="4038" spans="1:7">
      <c r="A4038" s="2">
        <v>192</v>
      </c>
      <c r="B4038" s="2" t="s">
        <v>727</v>
      </c>
      <c r="C4038" s="2">
        <v>199</v>
      </c>
      <c r="D4038" s="2" t="s">
        <v>702</v>
      </c>
      <c r="E4038" s="2" t="s">
        <v>7635</v>
      </c>
      <c r="F4038" s="2" t="s">
        <v>7652</v>
      </c>
      <c r="G4038" s="2" t="s">
        <v>7609</v>
      </c>
    </row>
    <row r="4039" spans="1:7">
      <c r="A4039" s="3">
        <v>192</v>
      </c>
      <c r="B4039" s="3" t="s">
        <v>727</v>
      </c>
      <c r="C4039" s="3">
        <v>200</v>
      </c>
      <c r="D4039" s="3" t="s">
        <v>707</v>
      </c>
      <c r="E4039" s="3" t="s">
        <v>7743</v>
      </c>
      <c r="F4039" s="3" t="s">
        <v>7652</v>
      </c>
      <c r="G4039" s="3" t="s">
        <v>7641</v>
      </c>
    </row>
    <row r="4040" spans="1:7">
      <c r="A4040" s="2">
        <v>192</v>
      </c>
      <c r="B4040" s="2" t="s">
        <v>727</v>
      </c>
      <c r="C4040" s="2">
        <v>201</v>
      </c>
      <c r="D4040" s="2" t="s">
        <v>695</v>
      </c>
      <c r="E4040" s="2" t="s">
        <v>7724</v>
      </c>
      <c r="F4040" s="2" t="s">
        <v>7652</v>
      </c>
      <c r="G4040" s="2" t="s">
        <v>7634</v>
      </c>
    </row>
    <row r="4041" spans="1:7">
      <c r="A4041" s="3">
        <v>192</v>
      </c>
      <c r="B4041" s="3" t="s">
        <v>727</v>
      </c>
      <c r="C4041" s="3">
        <v>205</v>
      </c>
      <c r="D4041" s="3" t="s">
        <v>746</v>
      </c>
      <c r="E4041" s="3" t="s">
        <v>7635</v>
      </c>
      <c r="F4041" s="3" t="s">
        <v>7635</v>
      </c>
      <c r="G4041" s="3" t="s">
        <v>7621</v>
      </c>
    </row>
    <row r="4042" spans="1:7">
      <c r="A4042" s="2">
        <v>192</v>
      </c>
      <c r="B4042" s="2" t="s">
        <v>727</v>
      </c>
      <c r="C4042" s="2">
        <v>208</v>
      </c>
      <c r="D4042" s="2" t="s">
        <v>754</v>
      </c>
      <c r="E4042" s="2" t="s">
        <v>7635</v>
      </c>
      <c r="F4042" s="2" t="s">
        <v>7635</v>
      </c>
      <c r="G4042" s="2" t="s">
        <v>7625</v>
      </c>
    </row>
    <row r="4043" spans="1:7">
      <c r="A4043" s="3">
        <v>192</v>
      </c>
      <c r="B4043" s="3" t="s">
        <v>727</v>
      </c>
      <c r="C4043" s="3">
        <v>264</v>
      </c>
      <c r="D4043" s="3" t="s">
        <v>775</v>
      </c>
      <c r="E4043" s="3" t="s">
        <v>7635</v>
      </c>
      <c r="F4043" s="3" t="s">
        <v>7652</v>
      </c>
      <c r="G4043" s="3" t="s">
        <v>7617</v>
      </c>
    </row>
    <row r="4044" spans="1:7">
      <c r="A4044" s="2">
        <v>192</v>
      </c>
      <c r="B4044" s="2" t="s">
        <v>727</v>
      </c>
      <c r="C4044" s="2">
        <v>315</v>
      </c>
      <c r="D4044" s="2" t="s">
        <v>1046</v>
      </c>
      <c r="E4044" s="2" t="s">
        <v>7726</v>
      </c>
      <c r="F4044" s="2" t="s">
        <v>7650</v>
      </c>
      <c r="G4044" s="2" t="s">
        <v>7625</v>
      </c>
    </row>
    <row r="4045" spans="1:7">
      <c r="A4045" s="3">
        <v>192</v>
      </c>
      <c r="B4045" s="3" t="s">
        <v>727</v>
      </c>
      <c r="C4045" s="3">
        <v>329</v>
      </c>
      <c r="D4045" s="3" t="s">
        <v>965</v>
      </c>
      <c r="E4045" s="3" t="s">
        <v>7726</v>
      </c>
      <c r="F4045" s="3" t="s">
        <v>7650</v>
      </c>
      <c r="G4045" s="3" t="s">
        <v>7621</v>
      </c>
    </row>
    <row r="4046" spans="1:7">
      <c r="A4046" s="2">
        <v>192</v>
      </c>
      <c r="B4046" s="2" t="s">
        <v>727</v>
      </c>
      <c r="C4046" s="2">
        <v>343</v>
      </c>
      <c r="D4046" s="2" t="s">
        <v>977</v>
      </c>
      <c r="E4046" s="2" t="s">
        <v>7743</v>
      </c>
      <c r="F4046" s="2" t="s">
        <v>7652</v>
      </c>
      <c r="G4046" s="2" t="s">
        <v>7641</v>
      </c>
    </row>
    <row r="4047" spans="1:7">
      <c r="A4047" s="3">
        <v>195</v>
      </c>
      <c r="B4047" s="3" t="s">
        <v>734</v>
      </c>
      <c r="C4047" s="3">
        <v>196</v>
      </c>
      <c r="D4047" s="3" t="s">
        <v>736</v>
      </c>
      <c r="E4047" s="3" t="s">
        <v>7635</v>
      </c>
      <c r="F4047" s="3" t="s">
        <v>7652</v>
      </c>
      <c r="G4047" s="3" t="s">
        <v>7617</v>
      </c>
    </row>
    <row r="4048" spans="1:7">
      <c r="A4048" s="2">
        <v>195</v>
      </c>
      <c r="B4048" s="2" t="s">
        <v>734</v>
      </c>
      <c r="C4048" s="2">
        <v>197</v>
      </c>
      <c r="D4048" s="2" t="s">
        <v>690</v>
      </c>
      <c r="E4048" s="2" t="s">
        <v>7635</v>
      </c>
      <c r="F4048" s="2" t="s">
        <v>7652</v>
      </c>
      <c r="G4048" s="2" t="s">
        <v>7633</v>
      </c>
    </row>
    <row r="4049" spans="1:7">
      <c r="A4049" s="3">
        <v>195</v>
      </c>
      <c r="B4049" s="3" t="s">
        <v>734</v>
      </c>
      <c r="C4049" s="3">
        <v>198</v>
      </c>
      <c r="D4049" s="3" t="s">
        <v>698</v>
      </c>
      <c r="E4049" s="3" t="s">
        <v>7694</v>
      </c>
      <c r="F4049" s="3" t="s">
        <v>7659</v>
      </c>
      <c r="G4049" s="3" t="s">
        <v>7612</v>
      </c>
    </row>
    <row r="4050" spans="1:7">
      <c r="A4050" s="2">
        <v>195</v>
      </c>
      <c r="B4050" s="2" t="s">
        <v>734</v>
      </c>
      <c r="C4050" s="2">
        <v>199</v>
      </c>
      <c r="D4050" s="2" t="s">
        <v>702</v>
      </c>
      <c r="E4050" s="2" t="s">
        <v>7745</v>
      </c>
      <c r="F4050" s="2" t="s">
        <v>7659</v>
      </c>
      <c r="G4050" s="2" t="s">
        <v>7657</v>
      </c>
    </row>
    <row r="4051" spans="1:7">
      <c r="A4051" s="3">
        <v>195</v>
      </c>
      <c r="B4051" s="3" t="s">
        <v>734</v>
      </c>
      <c r="C4051" s="3">
        <v>200</v>
      </c>
      <c r="D4051" s="3" t="s">
        <v>707</v>
      </c>
      <c r="E4051" s="3" t="s">
        <v>7694</v>
      </c>
      <c r="F4051" s="3" t="s">
        <v>7659</v>
      </c>
      <c r="G4051" s="3" t="s">
        <v>7632</v>
      </c>
    </row>
    <row r="4052" spans="1:7">
      <c r="A4052" s="2">
        <v>195</v>
      </c>
      <c r="B4052" s="2" t="s">
        <v>734</v>
      </c>
      <c r="C4052" s="2">
        <v>201</v>
      </c>
      <c r="D4052" s="2" t="s">
        <v>695</v>
      </c>
      <c r="E4052" s="2" t="s">
        <v>7746</v>
      </c>
      <c r="F4052" s="2" t="s">
        <v>7659</v>
      </c>
      <c r="G4052" s="2" t="s">
        <v>7624</v>
      </c>
    </row>
    <row r="4053" spans="1:7">
      <c r="A4053" s="3">
        <v>195</v>
      </c>
      <c r="B4053" s="3" t="s">
        <v>734</v>
      </c>
      <c r="C4053" s="3">
        <v>202</v>
      </c>
      <c r="D4053" s="3" t="s">
        <v>712</v>
      </c>
      <c r="E4053" s="3" t="s">
        <v>7635</v>
      </c>
      <c r="F4053" s="3" t="s">
        <v>7652</v>
      </c>
      <c r="G4053" s="3" t="s">
        <v>7633</v>
      </c>
    </row>
    <row r="4054" spans="1:7">
      <c r="A4054" s="2">
        <v>195</v>
      </c>
      <c r="B4054" s="2" t="s">
        <v>734</v>
      </c>
      <c r="C4054" s="2">
        <v>203</v>
      </c>
      <c r="D4054" s="2" t="s">
        <v>681</v>
      </c>
      <c r="E4054" s="2" t="s">
        <v>7635</v>
      </c>
      <c r="F4054" s="2" t="s">
        <v>7652</v>
      </c>
      <c r="G4054" s="2" t="s">
        <v>7609</v>
      </c>
    </row>
    <row r="4055" spans="1:7">
      <c r="A4055" s="3">
        <v>195</v>
      </c>
      <c r="B4055" s="3" t="s">
        <v>734</v>
      </c>
      <c r="C4055" s="3">
        <v>204</v>
      </c>
      <c r="D4055" s="3" t="s">
        <v>685</v>
      </c>
      <c r="E4055" s="3" t="s">
        <v>7635</v>
      </c>
      <c r="F4055" s="3" t="s">
        <v>7659</v>
      </c>
      <c r="G4055" s="3" t="s">
        <v>7617</v>
      </c>
    </row>
    <row r="4056" spans="1:7">
      <c r="A4056" s="2">
        <v>195</v>
      </c>
      <c r="B4056" s="2" t="s">
        <v>734</v>
      </c>
      <c r="C4056" s="2">
        <v>205</v>
      </c>
      <c r="D4056" s="2" t="s">
        <v>746</v>
      </c>
      <c r="E4056" s="2" t="s">
        <v>7694</v>
      </c>
      <c r="F4056" s="2" t="s">
        <v>7628</v>
      </c>
      <c r="G4056" s="2" t="s">
        <v>7639</v>
      </c>
    </row>
    <row r="4057" spans="1:7">
      <c r="A4057" s="3">
        <v>195</v>
      </c>
      <c r="B4057" s="3" t="s">
        <v>734</v>
      </c>
      <c r="C4057" s="3">
        <v>206</v>
      </c>
      <c r="D4057" s="3" t="s">
        <v>723</v>
      </c>
      <c r="E4057" s="3" t="s">
        <v>7635</v>
      </c>
      <c r="F4057" s="3" t="s">
        <v>7635</v>
      </c>
      <c r="G4057" s="3" t="s">
        <v>7625</v>
      </c>
    </row>
    <row r="4058" spans="1:7">
      <c r="A4058" s="2">
        <v>195</v>
      </c>
      <c r="B4058" s="2" t="s">
        <v>734</v>
      </c>
      <c r="C4058" s="2">
        <v>207</v>
      </c>
      <c r="D4058" s="2" t="s">
        <v>749</v>
      </c>
      <c r="E4058" s="2" t="s">
        <v>7693</v>
      </c>
      <c r="F4058" s="2" t="s">
        <v>7611</v>
      </c>
      <c r="G4058" s="2" t="s">
        <v>7624</v>
      </c>
    </row>
    <row r="4059" spans="1:7">
      <c r="A4059" s="3">
        <v>195</v>
      </c>
      <c r="B4059" s="3" t="s">
        <v>734</v>
      </c>
      <c r="C4059" s="3">
        <v>208</v>
      </c>
      <c r="D4059" s="3" t="s">
        <v>754</v>
      </c>
      <c r="E4059" s="3" t="s">
        <v>7694</v>
      </c>
      <c r="F4059" s="3" t="s">
        <v>7628</v>
      </c>
      <c r="G4059" s="3" t="s">
        <v>7639</v>
      </c>
    </row>
    <row r="4060" spans="1:7">
      <c r="A4060" s="2">
        <v>195</v>
      </c>
      <c r="B4060" s="2" t="s">
        <v>734</v>
      </c>
      <c r="C4060" s="2">
        <v>209</v>
      </c>
      <c r="D4060" s="2" t="s">
        <v>758</v>
      </c>
      <c r="E4060" s="2" t="s">
        <v>7673</v>
      </c>
      <c r="F4060" s="2" t="s">
        <v>7652</v>
      </c>
      <c r="G4060" s="2" t="s">
        <v>7642</v>
      </c>
    </row>
    <row r="4061" spans="1:7">
      <c r="A4061" s="3">
        <v>195</v>
      </c>
      <c r="B4061" s="3" t="s">
        <v>734</v>
      </c>
      <c r="C4061" s="3">
        <v>214</v>
      </c>
      <c r="D4061" s="3" t="s">
        <v>870</v>
      </c>
      <c r="E4061" s="3" t="s">
        <v>7620</v>
      </c>
      <c r="F4061" s="3" t="s">
        <v>7611</v>
      </c>
      <c r="G4061" s="3" t="s">
        <v>7622</v>
      </c>
    </row>
    <row r="4062" spans="1:7">
      <c r="A4062" s="2">
        <v>195</v>
      </c>
      <c r="B4062" s="2" t="s">
        <v>734</v>
      </c>
      <c r="C4062" s="2">
        <v>215</v>
      </c>
      <c r="D4062" s="2" t="s">
        <v>844</v>
      </c>
      <c r="E4062" s="2" t="s">
        <v>7630</v>
      </c>
      <c r="F4062" s="2" t="s">
        <v>7649</v>
      </c>
      <c r="G4062" s="2" t="s">
        <v>7619</v>
      </c>
    </row>
    <row r="4063" spans="1:7">
      <c r="A4063" s="3">
        <v>195</v>
      </c>
      <c r="B4063" s="3" t="s">
        <v>734</v>
      </c>
      <c r="C4063" s="3">
        <v>216</v>
      </c>
      <c r="D4063" s="3"/>
      <c r="E4063" s="3" t="s">
        <v>7630</v>
      </c>
      <c r="F4063" s="3" t="s">
        <v>7611</v>
      </c>
      <c r="G4063" s="3" t="s">
        <v>7636</v>
      </c>
    </row>
    <row r="4064" spans="1:7">
      <c r="A4064" s="2">
        <v>195</v>
      </c>
      <c r="B4064" s="2" t="s">
        <v>734</v>
      </c>
      <c r="C4064" s="2">
        <v>217</v>
      </c>
      <c r="D4064" s="2" t="s">
        <v>795</v>
      </c>
      <c r="E4064" s="2" t="s">
        <v>7618</v>
      </c>
      <c r="F4064" s="2" t="s">
        <v>7649</v>
      </c>
      <c r="G4064" s="2" t="s">
        <v>7634</v>
      </c>
    </row>
    <row r="4065" spans="1:7">
      <c r="A4065" s="3">
        <v>195</v>
      </c>
      <c r="B4065" s="3" t="s">
        <v>734</v>
      </c>
      <c r="C4065" s="3">
        <v>218</v>
      </c>
      <c r="D4065" s="3" t="s">
        <v>789</v>
      </c>
      <c r="E4065" s="3" t="s">
        <v>7630</v>
      </c>
      <c r="F4065" s="3" t="s">
        <v>7611</v>
      </c>
      <c r="G4065" s="3" t="s">
        <v>7636</v>
      </c>
    </row>
    <row r="4066" spans="1:7">
      <c r="A4066" s="2">
        <v>195</v>
      </c>
      <c r="B4066" s="2" t="s">
        <v>734</v>
      </c>
      <c r="C4066" s="2">
        <v>219</v>
      </c>
      <c r="D4066" s="2" t="s">
        <v>822</v>
      </c>
      <c r="E4066" s="2" t="s">
        <v>7618</v>
      </c>
      <c r="F4066" s="2" t="s">
        <v>7659</v>
      </c>
      <c r="G4066" s="2" t="s">
        <v>7624</v>
      </c>
    </row>
    <row r="4067" spans="1:7">
      <c r="A4067" s="3">
        <v>195</v>
      </c>
      <c r="B4067" s="3" t="s">
        <v>734</v>
      </c>
      <c r="C4067" s="3">
        <v>220</v>
      </c>
      <c r="D4067" s="3" t="s">
        <v>810</v>
      </c>
      <c r="E4067" s="3" t="s">
        <v>7618</v>
      </c>
      <c r="F4067" s="3" t="s">
        <v>7659</v>
      </c>
      <c r="G4067" s="3" t="s">
        <v>7639</v>
      </c>
    </row>
    <row r="4068" spans="1:7">
      <c r="A4068" s="2">
        <v>195</v>
      </c>
      <c r="B4068" s="2" t="s">
        <v>734</v>
      </c>
      <c r="C4068" s="2">
        <v>221</v>
      </c>
      <c r="D4068" s="2" t="s">
        <v>813</v>
      </c>
      <c r="E4068" s="2" t="s">
        <v>7618</v>
      </c>
      <c r="F4068" s="2" t="s">
        <v>7649</v>
      </c>
      <c r="G4068" s="2" t="s">
        <v>7619</v>
      </c>
    </row>
    <row r="4069" spans="1:7">
      <c r="A4069" s="3">
        <v>195</v>
      </c>
      <c r="B4069" s="3" t="s">
        <v>734</v>
      </c>
      <c r="C4069" s="3">
        <v>222</v>
      </c>
      <c r="D4069" s="3" t="s">
        <v>864</v>
      </c>
      <c r="E4069" s="3" t="s">
        <v>7620</v>
      </c>
      <c r="F4069" s="3" t="s">
        <v>7611</v>
      </c>
      <c r="G4069" s="3" t="s">
        <v>7609</v>
      </c>
    </row>
    <row r="4070" spans="1:7">
      <c r="A4070" s="2">
        <v>195</v>
      </c>
      <c r="B4070" s="2" t="s">
        <v>734</v>
      </c>
      <c r="C4070" s="2">
        <v>227</v>
      </c>
      <c r="D4070" s="2" t="s">
        <v>938</v>
      </c>
      <c r="E4070" s="2" t="s">
        <v>7620</v>
      </c>
      <c r="F4070" s="2" t="s">
        <v>7608</v>
      </c>
      <c r="G4070" s="2" t="s">
        <v>7625</v>
      </c>
    </row>
    <row r="4071" spans="1:7">
      <c r="A4071" s="3">
        <v>195</v>
      </c>
      <c r="B4071" s="3" t="s">
        <v>734</v>
      </c>
      <c r="C4071" s="3">
        <v>230</v>
      </c>
      <c r="D4071" s="3" t="s">
        <v>920</v>
      </c>
      <c r="E4071" s="3" t="s">
        <v>7620</v>
      </c>
      <c r="F4071" s="3" t="s">
        <v>7650</v>
      </c>
      <c r="G4071" s="3" t="s">
        <v>7622</v>
      </c>
    </row>
    <row r="4072" spans="1:7">
      <c r="A4072" s="2">
        <v>195</v>
      </c>
      <c r="B4072" s="2" t="s">
        <v>734</v>
      </c>
      <c r="C4072" s="2">
        <v>231</v>
      </c>
      <c r="D4072" s="2" t="s">
        <v>923</v>
      </c>
      <c r="E4072" s="2" t="s">
        <v>7618</v>
      </c>
      <c r="F4072" s="2" t="s">
        <v>7611</v>
      </c>
      <c r="G4072" s="2" t="s">
        <v>7634</v>
      </c>
    </row>
    <row r="4073" spans="1:7">
      <c r="A4073" s="3">
        <v>195</v>
      </c>
      <c r="B4073" s="3" t="s">
        <v>734</v>
      </c>
      <c r="C4073" s="3">
        <v>232</v>
      </c>
      <c r="D4073" s="3" t="s">
        <v>933</v>
      </c>
      <c r="E4073" s="3" t="s">
        <v>7618</v>
      </c>
      <c r="F4073" s="3" t="s">
        <v>7608</v>
      </c>
      <c r="G4073" s="3" t="s">
        <v>7617</v>
      </c>
    </row>
    <row r="4074" spans="1:7">
      <c r="A4074" s="2">
        <v>195</v>
      </c>
      <c r="B4074" s="2" t="s">
        <v>734</v>
      </c>
      <c r="C4074" s="2">
        <v>233</v>
      </c>
      <c r="D4074" s="2" t="s">
        <v>937</v>
      </c>
      <c r="E4074" s="2" t="s">
        <v>7620</v>
      </c>
      <c r="F4074" s="2" t="s">
        <v>7611</v>
      </c>
      <c r="G4074" s="2" t="s">
        <v>7625</v>
      </c>
    </row>
    <row r="4075" spans="1:7">
      <c r="A4075" s="3">
        <v>195</v>
      </c>
      <c r="B4075" s="3" t="s">
        <v>734</v>
      </c>
      <c r="C4075" s="3">
        <v>234</v>
      </c>
      <c r="D4075" s="3" t="s">
        <v>936</v>
      </c>
      <c r="E4075" s="3" t="s">
        <v>7620</v>
      </c>
      <c r="F4075" s="3" t="s">
        <v>7608</v>
      </c>
      <c r="G4075" s="3" t="s">
        <v>7625</v>
      </c>
    </row>
    <row r="4076" spans="1:7">
      <c r="A4076" s="2">
        <v>195</v>
      </c>
      <c r="B4076" s="2" t="s">
        <v>734</v>
      </c>
      <c r="C4076" s="2">
        <v>237</v>
      </c>
      <c r="D4076" s="2" t="s">
        <v>944</v>
      </c>
      <c r="E4076" s="2" t="s">
        <v>7620</v>
      </c>
      <c r="F4076" s="2" t="s">
        <v>7608</v>
      </c>
      <c r="G4076" s="2" t="s">
        <v>7621</v>
      </c>
    </row>
    <row r="4077" spans="1:7">
      <c r="A4077" s="3">
        <v>195</v>
      </c>
      <c r="B4077" s="3" t="s">
        <v>734</v>
      </c>
      <c r="C4077" s="3">
        <v>243</v>
      </c>
      <c r="D4077" s="3" t="s">
        <v>941</v>
      </c>
      <c r="E4077" s="3" t="s">
        <v>7618</v>
      </c>
      <c r="F4077" s="3" t="s">
        <v>7608</v>
      </c>
      <c r="G4077" s="3" t="s">
        <v>7617</v>
      </c>
    </row>
    <row r="4078" spans="1:7">
      <c r="A4078" s="2">
        <v>195</v>
      </c>
      <c r="B4078" s="2" t="s">
        <v>734</v>
      </c>
      <c r="C4078" s="2">
        <v>250</v>
      </c>
      <c r="D4078" s="2" t="s">
        <v>926</v>
      </c>
      <c r="E4078" s="2" t="s">
        <v>7620</v>
      </c>
      <c r="F4078" s="2" t="s">
        <v>7608</v>
      </c>
      <c r="G4078" s="2" t="s">
        <v>7625</v>
      </c>
    </row>
    <row r="4079" spans="1:7">
      <c r="A4079" s="3">
        <v>195</v>
      </c>
      <c r="B4079" s="3" t="s">
        <v>734</v>
      </c>
      <c r="C4079" s="3">
        <v>251</v>
      </c>
      <c r="D4079" s="3" t="s">
        <v>819</v>
      </c>
      <c r="E4079" s="3" t="s">
        <v>7620</v>
      </c>
      <c r="F4079" s="3" t="s">
        <v>7611</v>
      </c>
      <c r="G4079" s="3" t="s">
        <v>7625</v>
      </c>
    </row>
    <row r="4080" spans="1:7">
      <c r="A4080" s="2">
        <v>195</v>
      </c>
      <c r="B4080" s="2" t="s">
        <v>734</v>
      </c>
      <c r="C4080" s="2">
        <v>254</v>
      </c>
      <c r="D4080" s="2" t="s">
        <v>837</v>
      </c>
      <c r="E4080" s="2" t="s">
        <v>7630</v>
      </c>
      <c r="F4080" s="2" t="s">
        <v>7649</v>
      </c>
      <c r="G4080" s="2" t="s">
        <v>7619</v>
      </c>
    </row>
    <row r="4081" spans="1:7">
      <c r="A4081" s="3">
        <v>195</v>
      </c>
      <c r="B4081" s="3" t="s">
        <v>734</v>
      </c>
      <c r="C4081" s="3">
        <v>256</v>
      </c>
      <c r="D4081" s="3" t="s">
        <v>785</v>
      </c>
      <c r="E4081" s="3" t="s">
        <v>7618</v>
      </c>
      <c r="F4081" s="3" t="s">
        <v>7611</v>
      </c>
      <c r="G4081" s="3" t="s">
        <v>7636</v>
      </c>
    </row>
    <row r="4082" spans="1:7">
      <c r="A4082" s="2">
        <v>195</v>
      </c>
      <c r="B4082" s="2" t="s">
        <v>734</v>
      </c>
      <c r="C4082" s="2">
        <v>257</v>
      </c>
      <c r="D4082" s="2" t="s">
        <v>876</v>
      </c>
      <c r="E4082" s="2" t="s">
        <v>7620</v>
      </c>
      <c r="F4082" s="2" t="s">
        <v>7611</v>
      </c>
      <c r="G4082" s="2" t="s">
        <v>7621</v>
      </c>
    </row>
    <row r="4083" spans="1:7">
      <c r="A4083" s="3">
        <v>195</v>
      </c>
      <c r="B4083" s="3" t="s">
        <v>734</v>
      </c>
      <c r="C4083" s="3">
        <v>258</v>
      </c>
      <c r="D4083" s="3" t="s">
        <v>882</v>
      </c>
      <c r="E4083" s="3" t="s">
        <v>7618</v>
      </c>
      <c r="F4083" s="3" t="s">
        <v>7608</v>
      </c>
      <c r="G4083" s="3" t="s">
        <v>7636</v>
      </c>
    </row>
    <row r="4084" spans="1:7">
      <c r="A4084" s="2">
        <v>195</v>
      </c>
      <c r="B4084" s="2" t="s">
        <v>734</v>
      </c>
      <c r="C4084" s="2">
        <v>262</v>
      </c>
      <c r="D4084" s="2" t="s">
        <v>355</v>
      </c>
      <c r="E4084" s="2" t="s">
        <v>7630</v>
      </c>
      <c r="F4084" s="2" t="s">
        <v>7611</v>
      </c>
      <c r="G4084" s="2" t="s">
        <v>7617</v>
      </c>
    </row>
    <row r="4085" spans="1:7">
      <c r="A4085" s="3">
        <v>195</v>
      </c>
      <c r="B4085" s="3" t="s">
        <v>734</v>
      </c>
      <c r="C4085" s="3">
        <v>263</v>
      </c>
      <c r="D4085" s="3" t="s">
        <v>793</v>
      </c>
      <c r="E4085" s="3" t="s">
        <v>7620</v>
      </c>
      <c r="F4085" s="3" t="s">
        <v>7608</v>
      </c>
      <c r="G4085" s="3" t="s">
        <v>7625</v>
      </c>
    </row>
    <row r="4086" spans="1:7">
      <c r="A4086" s="2">
        <v>195</v>
      </c>
      <c r="B4086" s="2" t="s">
        <v>734</v>
      </c>
      <c r="C4086" s="2">
        <v>264</v>
      </c>
      <c r="D4086" s="2" t="s">
        <v>775</v>
      </c>
      <c r="E4086" s="2" t="s">
        <v>7693</v>
      </c>
      <c r="F4086" s="2" t="s">
        <v>7659</v>
      </c>
      <c r="G4086" s="2" t="s">
        <v>7626</v>
      </c>
    </row>
    <row r="4087" spans="1:7">
      <c r="A4087" s="3">
        <v>195</v>
      </c>
      <c r="B4087" s="3" t="s">
        <v>734</v>
      </c>
      <c r="C4087" s="3">
        <v>265</v>
      </c>
      <c r="D4087" s="3" t="s">
        <v>860</v>
      </c>
      <c r="E4087" s="3" t="s">
        <v>7620</v>
      </c>
      <c r="F4087" s="3" t="s">
        <v>7611</v>
      </c>
      <c r="G4087" s="3" t="s">
        <v>7621</v>
      </c>
    </row>
    <row r="4088" spans="1:7">
      <c r="A4088" s="2">
        <v>195</v>
      </c>
      <c r="B4088" s="2" t="s">
        <v>734</v>
      </c>
      <c r="C4088" s="2">
        <v>266</v>
      </c>
      <c r="D4088" s="2" t="s">
        <v>826</v>
      </c>
      <c r="E4088" s="2" t="s">
        <v>7618</v>
      </c>
      <c r="F4088" s="2" t="s">
        <v>7659</v>
      </c>
      <c r="G4088" s="2" t="s">
        <v>7624</v>
      </c>
    </row>
    <row r="4089" spans="1:7">
      <c r="A4089" s="3">
        <v>195</v>
      </c>
      <c r="B4089" s="3" t="s">
        <v>734</v>
      </c>
      <c r="C4089" s="3">
        <v>267</v>
      </c>
      <c r="D4089" s="3" t="s">
        <v>801</v>
      </c>
      <c r="E4089" s="3" t="s">
        <v>7618</v>
      </c>
      <c r="F4089" s="3" t="s">
        <v>7649</v>
      </c>
      <c r="G4089" s="3" t="s">
        <v>7639</v>
      </c>
    </row>
    <row r="4090" spans="1:7">
      <c r="A4090" s="2">
        <v>195</v>
      </c>
      <c r="B4090" s="2" t="s">
        <v>734</v>
      </c>
      <c r="C4090" s="2">
        <v>268</v>
      </c>
      <c r="D4090" s="2" t="s">
        <v>934</v>
      </c>
      <c r="E4090" s="2" t="s">
        <v>7620</v>
      </c>
      <c r="F4090" s="2" t="s">
        <v>7608</v>
      </c>
      <c r="G4090" s="2" t="s">
        <v>7633</v>
      </c>
    </row>
    <row r="4091" spans="1:7">
      <c r="A4091" s="3">
        <v>195</v>
      </c>
      <c r="B4091" s="3" t="s">
        <v>734</v>
      </c>
      <c r="C4091" s="3">
        <v>269</v>
      </c>
      <c r="D4091" s="3" t="s">
        <v>825</v>
      </c>
      <c r="E4091" s="3" t="s">
        <v>7618</v>
      </c>
      <c r="F4091" s="3" t="s">
        <v>7649</v>
      </c>
      <c r="G4091" s="3" t="s">
        <v>7619</v>
      </c>
    </row>
    <row r="4092" spans="1:7">
      <c r="A4092" s="2">
        <v>195</v>
      </c>
      <c r="B4092" s="2" t="s">
        <v>734</v>
      </c>
      <c r="C4092" s="2">
        <v>270</v>
      </c>
      <c r="D4092" s="2" t="s">
        <v>769</v>
      </c>
      <c r="E4092" s="2" t="s">
        <v>7620</v>
      </c>
      <c r="F4092" s="2" t="s">
        <v>7611</v>
      </c>
      <c r="G4092" s="2" t="s">
        <v>7633</v>
      </c>
    </row>
    <row r="4093" spans="1:7">
      <c r="A4093" s="3">
        <v>195</v>
      </c>
      <c r="B4093" s="3" t="s">
        <v>734</v>
      </c>
      <c r="C4093" s="3">
        <v>272</v>
      </c>
      <c r="D4093" s="3" t="s">
        <v>873</v>
      </c>
      <c r="E4093" s="3" t="s">
        <v>7618</v>
      </c>
      <c r="F4093" s="3" t="s">
        <v>7628</v>
      </c>
      <c r="G4093" s="3" t="s">
        <v>7639</v>
      </c>
    </row>
    <row r="4094" spans="1:7">
      <c r="A4094" s="2">
        <v>195</v>
      </c>
      <c r="B4094" s="2" t="s">
        <v>734</v>
      </c>
      <c r="C4094" s="2">
        <v>273</v>
      </c>
      <c r="D4094" s="2" t="s">
        <v>816</v>
      </c>
      <c r="E4094" s="2" t="s">
        <v>7620</v>
      </c>
      <c r="F4094" s="2" t="s">
        <v>7650</v>
      </c>
      <c r="G4094" s="2" t="s">
        <v>7633</v>
      </c>
    </row>
    <row r="4095" spans="1:7">
      <c r="A4095" s="3">
        <v>195</v>
      </c>
      <c r="B4095" s="3" t="s">
        <v>734</v>
      </c>
      <c r="C4095" s="3">
        <v>275</v>
      </c>
      <c r="D4095" s="3" t="s">
        <v>781</v>
      </c>
      <c r="E4095" s="3" t="s">
        <v>7630</v>
      </c>
      <c r="F4095" s="3" t="s">
        <v>7649</v>
      </c>
      <c r="G4095" s="3" t="s">
        <v>7634</v>
      </c>
    </row>
    <row r="4096" spans="1:7">
      <c r="A4096" s="2">
        <v>195</v>
      </c>
      <c r="B4096" s="2" t="s">
        <v>734</v>
      </c>
      <c r="C4096" s="2">
        <v>276</v>
      </c>
      <c r="D4096" s="2" t="s">
        <v>842</v>
      </c>
      <c r="E4096" s="2" t="s">
        <v>7618</v>
      </c>
      <c r="F4096" s="2" t="s">
        <v>7611</v>
      </c>
      <c r="G4096" s="2" t="s">
        <v>7619</v>
      </c>
    </row>
    <row r="4097" spans="1:7">
      <c r="A4097" s="3">
        <v>195</v>
      </c>
      <c r="B4097" s="3" t="s">
        <v>734</v>
      </c>
      <c r="C4097" s="3">
        <v>277</v>
      </c>
      <c r="D4097" s="3" t="s">
        <v>796</v>
      </c>
      <c r="E4097" s="3" t="s">
        <v>7620</v>
      </c>
      <c r="F4097" s="3" t="s">
        <v>7650</v>
      </c>
      <c r="G4097" s="3" t="s">
        <v>7625</v>
      </c>
    </row>
    <row r="4098" spans="1:7">
      <c r="A4098" s="2">
        <v>195</v>
      </c>
      <c r="B4098" s="2" t="s">
        <v>734</v>
      </c>
      <c r="C4098" s="2">
        <v>280</v>
      </c>
      <c r="D4098" s="2" t="s">
        <v>847</v>
      </c>
      <c r="E4098" s="2" t="s">
        <v>7645</v>
      </c>
      <c r="F4098" s="2" t="s">
        <v>7611</v>
      </c>
      <c r="G4098" s="2" t="s">
        <v>7622</v>
      </c>
    </row>
    <row r="4099" spans="1:7">
      <c r="A4099" s="3">
        <v>195</v>
      </c>
      <c r="B4099" s="3" t="s">
        <v>734</v>
      </c>
      <c r="C4099" s="3">
        <v>281</v>
      </c>
      <c r="D4099" s="3" t="s">
        <v>856</v>
      </c>
      <c r="E4099" s="3" t="s">
        <v>7618</v>
      </c>
      <c r="F4099" s="3" t="s">
        <v>7659</v>
      </c>
      <c r="G4099" s="3" t="s">
        <v>7624</v>
      </c>
    </row>
    <row r="4100" spans="1:7">
      <c r="A4100" s="2">
        <v>195</v>
      </c>
      <c r="B4100" s="2" t="s">
        <v>734</v>
      </c>
      <c r="C4100" s="2">
        <v>282</v>
      </c>
      <c r="D4100" s="2" t="s">
        <v>885</v>
      </c>
      <c r="E4100" s="2" t="s">
        <v>7630</v>
      </c>
      <c r="F4100" s="2" t="s">
        <v>7649</v>
      </c>
      <c r="G4100" s="2" t="s">
        <v>7634</v>
      </c>
    </row>
    <row r="4101" spans="1:7">
      <c r="A4101" s="3">
        <v>195</v>
      </c>
      <c r="B4101" s="3" t="s">
        <v>734</v>
      </c>
      <c r="C4101" s="3">
        <v>284</v>
      </c>
      <c r="D4101" s="3" t="s">
        <v>854</v>
      </c>
      <c r="E4101" s="3" t="s">
        <v>7618</v>
      </c>
      <c r="F4101" s="3" t="s">
        <v>7628</v>
      </c>
      <c r="G4101" s="3" t="s">
        <v>7644</v>
      </c>
    </row>
    <row r="4102" spans="1:7">
      <c r="A4102" s="2">
        <v>195</v>
      </c>
      <c r="B4102" s="2" t="s">
        <v>734</v>
      </c>
      <c r="C4102" s="2">
        <v>285</v>
      </c>
      <c r="D4102" s="2" t="s">
        <v>854</v>
      </c>
      <c r="E4102" s="2" t="s">
        <v>7620</v>
      </c>
      <c r="F4102" s="2" t="s">
        <v>7611</v>
      </c>
      <c r="G4102" s="2" t="s">
        <v>7633</v>
      </c>
    </row>
    <row r="4103" spans="1:7">
      <c r="A4103" s="3">
        <v>195</v>
      </c>
      <c r="B4103" s="3" t="s">
        <v>734</v>
      </c>
      <c r="C4103" s="3">
        <v>286</v>
      </c>
      <c r="D4103" s="3" t="s">
        <v>807</v>
      </c>
      <c r="E4103" s="3" t="s">
        <v>7620</v>
      </c>
      <c r="F4103" s="3" t="s">
        <v>7649</v>
      </c>
      <c r="G4103" s="3" t="s">
        <v>7633</v>
      </c>
    </row>
    <row r="4104" spans="1:7">
      <c r="A4104" s="2">
        <v>195</v>
      </c>
      <c r="B4104" s="2" t="s">
        <v>734</v>
      </c>
      <c r="C4104" s="2">
        <v>287</v>
      </c>
      <c r="D4104" s="2" t="s">
        <v>929</v>
      </c>
      <c r="E4104" s="2" t="s">
        <v>7630</v>
      </c>
      <c r="F4104" s="2" t="s">
        <v>7611</v>
      </c>
      <c r="G4104" s="2" t="s">
        <v>7617</v>
      </c>
    </row>
    <row r="4105" spans="1:7">
      <c r="A4105" s="3">
        <v>195</v>
      </c>
      <c r="B4105" s="3" t="s">
        <v>734</v>
      </c>
      <c r="C4105" s="3">
        <v>288</v>
      </c>
      <c r="D4105" s="3" t="s">
        <v>805</v>
      </c>
      <c r="E4105" s="3" t="s">
        <v>7618</v>
      </c>
      <c r="F4105" s="3" t="s">
        <v>7611</v>
      </c>
      <c r="G4105" s="3" t="s">
        <v>7636</v>
      </c>
    </row>
    <row r="4106" spans="1:7">
      <c r="A4106" s="2">
        <v>195</v>
      </c>
      <c r="B4106" s="2" t="s">
        <v>734</v>
      </c>
      <c r="C4106" s="2">
        <v>289</v>
      </c>
      <c r="D4106" s="2" t="s">
        <v>854</v>
      </c>
      <c r="E4106" s="2" t="s">
        <v>7620</v>
      </c>
      <c r="F4106" s="2" t="s">
        <v>7608</v>
      </c>
      <c r="G4106" s="2" t="s">
        <v>7621</v>
      </c>
    </row>
    <row r="4107" spans="1:7">
      <c r="A4107" s="3">
        <v>195</v>
      </c>
      <c r="B4107" s="3" t="s">
        <v>734</v>
      </c>
      <c r="C4107" s="3">
        <v>290</v>
      </c>
      <c r="D4107" s="3" t="s">
        <v>854</v>
      </c>
      <c r="E4107" s="3" t="s">
        <v>7620</v>
      </c>
      <c r="F4107" s="3" t="s">
        <v>7611</v>
      </c>
      <c r="G4107" s="3" t="s">
        <v>7625</v>
      </c>
    </row>
    <row r="4108" spans="1:7">
      <c r="A4108" s="2">
        <v>195</v>
      </c>
      <c r="B4108" s="2" t="s">
        <v>734</v>
      </c>
      <c r="C4108" s="2">
        <v>293</v>
      </c>
      <c r="D4108" s="2" t="s">
        <v>854</v>
      </c>
      <c r="E4108" s="2" t="s">
        <v>7618</v>
      </c>
      <c r="F4108" s="2" t="s">
        <v>7611</v>
      </c>
      <c r="G4108" s="2" t="s">
        <v>7636</v>
      </c>
    </row>
    <row r="4109" spans="1:7">
      <c r="A4109" s="3">
        <v>195</v>
      </c>
      <c r="B4109" s="3" t="s">
        <v>734</v>
      </c>
      <c r="C4109" s="3">
        <v>294</v>
      </c>
      <c r="D4109" s="3" t="s">
        <v>854</v>
      </c>
      <c r="E4109" s="3" t="s">
        <v>7618</v>
      </c>
      <c r="F4109" s="3" t="s">
        <v>7608</v>
      </c>
      <c r="G4109" s="3" t="s">
        <v>7619</v>
      </c>
    </row>
    <row r="4110" spans="1:7">
      <c r="A4110" s="2">
        <v>195</v>
      </c>
      <c r="B4110" s="2" t="s">
        <v>734</v>
      </c>
      <c r="C4110" s="2">
        <v>295</v>
      </c>
      <c r="D4110" s="2" t="s">
        <v>854</v>
      </c>
      <c r="E4110" s="2" t="s">
        <v>7620</v>
      </c>
      <c r="F4110" s="2" t="s">
        <v>7635</v>
      </c>
      <c r="G4110" s="2" t="s">
        <v>7622</v>
      </c>
    </row>
    <row r="4111" spans="1:7">
      <c r="A4111" s="3">
        <v>195</v>
      </c>
      <c r="B4111" s="3" t="s">
        <v>734</v>
      </c>
      <c r="C4111" s="3">
        <v>296</v>
      </c>
      <c r="D4111" s="3" t="s">
        <v>854</v>
      </c>
      <c r="E4111" s="3" t="s">
        <v>7620</v>
      </c>
      <c r="F4111" s="3" t="s">
        <v>7608</v>
      </c>
      <c r="G4111" s="3" t="s">
        <v>7621</v>
      </c>
    </row>
    <row r="4112" spans="1:7">
      <c r="A4112" s="2">
        <v>195</v>
      </c>
      <c r="B4112" s="2" t="s">
        <v>734</v>
      </c>
      <c r="C4112" s="2">
        <v>297</v>
      </c>
      <c r="D4112" s="2" t="s">
        <v>833</v>
      </c>
      <c r="E4112" s="2" t="s">
        <v>7618</v>
      </c>
      <c r="F4112" s="2" t="s">
        <v>7608</v>
      </c>
      <c r="G4112" s="2" t="s">
        <v>7633</v>
      </c>
    </row>
    <row r="4113" spans="1:7">
      <c r="A4113" s="3">
        <v>195</v>
      </c>
      <c r="B4113" s="3" t="s">
        <v>734</v>
      </c>
      <c r="C4113" s="3">
        <v>298</v>
      </c>
      <c r="D4113" s="3" t="s">
        <v>854</v>
      </c>
      <c r="E4113" s="3" t="s">
        <v>7620</v>
      </c>
      <c r="F4113" s="3" t="s">
        <v>7608</v>
      </c>
      <c r="G4113" s="3" t="s">
        <v>7621</v>
      </c>
    </row>
    <row r="4114" spans="1:7">
      <c r="A4114" s="2">
        <v>195</v>
      </c>
      <c r="B4114" s="2" t="s">
        <v>734</v>
      </c>
      <c r="C4114" s="2">
        <v>300</v>
      </c>
      <c r="D4114" s="2" t="s">
        <v>854</v>
      </c>
      <c r="E4114" s="2" t="s">
        <v>7620</v>
      </c>
      <c r="F4114" s="2" t="s">
        <v>7608</v>
      </c>
      <c r="G4114" s="2" t="s">
        <v>7621</v>
      </c>
    </row>
    <row r="4115" spans="1:7">
      <c r="A4115" s="3">
        <v>195</v>
      </c>
      <c r="B4115" s="3" t="s">
        <v>734</v>
      </c>
      <c r="C4115" s="3">
        <v>301</v>
      </c>
      <c r="D4115" s="3" t="s">
        <v>850</v>
      </c>
      <c r="E4115" s="3" t="s">
        <v>7620</v>
      </c>
      <c r="F4115" s="3" t="s">
        <v>7650</v>
      </c>
      <c r="G4115" s="3" t="s">
        <v>7625</v>
      </c>
    </row>
    <row r="4116" spans="1:7">
      <c r="A4116" s="2">
        <v>195</v>
      </c>
      <c r="B4116" s="2" t="s">
        <v>734</v>
      </c>
      <c r="C4116" s="2">
        <v>302</v>
      </c>
      <c r="D4116" s="2" t="s">
        <v>916</v>
      </c>
      <c r="E4116" s="2" t="s">
        <v>7620</v>
      </c>
      <c r="F4116" s="2" t="s">
        <v>7628</v>
      </c>
      <c r="G4116" s="2" t="s">
        <v>7633</v>
      </c>
    </row>
    <row r="4117" spans="1:7">
      <c r="A4117" s="3">
        <v>195</v>
      </c>
      <c r="B4117" s="3" t="s">
        <v>734</v>
      </c>
      <c r="C4117" s="3">
        <v>303</v>
      </c>
      <c r="D4117" s="3" t="s">
        <v>854</v>
      </c>
      <c r="E4117" s="3" t="s">
        <v>7620</v>
      </c>
      <c r="F4117" s="3" t="s">
        <v>7611</v>
      </c>
      <c r="G4117" s="3" t="s">
        <v>7609</v>
      </c>
    </row>
    <row r="4118" spans="1:7">
      <c r="A4118" s="2">
        <v>195</v>
      </c>
      <c r="B4118" s="2" t="s">
        <v>734</v>
      </c>
      <c r="C4118" s="2">
        <v>304</v>
      </c>
      <c r="D4118" s="2" t="s">
        <v>854</v>
      </c>
      <c r="E4118" s="2" t="s">
        <v>7620</v>
      </c>
      <c r="F4118" s="2" t="s">
        <v>7608</v>
      </c>
      <c r="G4118" s="2" t="s">
        <v>7625</v>
      </c>
    </row>
    <row r="4119" spans="1:7">
      <c r="A4119" s="3">
        <v>195</v>
      </c>
      <c r="B4119" s="3" t="s">
        <v>734</v>
      </c>
      <c r="C4119" s="3">
        <v>307</v>
      </c>
      <c r="D4119" s="3" t="s">
        <v>854</v>
      </c>
      <c r="E4119" s="3" t="s">
        <v>7620</v>
      </c>
      <c r="F4119" s="3" t="s">
        <v>7611</v>
      </c>
      <c r="G4119" s="3" t="s">
        <v>7621</v>
      </c>
    </row>
    <row r="4120" spans="1:7">
      <c r="A4120" s="2">
        <v>195</v>
      </c>
      <c r="B4120" s="2" t="s">
        <v>734</v>
      </c>
      <c r="C4120" s="2">
        <v>308</v>
      </c>
      <c r="D4120" s="2" t="s">
        <v>854</v>
      </c>
      <c r="E4120" s="2" t="s">
        <v>7618</v>
      </c>
      <c r="F4120" s="2" t="s">
        <v>7608</v>
      </c>
      <c r="G4120" s="2" t="s">
        <v>7609</v>
      </c>
    </row>
    <row r="4121" spans="1:7">
      <c r="A4121" s="3">
        <v>195</v>
      </c>
      <c r="B4121" s="3" t="s">
        <v>734</v>
      </c>
      <c r="C4121" s="3">
        <v>311</v>
      </c>
      <c r="D4121" s="3" t="s">
        <v>954</v>
      </c>
      <c r="E4121" s="3" t="s">
        <v>7635</v>
      </c>
      <c r="F4121" s="3" t="s">
        <v>7635</v>
      </c>
      <c r="G4121" s="3" t="s">
        <v>7622</v>
      </c>
    </row>
    <row r="4122" spans="1:7">
      <c r="A4122" s="2">
        <v>195</v>
      </c>
      <c r="B4122" s="2" t="s">
        <v>734</v>
      </c>
      <c r="C4122" s="2">
        <v>312</v>
      </c>
      <c r="D4122" s="2" t="s">
        <v>949</v>
      </c>
      <c r="E4122" s="2" t="s">
        <v>7635</v>
      </c>
      <c r="F4122" s="2" t="s">
        <v>7659</v>
      </c>
      <c r="G4122" s="2" t="s">
        <v>7619</v>
      </c>
    </row>
    <row r="4123" spans="1:7">
      <c r="A4123" s="3">
        <v>195</v>
      </c>
      <c r="B4123" s="3" t="s">
        <v>734</v>
      </c>
      <c r="C4123" s="3">
        <v>314</v>
      </c>
      <c r="D4123" s="3" t="s">
        <v>1050</v>
      </c>
      <c r="E4123" s="3" t="s">
        <v>7635</v>
      </c>
      <c r="F4123" s="3" t="s">
        <v>7652</v>
      </c>
      <c r="G4123" s="3" t="s">
        <v>7633</v>
      </c>
    </row>
    <row r="4124" spans="1:7">
      <c r="A4124" s="2">
        <v>195</v>
      </c>
      <c r="B4124" s="2" t="s">
        <v>734</v>
      </c>
      <c r="C4124" s="2">
        <v>316</v>
      </c>
      <c r="D4124" s="2" t="s">
        <v>1028</v>
      </c>
      <c r="E4124" s="2" t="s">
        <v>7729</v>
      </c>
      <c r="F4124" s="2" t="s">
        <v>7650</v>
      </c>
      <c r="G4124" s="2" t="s">
        <v>7617</v>
      </c>
    </row>
    <row r="4125" spans="1:7">
      <c r="A4125" s="3">
        <v>195</v>
      </c>
      <c r="B4125" s="3" t="s">
        <v>734</v>
      </c>
      <c r="C4125" s="3">
        <v>317</v>
      </c>
      <c r="D4125" s="3" t="s">
        <v>1030</v>
      </c>
      <c r="E4125" s="3" t="s">
        <v>7618</v>
      </c>
      <c r="F4125" s="3" t="s">
        <v>7611</v>
      </c>
      <c r="G4125" s="3" t="s">
        <v>7619</v>
      </c>
    </row>
    <row r="4126" spans="1:7">
      <c r="A4126" s="2">
        <v>195</v>
      </c>
      <c r="B4126" s="2" t="s">
        <v>734</v>
      </c>
      <c r="C4126" s="2">
        <v>318</v>
      </c>
      <c r="D4126" s="2" t="s">
        <v>1032</v>
      </c>
      <c r="E4126" s="2" t="s">
        <v>7618</v>
      </c>
      <c r="F4126" s="2" t="s">
        <v>7611</v>
      </c>
      <c r="G4126" s="2" t="s">
        <v>7617</v>
      </c>
    </row>
    <row r="4127" spans="1:7">
      <c r="A4127" s="3">
        <v>195</v>
      </c>
      <c r="B4127" s="3" t="s">
        <v>734</v>
      </c>
      <c r="C4127" s="3">
        <v>319</v>
      </c>
      <c r="D4127" s="3" t="s">
        <v>1035</v>
      </c>
      <c r="E4127" s="3" t="s">
        <v>7635</v>
      </c>
      <c r="F4127" s="3" t="s">
        <v>7628</v>
      </c>
      <c r="G4127" s="3" t="s">
        <v>7633</v>
      </c>
    </row>
    <row r="4128" spans="1:7">
      <c r="A4128" s="2">
        <v>195</v>
      </c>
      <c r="B4128" s="2" t="s">
        <v>734</v>
      </c>
      <c r="C4128" s="2">
        <v>320</v>
      </c>
      <c r="D4128" s="2" t="s">
        <v>1039</v>
      </c>
      <c r="E4128" s="2" t="s">
        <v>7635</v>
      </c>
      <c r="F4128" s="2" t="s">
        <v>7652</v>
      </c>
      <c r="G4128" s="2" t="s">
        <v>7617</v>
      </c>
    </row>
    <row r="4129" spans="1:7">
      <c r="A4129" s="3">
        <v>195</v>
      </c>
      <c r="B4129" s="3" t="s">
        <v>734</v>
      </c>
      <c r="C4129" s="3">
        <v>321</v>
      </c>
      <c r="D4129" s="3" t="s">
        <v>1048</v>
      </c>
      <c r="E4129" s="3" t="s">
        <v>7618</v>
      </c>
      <c r="F4129" s="3" t="s">
        <v>7649</v>
      </c>
      <c r="G4129" s="3" t="s">
        <v>7619</v>
      </c>
    </row>
    <row r="4130" spans="1:7">
      <c r="A4130" s="2">
        <v>195</v>
      </c>
      <c r="B4130" s="2" t="s">
        <v>734</v>
      </c>
      <c r="C4130" s="2">
        <v>322</v>
      </c>
      <c r="D4130" s="2" t="s">
        <v>1012</v>
      </c>
      <c r="E4130" s="2" t="s">
        <v>7635</v>
      </c>
      <c r="F4130" s="2" t="s">
        <v>7652</v>
      </c>
      <c r="G4130" s="2" t="s">
        <v>7609</v>
      </c>
    </row>
    <row r="4131" spans="1:7">
      <c r="A4131" s="3">
        <v>195</v>
      </c>
      <c r="B4131" s="3" t="s">
        <v>734</v>
      </c>
      <c r="C4131" s="3">
        <v>323</v>
      </c>
      <c r="D4131" s="3" t="s">
        <v>1016</v>
      </c>
      <c r="E4131" s="3" t="s">
        <v>7618</v>
      </c>
      <c r="F4131" s="3" t="s">
        <v>7649</v>
      </c>
      <c r="G4131" s="3" t="s">
        <v>7632</v>
      </c>
    </row>
    <row r="4132" spans="1:7">
      <c r="A4132" s="2">
        <v>195</v>
      </c>
      <c r="B4132" s="2" t="s">
        <v>734</v>
      </c>
      <c r="C4132" s="2">
        <v>325</v>
      </c>
      <c r="D4132" s="2" t="s">
        <v>1020</v>
      </c>
      <c r="E4132" s="2" t="s">
        <v>7618</v>
      </c>
      <c r="F4132" s="2" t="s">
        <v>7611</v>
      </c>
      <c r="G4132" s="2" t="s">
        <v>7634</v>
      </c>
    </row>
    <row r="4133" spans="1:7">
      <c r="A4133" s="3">
        <v>195</v>
      </c>
      <c r="B4133" s="3" t="s">
        <v>734</v>
      </c>
      <c r="C4133" s="3">
        <v>326</v>
      </c>
      <c r="D4133" s="3" t="s">
        <v>1022</v>
      </c>
      <c r="E4133" s="3" t="s">
        <v>7618</v>
      </c>
      <c r="F4133" s="3" t="s">
        <v>7628</v>
      </c>
      <c r="G4133" s="3" t="s">
        <v>7639</v>
      </c>
    </row>
    <row r="4134" spans="1:7">
      <c r="A4134" s="2">
        <v>195</v>
      </c>
      <c r="B4134" s="2" t="s">
        <v>734</v>
      </c>
      <c r="C4134" s="2">
        <v>327</v>
      </c>
      <c r="D4134" s="2" t="s">
        <v>1025</v>
      </c>
      <c r="E4134" s="2" t="s">
        <v>7618</v>
      </c>
      <c r="F4134" s="2" t="s">
        <v>7628</v>
      </c>
      <c r="G4134" s="2" t="s">
        <v>7624</v>
      </c>
    </row>
    <row r="4135" spans="1:7">
      <c r="A4135" s="3">
        <v>195</v>
      </c>
      <c r="B4135" s="3" t="s">
        <v>734</v>
      </c>
      <c r="C4135" s="3">
        <v>328</v>
      </c>
      <c r="D4135" s="3" t="s">
        <v>1026</v>
      </c>
      <c r="E4135" s="3" t="s">
        <v>7618</v>
      </c>
      <c r="F4135" s="3" t="s">
        <v>7649</v>
      </c>
      <c r="G4135" s="3" t="s">
        <v>7624</v>
      </c>
    </row>
    <row r="4136" spans="1:7">
      <c r="A4136" s="2">
        <v>195</v>
      </c>
      <c r="B4136" s="2" t="s">
        <v>734</v>
      </c>
      <c r="C4136" s="2">
        <v>329</v>
      </c>
      <c r="D4136" s="2" t="s">
        <v>965</v>
      </c>
      <c r="E4136" s="2" t="s">
        <v>7618</v>
      </c>
      <c r="F4136" s="2" t="s">
        <v>7649</v>
      </c>
      <c r="G4136" s="2" t="s">
        <v>7632</v>
      </c>
    </row>
    <row r="4137" spans="1:7">
      <c r="A4137" s="3">
        <v>195</v>
      </c>
      <c r="B4137" s="3" t="s">
        <v>734</v>
      </c>
      <c r="C4137" s="3">
        <v>330</v>
      </c>
      <c r="D4137" s="3" t="s">
        <v>974</v>
      </c>
      <c r="E4137" s="3" t="s">
        <v>7618</v>
      </c>
      <c r="F4137" s="3" t="s">
        <v>7652</v>
      </c>
      <c r="G4137" s="3" t="s">
        <v>7632</v>
      </c>
    </row>
    <row r="4138" spans="1:7">
      <c r="A4138" s="2">
        <v>195</v>
      </c>
      <c r="B4138" s="2" t="s">
        <v>734</v>
      </c>
      <c r="C4138" s="2">
        <v>331</v>
      </c>
      <c r="D4138" s="2" t="s">
        <v>982</v>
      </c>
      <c r="E4138" s="2" t="s">
        <v>7645</v>
      </c>
      <c r="F4138" s="2" t="s">
        <v>7608</v>
      </c>
      <c r="G4138" s="2" t="s">
        <v>7621</v>
      </c>
    </row>
    <row r="4139" spans="1:7">
      <c r="A4139" s="3">
        <v>195</v>
      </c>
      <c r="B4139" s="3" t="s">
        <v>734</v>
      </c>
      <c r="C4139" s="3">
        <v>332</v>
      </c>
      <c r="D4139" s="3" t="s">
        <v>986</v>
      </c>
      <c r="E4139" s="3" t="s">
        <v>7645</v>
      </c>
      <c r="F4139" s="3" t="s">
        <v>7611</v>
      </c>
      <c r="G4139" s="3" t="s">
        <v>7621</v>
      </c>
    </row>
    <row r="4140" spans="1:7">
      <c r="A4140" s="2">
        <v>195</v>
      </c>
      <c r="B4140" s="2" t="s">
        <v>734</v>
      </c>
      <c r="C4140" s="2">
        <v>333</v>
      </c>
      <c r="D4140" s="2" t="s">
        <v>989</v>
      </c>
      <c r="E4140" s="2" t="s">
        <v>7618</v>
      </c>
      <c r="F4140" s="2" t="s">
        <v>7649</v>
      </c>
      <c r="G4140" s="2" t="s">
        <v>7624</v>
      </c>
    </row>
    <row r="4141" spans="1:7">
      <c r="A4141" s="3">
        <v>195</v>
      </c>
      <c r="B4141" s="3" t="s">
        <v>734</v>
      </c>
      <c r="C4141" s="3">
        <v>334</v>
      </c>
      <c r="D4141" s="3" t="s">
        <v>970</v>
      </c>
      <c r="E4141" s="3" t="s">
        <v>7729</v>
      </c>
      <c r="F4141" s="3" t="s">
        <v>7659</v>
      </c>
      <c r="G4141" s="3" t="s">
        <v>7624</v>
      </c>
    </row>
    <row r="4142" spans="1:7">
      <c r="A4142" s="2">
        <v>195</v>
      </c>
      <c r="B4142" s="2" t="s">
        <v>734</v>
      </c>
      <c r="C4142" s="2">
        <v>335</v>
      </c>
      <c r="D4142" s="2" t="s">
        <v>1057</v>
      </c>
      <c r="E4142" s="2" t="s">
        <v>7620</v>
      </c>
      <c r="F4142" s="2" t="s">
        <v>7611</v>
      </c>
      <c r="G4142" s="2" t="s">
        <v>7621</v>
      </c>
    </row>
    <row r="4143" spans="1:7">
      <c r="A4143" s="3">
        <v>195</v>
      </c>
      <c r="B4143" s="3" t="s">
        <v>734</v>
      </c>
      <c r="C4143" s="3">
        <v>336</v>
      </c>
      <c r="D4143" s="3" t="s">
        <v>992</v>
      </c>
      <c r="E4143" s="3" t="s">
        <v>7620</v>
      </c>
      <c r="F4143" s="3" t="s">
        <v>7611</v>
      </c>
      <c r="G4143" s="3" t="s">
        <v>7625</v>
      </c>
    </row>
    <row r="4144" spans="1:7">
      <c r="A4144" s="2">
        <v>195</v>
      </c>
      <c r="B4144" s="2" t="s">
        <v>734</v>
      </c>
      <c r="C4144" s="2">
        <v>337</v>
      </c>
      <c r="D4144" s="2" t="s">
        <v>1042</v>
      </c>
      <c r="E4144" s="2" t="s">
        <v>7620</v>
      </c>
      <c r="F4144" s="2" t="s">
        <v>7649</v>
      </c>
      <c r="G4144" s="2" t="s">
        <v>7633</v>
      </c>
    </row>
    <row r="4145" spans="1:7">
      <c r="A4145" s="3">
        <v>195</v>
      </c>
      <c r="B4145" s="3" t="s">
        <v>734</v>
      </c>
      <c r="C4145" s="3">
        <v>338</v>
      </c>
      <c r="D4145" s="3" t="s">
        <v>996</v>
      </c>
      <c r="E4145" s="3" t="s">
        <v>7620</v>
      </c>
      <c r="F4145" s="3" t="s">
        <v>7649</v>
      </c>
      <c r="G4145" s="3" t="s">
        <v>7609</v>
      </c>
    </row>
    <row r="4146" spans="1:7">
      <c r="A4146" s="2">
        <v>195</v>
      </c>
      <c r="B4146" s="2" t="s">
        <v>734</v>
      </c>
      <c r="C4146" s="2">
        <v>339</v>
      </c>
      <c r="D4146" s="2" t="s">
        <v>1058</v>
      </c>
      <c r="E4146" s="2" t="s">
        <v>7620</v>
      </c>
      <c r="F4146" s="2" t="s">
        <v>7611</v>
      </c>
      <c r="G4146" s="2" t="s">
        <v>7621</v>
      </c>
    </row>
    <row r="4147" spans="1:7">
      <c r="A4147" s="3">
        <v>195</v>
      </c>
      <c r="B4147" s="3" t="s">
        <v>734</v>
      </c>
      <c r="C4147" s="3">
        <v>340</v>
      </c>
      <c r="D4147" s="3" t="s">
        <v>1000</v>
      </c>
      <c r="E4147" s="3" t="s">
        <v>7620</v>
      </c>
      <c r="F4147" s="3" t="s">
        <v>7650</v>
      </c>
      <c r="G4147" s="3" t="s">
        <v>7622</v>
      </c>
    </row>
    <row r="4148" spans="1:7">
      <c r="A4148" s="2">
        <v>195</v>
      </c>
      <c r="B4148" s="2" t="s">
        <v>734</v>
      </c>
      <c r="C4148" s="2">
        <v>341</v>
      </c>
      <c r="D4148" s="2" t="s">
        <v>1052</v>
      </c>
      <c r="E4148" s="2" t="s">
        <v>7620</v>
      </c>
      <c r="F4148" s="2" t="s">
        <v>7649</v>
      </c>
      <c r="G4148" s="2" t="s">
        <v>7633</v>
      </c>
    </row>
    <row r="4149" spans="1:7">
      <c r="A4149" s="3">
        <v>195</v>
      </c>
      <c r="B4149" s="3" t="s">
        <v>734</v>
      </c>
      <c r="C4149" s="3">
        <v>343</v>
      </c>
      <c r="D4149" s="3" t="s">
        <v>977</v>
      </c>
      <c r="E4149" s="3" t="s">
        <v>7694</v>
      </c>
      <c r="F4149" s="3" t="s">
        <v>7659</v>
      </c>
      <c r="G4149" s="3" t="s">
        <v>7644</v>
      </c>
    </row>
    <row r="4150" spans="1:7">
      <c r="A4150" s="2">
        <v>195</v>
      </c>
      <c r="B4150" s="2" t="s">
        <v>734</v>
      </c>
      <c r="C4150" s="2">
        <v>402</v>
      </c>
      <c r="D4150" s="2" t="s">
        <v>1120</v>
      </c>
      <c r="E4150" s="2" t="s">
        <v>7645</v>
      </c>
      <c r="F4150" s="2" t="s">
        <v>7649</v>
      </c>
      <c r="G4150" s="2" t="s">
        <v>7636</v>
      </c>
    </row>
    <row r="4151" spans="1:7">
      <c r="A4151" s="3">
        <v>195</v>
      </c>
      <c r="B4151" s="3" t="s">
        <v>734</v>
      </c>
      <c r="C4151" s="3">
        <v>405</v>
      </c>
      <c r="D4151" s="3" t="s">
        <v>1110</v>
      </c>
      <c r="E4151" s="3" t="s">
        <v>7630</v>
      </c>
      <c r="F4151" s="3" t="s">
        <v>7611</v>
      </c>
      <c r="G4151" s="3" t="s">
        <v>7634</v>
      </c>
    </row>
    <row r="4152" spans="1:7">
      <c r="A4152" s="2">
        <v>195</v>
      </c>
      <c r="B4152" s="2" t="s">
        <v>734</v>
      </c>
      <c r="C4152" s="2">
        <v>406</v>
      </c>
      <c r="D4152" s="2" t="s">
        <v>1114</v>
      </c>
      <c r="E4152" s="2" t="s">
        <v>7618</v>
      </c>
      <c r="F4152" s="2" t="s">
        <v>7628</v>
      </c>
      <c r="G4152" s="2" t="s">
        <v>7632</v>
      </c>
    </row>
    <row r="4153" spans="1:7">
      <c r="A4153" s="3">
        <v>195</v>
      </c>
      <c r="B4153" s="3" t="s">
        <v>734</v>
      </c>
      <c r="C4153" s="3">
        <v>408</v>
      </c>
      <c r="D4153" s="3" t="s">
        <v>1131</v>
      </c>
      <c r="E4153" s="3" t="s">
        <v>7618</v>
      </c>
      <c r="F4153" s="3" t="s">
        <v>7608</v>
      </c>
      <c r="G4153" s="3" t="s">
        <v>7633</v>
      </c>
    </row>
    <row r="4154" spans="1:7">
      <c r="A4154" s="2">
        <v>195</v>
      </c>
      <c r="B4154" s="2" t="s">
        <v>734</v>
      </c>
      <c r="C4154" s="2">
        <v>409</v>
      </c>
      <c r="D4154" s="2" t="s">
        <v>1126</v>
      </c>
      <c r="E4154" s="2" t="s">
        <v>7618</v>
      </c>
      <c r="F4154" s="2" t="s">
        <v>7611</v>
      </c>
      <c r="G4154" s="2" t="s">
        <v>7636</v>
      </c>
    </row>
    <row r="4155" spans="1:7">
      <c r="A4155" s="3">
        <v>195</v>
      </c>
      <c r="B4155" s="3" t="s">
        <v>734</v>
      </c>
      <c r="C4155" s="3">
        <v>410</v>
      </c>
      <c r="D4155" s="3" t="s">
        <v>1123</v>
      </c>
      <c r="E4155" s="3" t="s">
        <v>7620</v>
      </c>
      <c r="F4155" s="3" t="s">
        <v>7611</v>
      </c>
      <c r="G4155" s="3" t="s">
        <v>7621</v>
      </c>
    </row>
    <row r="4156" spans="1:7">
      <c r="A4156" s="2">
        <v>196</v>
      </c>
      <c r="B4156" s="2" t="s">
        <v>736</v>
      </c>
      <c r="C4156" s="2">
        <v>198</v>
      </c>
      <c r="D4156" s="2" t="s">
        <v>698</v>
      </c>
      <c r="E4156" s="2" t="s">
        <v>7635</v>
      </c>
      <c r="F4156" s="2" t="s">
        <v>7652</v>
      </c>
      <c r="G4156" s="2" t="s">
        <v>7619</v>
      </c>
    </row>
    <row r="4157" spans="1:7">
      <c r="A4157" s="3">
        <v>196</v>
      </c>
      <c r="B4157" s="3" t="s">
        <v>736</v>
      </c>
      <c r="C4157" s="3">
        <v>199</v>
      </c>
      <c r="D4157" s="3" t="s">
        <v>702</v>
      </c>
      <c r="E4157" s="3" t="s">
        <v>7635</v>
      </c>
      <c r="F4157" s="3" t="s">
        <v>7652</v>
      </c>
      <c r="G4157" s="3" t="s">
        <v>7617</v>
      </c>
    </row>
    <row r="4158" spans="1:7">
      <c r="A4158" s="2">
        <v>196</v>
      </c>
      <c r="B4158" s="2" t="s">
        <v>736</v>
      </c>
      <c r="C4158" s="2">
        <v>200</v>
      </c>
      <c r="D4158" s="2" t="s">
        <v>707</v>
      </c>
      <c r="E4158" s="2" t="s">
        <v>7635</v>
      </c>
      <c r="F4158" s="2" t="s">
        <v>7652</v>
      </c>
      <c r="G4158" s="2" t="s">
        <v>7633</v>
      </c>
    </row>
    <row r="4159" spans="1:7">
      <c r="A4159" s="3">
        <v>196</v>
      </c>
      <c r="B4159" s="3" t="s">
        <v>736</v>
      </c>
      <c r="C4159" s="3">
        <v>201</v>
      </c>
      <c r="D4159" s="3" t="s">
        <v>695</v>
      </c>
      <c r="E4159" s="3" t="s">
        <v>7635</v>
      </c>
      <c r="F4159" s="3" t="s">
        <v>7652</v>
      </c>
      <c r="G4159" s="3" t="s">
        <v>7633</v>
      </c>
    </row>
    <row r="4160" spans="1:7">
      <c r="A4160" s="2">
        <v>196</v>
      </c>
      <c r="B4160" s="2" t="s">
        <v>736</v>
      </c>
      <c r="C4160" s="2">
        <v>205</v>
      </c>
      <c r="D4160" s="2" t="s">
        <v>746</v>
      </c>
      <c r="E4160" s="2" t="s">
        <v>7635</v>
      </c>
      <c r="F4160" s="2" t="s">
        <v>7635</v>
      </c>
      <c r="G4160" s="2" t="s">
        <v>7622</v>
      </c>
    </row>
    <row r="4161" spans="1:7">
      <c r="A4161" s="3">
        <v>196</v>
      </c>
      <c r="B4161" s="3" t="s">
        <v>736</v>
      </c>
      <c r="C4161" s="3">
        <v>208</v>
      </c>
      <c r="D4161" s="3" t="s">
        <v>754</v>
      </c>
      <c r="E4161" s="3" t="s">
        <v>7635</v>
      </c>
      <c r="F4161" s="3" t="s">
        <v>7635</v>
      </c>
      <c r="G4161" s="3" t="s">
        <v>7621</v>
      </c>
    </row>
    <row r="4162" spans="1:7">
      <c r="A4162" s="2">
        <v>196</v>
      </c>
      <c r="B4162" s="2" t="s">
        <v>736</v>
      </c>
      <c r="C4162" s="2">
        <v>209</v>
      </c>
      <c r="D4162" s="2" t="s">
        <v>758</v>
      </c>
      <c r="E4162" s="2" t="s">
        <v>7608</v>
      </c>
      <c r="F4162" s="2" t="s">
        <v>7652</v>
      </c>
      <c r="G4162" s="2" t="s">
        <v>7625</v>
      </c>
    </row>
    <row r="4163" spans="1:7">
      <c r="A4163" s="3">
        <v>196</v>
      </c>
      <c r="B4163" s="3" t="s">
        <v>736</v>
      </c>
      <c r="C4163" s="3">
        <v>264</v>
      </c>
      <c r="D4163" s="3" t="s">
        <v>775</v>
      </c>
      <c r="E4163" s="3" t="s">
        <v>7635</v>
      </c>
      <c r="F4163" s="3" t="s">
        <v>7652</v>
      </c>
      <c r="G4163" s="3" t="s">
        <v>7617</v>
      </c>
    </row>
    <row r="4164" spans="1:7">
      <c r="A4164" s="2">
        <v>196</v>
      </c>
      <c r="B4164" s="2" t="s">
        <v>736</v>
      </c>
      <c r="C4164" s="2">
        <v>343</v>
      </c>
      <c r="D4164" s="2" t="s">
        <v>977</v>
      </c>
      <c r="E4164" s="2" t="s">
        <v>7635</v>
      </c>
      <c r="F4164" s="2" t="s">
        <v>7652</v>
      </c>
      <c r="G4164" s="2" t="s">
        <v>7609</v>
      </c>
    </row>
    <row r="4165" spans="1:7">
      <c r="A4165" s="3">
        <v>197</v>
      </c>
      <c r="B4165" s="3" t="s">
        <v>690</v>
      </c>
      <c r="C4165" s="3">
        <v>198</v>
      </c>
      <c r="D4165" s="3" t="s">
        <v>698</v>
      </c>
      <c r="E4165" s="3" t="s">
        <v>7743</v>
      </c>
      <c r="F4165" s="3" t="s">
        <v>7652</v>
      </c>
      <c r="G4165" s="3" t="s">
        <v>7641</v>
      </c>
    </row>
    <row r="4166" spans="1:7">
      <c r="A4166" s="2">
        <v>197</v>
      </c>
      <c r="B4166" s="2" t="s">
        <v>690</v>
      </c>
      <c r="C4166" s="2">
        <v>199</v>
      </c>
      <c r="D4166" s="2" t="s">
        <v>702</v>
      </c>
      <c r="E4166" s="2" t="s">
        <v>7635</v>
      </c>
      <c r="F4166" s="2" t="s">
        <v>7678</v>
      </c>
      <c r="G4166" s="2" t="s">
        <v>7636</v>
      </c>
    </row>
    <row r="4167" spans="1:7">
      <c r="A4167" s="3">
        <v>197</v>
      </c>
      <c r="B4167" s="3" t="s">
        <v>690</v>
      </c>
      <c r="C4167" s="3">
        <v>200</v>
      </c>
      <c r="D4167" s="3" t="s">
        <v>707</v>
      </c>
      <c r="E4167" s="3" t="s">
        <v>7743</v>
      </c>
      <c r="F4167" s="3" t="s">
        <v>7652</v>
      </c>
      <c r="G4167" s="3" t="s">
        <v>7641</v>
      </c>
    </row>
    <row r="4168" spans="1:7">
      <c r="A4168" s="2">
        <v>197</v>
      </c>
      <c r="B4168" s="2" t="s">
        <v>690</v>
      </c>
      <c r="C4168" s="2">
        <v>201</v>
      </c>
      <c r="D4168" s="2" t="s">
        <v>695</v>
      </c>
      <c r="E4168" s="2" t="s">
        <v>7724</v>
      </c>
      <c r="F4168" s="2" t="s">
        <v>7652</v>
      </c>
      <c r="G4168" s="2" t="s">
        <v>7634</v>
      </c>
    </row>
    <row r="4169" spans="1:7">
      <c r="A4169" s="3">
        <v>197</v>
      </c>
      <c r="B4169" s="3" t="s">
        <v>690</v>
      </c>
      <c r="C4169" s="3">
        <v>205</v>
      </c>
      <c r="D4169" s="3" t="s">
        <v>746</v>
      </c>
      <c r="E4169" s="3" t="s">
        <v>7635</v>
      </c>
      <c r="F4169" s="3" t="s">
        <v>7677</v>
      </c>
      <c r="G4169" s="3" t="s">
        <v>7633</v>
      </c>
    </row>
    <row r="4170" spans="1:7">
      <c r="A4170" s="2">
        <v>197</v>
      </c>
      <c r="B4170" s="2" t="s">
        <v>690</v>
      </c>
      <c r="C4170" s="2">
        <v>208</v>
      </c>
      <c r="D4170" s="2" t="s">
        <v>754</v>
      </c>
      <c r="E4170" s="2" t="s">
        <v>7635</v>
      </c>
      <c r="F4170" s="2" t="s">
        <v>7677</v>
      </c>
      <c r="G4170" s="2" t="s">
        <v>7622</v>
      </c>
    </row>
    <row r="4171" spans="1:7">
      <c r="A4171" s="3">
        <v>197</v>
      </c>
      <c r="B4171" s="3" t="s">
        <v>690</v>
      </c>
      <c r="C4171" s="3">
        <v>209</v>
      </c>
      <c r="D4171" s="3" t="s">
        <v>758</v>
      </c>
      <c r="E4171" s="3" t="s">
        <v>7608</v>
      </c>
      <c r="F4171" s="3" t="s">
        <v>7678</v>
      </c>
      <c r="G4171" s="3" t="s">
        <v>7625</v>
      </c>
    </row>
    <row r="4172" spans="1:7">
      <c r="A4172" s="2">
        <v>197</v>
      </c>
      <c r="B4172" s="2" t="s">
        <v>690</v>
      </c>
      <c r="C4172" s="2">
        <v>264</v>
      </c>
      <c r="D4172" s="2" t="s">
        <v>775</v>
      </c>
      <c r="E4172" s="2" t="s">
        <v>7635</v>
      </c>
      <c r="F4172" s="2" t="s">
        <v>7652</v>
      </c>
      <c r="G4172" s="2" t="s">
        <v>7609</v>
      </c>
    </row>
    <row r="4173" spans="1:7">
      <c r="A4173" s="3">
        <v>197</v>
      </c>
      <c r="B4173" s="3" t="s">
        <v>690</v>
      </c>
      <c r="C4173" s="3">
        <v>343</v>
      </c>
      <c r="D4173" s="3" t="s">
        <v>977</v>
      </c>
      <c r="E4173" s="3" t="s">
        <v>7743</v>
      </c>
      <c r="F4173" s="3" t="s">
        <v>7652</v>
      </c>
      <c r="G4173" s="3" t="s">
        <v>7644</v>
      </c>
    </row>
    <row r="4174" spans="1:7">
      <c r="A4174" s="2">
        <v>198</v>
      </c>
      <c r="B4174" s="2" t="s">
        <v>698</v>
      </c>
      <c r="C4174" s="2">
        <v>199</v>
      </c>
      <c r="D4174" s="2" t="s">
        <v>702</v>
      </c>
      <c r="E4174" s="2" t="s">
        <v>7694</v>
      </c>
      <c r="F4174" s="2" t="s">
        <v>7659</v>
      </c>
      <c r="G4174" s="2" t="s">
        <v>7644</v>
      </c>
    </row>
    <row r="4175" spans="1:7">
      <c r="A4175" s="3">
        <v>198</v>
      </c>
      <c r="B4175" s="3" t="s">
        <v>698</v>
      </c>
      <c r="C4175" s="3">
        <v>200</v>
      </c>
      <c r="D4175" s="3" t="s">
        <v>707</v>
      </c>
      <c r="E4175" s="3" t="s">
        <v>7747</v>
      </c>
      <c r="F4175" s="3" t="s">
        <v>7659</v>
      </c>
      <c r="G4175" s="3" t="s">
        <v>7615</v>
      </c>
    </row>
    <row r="4176" spans="1:7">
      <c r="A4176" s="2">
        <v>198</v>
      </c>
      <c r="B4176" s="2" t="s">
        <v>698</v>
      </c>
      <c r="C4176" s="2">
        <v>201</v>
      </c>
      <c r="D4176" s="2" t="s">
        <v>695</v>
      </c>
      <c r="E4176" s="2" t="s">
        <v>7724</v>
      </c>
      <c r="F4176" s="2" t="s">
        <v>7659</v>
      </c>
      <c r="G4176" s="2" t="s">
        <v>7632</v>
      </c>
    </row>
    <row r="4177" spans="1:7">
      <c r="A4177" s="3">
        <v>198</v>
      </c>
      <c r="B4177" s="3" t="s">
        <v>698</v>
      </c>
      <c r="C4177" s="3">
        <v>202</v>
      </c>
      <c r="D4177" s="3" t="s">
        <v>712</v>
      </c>
      <c r="E4177" s="3" t="s">
        <v>7743</v>
      </c>
      <c r="F4177" s="3" t="s">
        <v>7652</v>
      </c>
      <c r="G4177" s="3" t="s">
        <v>7632</v>
      </c>
    </row>
    <row r="4178" spans="1:7">
      <c r="A4178" s="2">
        <v>198</v>
      </c>
      <c r="B4178" s="2" t="s">
        <v>698</v>
      </c>
      <c r="C4178" s="2">
        <v>203</v>
      </c>
      <c r="D4178" s="2" t="s">
        <v>681</v>
      </c>
      <c r="E4178" s="2" t="s">
        <v>7635</v>
      </c>
      <c r="F4178" s="2" t="s">
        <v>7652</v>
      </c>
      <c r="G4178" s="2" t="s">
        <v>7636</v>
      </c>
    </row>
    <row r="4179" spans="1:7">
      <c r="A4179" s="3">
        <v>198</v>
      </c>
      <c r="B4179" s="3" t="s">
        <v>698</v>
      </c>
      <c r="C4179" s="3">
        <v>204</v>
      </c>
      <c r="D4179" s="3" t="s">
        <v>685</v>
      </c>
      <c r="E4179" s="3" t="s">
        <v>7743</v>
      </c>
      <c r="F4179" s="3" t="s">
        <v>7659</v>
      </c>
      <c r="G4179" s="3" t="s">
        <v>7612</v>
      </c>
    </row>
    <row r="4180" spans="1:7">
      <c r="A4180" s="2">
        <v>198</v>
      </c>
      <c r="B4180" s="2" t="s">
        <v>698</v>
      </c>
      <c r="C4180" s="2">
        <v>205</v>
      </c>
      <c r="D4180" s="2" t="s">
        <v>746</v>
      </c>
      <c r="E4180" s="2" t="s">
        <v>7694</v>
      </c>
      <c r="F4180" s="2" t="s">
        <v>7628</v>
      </c>
      <c r="G4180" s="2" t="s">
        <v>7639</v>
      </c>
    </row>
    <row r="4181" spans="1:7">
      <c r="A4181" s="3">
        <v>198</v>
      </c>
      <c r="B4181" s="3" t="s">
        <v>698</v>
      </c>
      <c r="C4181" s="3">
        <v>206</v>
      </c>
      <c r="D4181" s="3" t="s">
        <v>723</v>
      </c>
      <c r="E4181" s="3" t="s">
        <v>7635</v>
      </c>
      <c r="F4181" s="3" t="s">
        <v>7635</v>
      </c>
      <c r="G4181" s="3" t="s">
        <v>7625</v>
      </c>
    </row>
    <row r="4182" spans="1:7">
      <c r="A4182" s="2">
        <v>198</v>
      </c>
      <c r="B4182" s="2" t="s">
        <v>698</v>
      </c>
      <c r="C4182" s="2">
        <v>207</v>
      </c>
      <c r="D4182" s="2" t="s">
        <v>749</v>
      </c>
      <c r="E4182" s="2" t="s">
        <v>7694</v>
      </c>
      <c r="F4182" s="2" t="s">
        <v>7611</v>
      </c>
      <c r="G4182" s="2" t="s">
        <v>7636</v>
      </c>
    </row>
    <row r="4183" spans="1:7">
      <c r="A4183" s="3">
        <v>198</v>
      </c>
      <c r="B4183" s="3" t="s">
        <v>698</v>
      </c>
      <c r="C4183" s="3">
        <v>208</v>
      </c>
      <c r="D4183" s="3" t="s">
        <v>754</v>
      </c>
      <c r="E4183" s="3" t="s">
        <v>7694</v>
      </c>
      <c r="F4183" s="3" t="s">
        <v>7628</v>
      </c>
      <c r="G4183" s="3" t="s">
        <v>7634</v>
      </c>
    </row>
    <row r="4184" spans="1:7">
      <c r="A4184" s="2">
        <v>198</v>
      </c>
      <c r="B4184" s="2" t="s">
        <v>698</v>
      </c>
      <c r="C4184" s="2">
        <v>209</v>
      </c>
      <c r="D4184" s="2" t="s">
        <v>758</v>
      </c>
      <c r="E4184" s="2" t="s">
        <v>7620</v>
      </c>
      <c r="F4184" s="2" t="s">
        <v>7652</v>
      </c>
      <c r="G4184" s="2" t="s">
        <v>7636</v>
      </c>
    </row>
    <row r="4185" spans="1:7">
      <c r="A4185" s="3">
        <v>198</v>
      </c>
      <c r="B4185" s="3" t="s">
        <v>698</v>
      </c>
      <c r="C4185" s="3">
        <v>214</v>
      </c>
      <c r="D4185" s="3" t="s">
        <v>870</v>
      </c>
      <c r="E4185" s="3" t="s">
        <v>7620</v>
      </c>
      <c r="F4185" s="3" t="s">
        <v>7611</v>
      </c>
      <c r="G4185" s="3" t="s">
        <v>7622</v>
      </c>
    </row>
    <row r="4186" spans="1:7">
      <c r="A4186" s="2">
        <v>198</v>
      </c>
      <c r="B4186" s="2" t="s">
        <v>698</v>
      </c>
      <c r="C4186" s="2">
        <v>215</v>
      </c>
      <c r="D4186" s="2" t="s">
        <v>844</v>
      </c>
      <c r="E4186" s="2" t="s">
        <v>7620</v>
      </c>
      <c r="F4186" s="2" t="s">
        <v>7649</v>
      </c>
      <c r="G4186" s="2" t="s">
        <v>7609</v>
      </c>
    </row>
    <row r="4187" spans="1:7">
      <c r="A4187" s="3">
        <v>198</v>
      </c>
      <c r="B4187" s="3" t="s">
        <v>698</v>
      </c>
      <c r="C4187" s="3">
        <v>216</v>
      </c>
      <c r="D4187" s="3"/>
      <c r="E4187" s="3" t="s">
        <v>7620</v>
      </c>
      <c r="F4187" s="3" t="s">
        <v>7611</v>
      </c>
      <c r="G4187" s="3" t="s">
        <v>7622</v>
      </c>
    </row>
    <row r="4188" spans="1:7">
      <c r="A4188" s="2">
        <v>198</v>
      </c>
      <c r="B4188" s="2" t="s">
        <v>698</v>
      </c>
      <c r="C4188" s="2">
        <v>217</v>
      </c>
      <c r="D4188" s="2" t="s">
        <v>795</v>
      </c>
      <c r="E4188" s="2" t="s">
        <v>7620</v>
      </c>
      <c r="F4188" s="2" t="s">
        <v>7649</v>
      </c>
      <c r="G4188" s="2" t="s">
        <v>7633</v>
      </c>
    </row>
    <row r="4189" spans="1:7">
      <c r="A4189" s="3">
        <v>198</v>
      </c>
      <c r="B4189" s="3" t="s">
        <v>698</v>
      </c>
      <c r="C4189" s="3">
        <v>218</v>
      </c>
      <c r="D4189" s="3" t="s">
        <v>789</v>
      </c>
      <c r="E4189" s="3" t="s">
        <v>7620</v>
      </c>
      <c r="F4189" s="3" t="s">
        <v>7611</v>
      </c>
      <c r="G4189" s="3" t="s">
        <v>7621</v>
      </c>
    </row>
    <row r="4190" spans="1:7">
      <c r="A4190" s="2">
        <v>198</v>
      </c>
      <c r="B4190" s="2" t="s">
        <v>698</v>
      </c>
      <c r="C4190" s="2">
        <v>219</v>
      </c>
      <c r="D4190" s="2" t="s">
        <v>822</v>
      </c>
      <c r="E4190" s="2" t="s">
        <v>7620</v>
      </c>
      <c r="F4190" s="2" t="s">
        <v>7659</v>
      </c>
      <c r="G4190" s="2" t="s">
        <v>7619</v>
      </c>
    </row>
    <row r="4191" spans="1:7">
      <c r="A4191" s="3">
        <v>198</v>
      </c>
      <c r="B4191" s="3" t="s">
        <v>698</v>
      </c>
      <c r="C4191" s="3">
        <v>220</v>
      </c>
      <c r="D4191" s="3" t="s">
        <v>810</v>
      </c>
      <c r="E4191" s="3" t="s">
        <v>7620</v>
      </c>
      <c r="F4191" s="3" t="s">
        <v>7659</v>
      </c>
      <c r="G4191" s="3" t="s">
        <v>7636</v>
      </c>
    </row>
    <row r="4192" spans="1:7">
      <c r="A4192" s="2">
        <v>198</v>
      </c>
      <c r="B4192" s="2" t="s">
        <v>698</v>
      </c>
      <c r="C4192" s="2">
        <v>221</v>
      </c>
      <c r="D4192" s="2" t="s">
        <v>813</v>
      </c>
      <c r="E4192" s="2" t="s">
        <v>7620</v>
      </c>
      <c r="F4192" s="2" t="s">
        <v>7649</v>
      </c>
      <c r="G4192" s="2" t="s">
        <v>7609</v>
      </c>
    </row>
    <row r="4193" spans="1:7">
      <c r="A4193" s="3">
        <v>198</v>
      </c>
      <c r="B4193" s="3" t="s">
        <v>698</v>
      </c>
      <c r="C4193" s="3">
        <v>222</v>
      </c>
      <c r="D4193" s="3" t="s">
        <v>864</v>
      </c>
      <c r="E4193" s="3" t="s">
        <v>7620</v>
      </c>
      <c r="F4193" s="3" t="s">
        <v>7611</v>
      </c>
      <c r="G4193" s="3" t="s">
        <v>7633</v>
      </c>
    </row>
    <row r="4194" spans="1:7">
      <c r="A4194" s="2">
        <v>198</v>
      </c>
      <c r="B4194" s="2" t="s">
        <v>698</v>
      </c>
      <c r="C4194" s="2">
        <v>230</v>
      </c>
      <c r="D4194" s="2" t="s">
        <v>920</v>
      </c>
      <c r="E4194" s="2" t="s">
        <v>7620</v>
      </c>
      <c r="F4194" s="2" t="s">
        <v>7650</v>
      </c>
      <c r="G4194" s="2" t="s">
        <v>7633</v>
      </c>
    </row>
    <row r="4195" spans="1:7">
      <c r="A4195" s="3">
        <v>198</v>
      </c>
      <c r="B4195" s="3" t="s">
        <v>698</v>
      </c>
      <c r="C4195" s="3">
        <v>231</v>
      </c>
      <c r="D4195" s="3" t="s">
        <v>923</v>
      </c>
      <c r="E4195" s="3" t="s">
        <v>7620</v>
      </c>
      <c r="F4195" s="3" t="s">
        <v>7611</v>
      </c>
      <c r="G4195" s="3" t="s">
        <v>7633</v>
      </c>
    </row>
    <row r="4196" spans="1:7">
      <c r="A4196" s="2">
        <v>198</v>
      </c>
      <c r="B4196" s="2" t="s">
        <v>698</v>
      </c>
      <c r="C4196" s="2">
        <v>232</v>
      </c>
      <c r="D4196" s="2" t="s">
        <v>933</v>
      </c>
      <c r="E4196" s="2" t="s">
        <v>7620</v>
      </c>
      <c r="F4196" s="2" t="s">
        <v>7608</v>
      </c>
      <c r="G4196" s="2" t="s">
        <v>7622</v>
      </c>
    </row>
    <row r="4197" spans="1:7">
      <c r="A4197" s="3">
        <v>198</v>
      </c>
      <c r="B4197" s="3" t="s">
        <v>698</v>
      </c>
      <c r="C4197" s="3">
        <v>233</v>
      </c>
      <c r="D4197" s="3" t="s">
        <v>937</v>
      </c>
      <c r="E4197" s="3" t="s">
        <v>7620</v>
      </c>
      <c r="F4197" s="3" t="s">
        <v>7611</v>
      </c>
      <c r="G4197" s="3" t="s">
        <v>7621</v>
      </c>
    </row>
    <row r="4198" spans="1:7">
      <c r="A4198" s="2">
        <v>198</v>
      </c>
      <c r="B4198" s="2" t="s">
        <v>698</v>
      </c>
      <c r="C4198" s="2">
        <v>234</v>
      </c>
      <c r="D4198" s="2" t="s">
        <v>936</v>
      </c>
      <c r="E4198" s="2" t="s">
        <v>7620</v>
      </c>
      <c r="F4198" s="2" t="s">
        <v>7608</v>
      </c>
      <c r="G4198" s="2" t="s">
        <v>7625</v>
      </c>
    </row>
    <row r="4199" spans="1:7">
      <c r="A4199" s="3">
        <v>198</v>
      </c>
      <c r="B4199" s="3" t="s">
        <v>698</v>
      </c>
      <c r="C4199" s="3">
        <v>235</v>
      </c>
      <c r="D4199" s="3" t="s">
        <v>896</v>
      </c>
      <c r="E4199" s="3" t="s">
        <v>7620</v>
      </c>
      <c r="F4199" s="3" t="s">
        <v>7608</v>
      </c>
      <c r="G4199" s="3" t="s">
        <v>7625</v>
      </c>
    </row>
    <row r="4200" spans="1:7">
      <c r="A4200" s="2">
        <v>198</v>
      </c>
      <c r="B4200" s="2" t="s">
        <v>698</v>
      </c>
      <c r="C4200" s="2">
        <v>236</v>
      </c>
      <c r="D4200" s="2" t="s">
        <v>928</v>
      </c>
      <c r="E4200" s="2" t="s">
        <v>7620</v>
      </c>
      <c r="F4200" s="2" t="s">
        <v>7608</v>
      </c>
      <c r="G4200" s="2" t="s">
        <v>7621</v>
      </c>
    </row>
    <row r="4201" spans="1:7">
      <c r="A4201" s="3">
        <v>198</v>
      </c>
      <c r="B4201" s="3" t="s">
        <v>698</v>
      </c>
      <c r="C4201" s="3">
        <v>237</v>
      </c>
      <c r="D4201" s="3" t="s">
        <v>944</v>
      </c>
      <c r="E4201" s="3" t="s">
        <v>7620</v>
      </c>
      <c r="F4201" s="3" t="s">
        <v>7608</v>
      </c>
      <c r="G4201" s="3" t="s">
        <v>7621</v>
      </c>
    </row>
    <row r="4202" spans="1:7">
      <c r="A4202" s="2">
        <v>198</v>
      </c>
      <c r="B4202" s="2" t="s">
        <v>698</v>
      </c>
      <c r="C4202" s="2">
        <v>238</v>
      </c>
      <c r="D4202" s="2" t="s">
        <v>947</v>
      </c>
      <c r="E4202" s="2" t="s">
        <v>7620</v>
      </c>
      <c r="F4202" s="2" t="s">
        <v>7608</v>
      </c>
      <c r="G4202" s="2" t="s">
        <v>7625</v>
      </c>
    </row>
    <row r="4203" spans="1:7">
      <c r="A4203" s="3">
        <v>198</v>
      </c>
      <c r="B4203" s="3" t="s">
        <v>698</v>
      </c>
      <c r="C4203" s="3">
        <v>239</v>
      </c>
      <c r="D4203" s="3" t="s">
        <v>945</v>
      </c>
      <c r="E4203" s="3" t="s">
        <v>7620</v>
      </c>
      <c r="F4203" s="3" t="s">
        <v>7608</v>
      </c>
      <c r="G4203" s="3" t="s">
        <v>7625</v>
      </c>
    </row>
    <row r="4204" spans="1:7">
      <c r="A4204" s="2">
        <v>198</v>
      </c>
      <c r="B4204" s="2" t="s">
        <v>698</v>
      </c>
      <c r="C4204" s="2">
        <v>240</v>
      </c>
      <c r="D4204" s="2" t="s">
        <v>946</v>
      </c>
      <c r="E4204" s="2" t="s">
        <v>7620</v>
      </c>
      <c r="F4204" s="2" t="s">
        <v>7608</v>
      </c>
      <c r="G4204" s="2" t="s">
        <v>7625</v>
      </c>
    </row>
    <row r="4205" spans="1:7">
      <c r="A4205" s="3">
        <v>198</v>
      </c>
      <c r="B4205" s="3" t="s">
        <v>698</v>
      </c>
      <c r="C4205" s="3">
        <v>241</v>
      </c>
      <c r="D4205" s="3" t="s">
        <v>890</v>
      </c>
      <c r="E4205" s="3" t="s">
        <v>7620</v>
      </c>
      <c r="F4205" s="3" t="s">
        <v>7608</v>
      </c>
      <c r="G4205" s="3" t="s">
        <v>7625</v>
      </c>
    </row>
    <row r="4206" spans="1:7">
      <c r="A4206" s="2">
        <v>198</v>
      </c>
      <c r="B4206" s="2" t="s">
        <v>698</v>
      </c>
      <c r="C4206" s="2">
        <v>243</v>
      </c>
      <c r="D4206" s="2" t="s">
        <v>941</v>
      </c>
      <c r="E4206" s="2" t="s">
        <v>7620</v>
      </c>
      <c r="F4206" s="2" t="s">
        <v>7608</v>
      </c>
      <c r="G4206" s="2" t="s">
        <v>7621</v>
      </c>
    </row>
    <row r="4207" spans="1:7">
      <c r="A4207" s="3">
        <v>198</v>
      </c>
      <c r="B4207" s="3" t="s">
        <v>698</v>
      </c>
      <c r="C4207" s="3">
        <v>244</v>
      </c>
      <c r="D4207" s="3" t="s">
        <v>891</v>
      </c>
      <c r="E4207" s="3" t="s">
        <v>7620</v>
      </c>
      <c r="F4207" s="3" t="s">
        <v>7608</v>
      </c>
      <c r="G4207" s="3" t="s">
        <v>7625</v>
      </c>
    </row>
    <row r="4208" spans="1:7">
      <c r="A4208" s="2">
        <v>198</v>
      </c>
      <c r="B4208" s="2" t="s">
        <v>698</v>
      </c>
      <c r="C4208" s="2">
        <v>245</v>
      </c>
      <c r="D4208" s="2" t="s">
        <v>892</v>
      </c>
      <c r="E4208" s="2" t="s">
        <v>7620</v>
      </c>
      <c r="F4208" s="2" t="s">
        <v>7608</v>
      </c>
      <c r="G4208" s="2" t="s">
        <v>7625</v>
      </c>
    </row>
    <row r="4209" spans="1:7">
      <c r="A4209" s="3">
        <v>198</v>
      </c>
      <c r="B4209" s="3" t="s">
        <v>698</v>
      </c>
      <c r="C4209" s="3">
        <v>250</v>
      </c>
      <c r="D4209" s="3" t="s">
        <v>926</v>
      </c>
      <c r="E4209" s="3" t="s">
        <v>7620</v>
      </c>
      <c r="F4209" s="3" t="s">
        <v>7608</v>
      </c>
      <c r="G4209" s="3" t="s">
        <v>7621</v>
      </c>
    </row>
    <row r="4210" spans="1:7">
      <c r="A4210" s="2">
        <v>198</v>
      </c>
      <c r="B4210" s="2" t="s">
        <v>698</v>
      </c>
      <c r="C4210" s="2">
        <v>251</v>
      </c>
      <c r="D4210" s="2" t="s">
        <v>819</v>
      </c>
      <c r="E4210" s="2" t="s">
        <v>7620</v>
      </c>
      <c r="F4210" s="2" t="s">
        <v>7611</v>
      </c>
      <c r="G4210" s="2" t="s">
        <v>7625</v>
      </c>
    </row>
    <row r="4211" spans="1:7">
      <c r="A4211" s="3">
        <v>198</v>
      </c>
      <c r="B4211" s="3" t="s">
        <v>698</v>
      </c>
      <c r="C4211" s="3">
        <v>254</v>
      </c>
      <c r="D4211" s="3" t="s">
        <v>837</v>
      </c>
      <c r="E4211" s="3" t="s">
        <v>7620</v>
      </c>
      <c r="F4211" s="3" t="s">
        <v>7649</v>
      </c>
      <c r="G4211" s="3" t="s">
        <v>7633</v>
      </c>
    </row>
    <row r="4212" spans="1:7">
      <c r="A4212" s="2">
        <v>198</v>
      </c>
      <c r="B4212" s="2" t="s">
        <v>698</v>
      </c>
      <c r="C4212" s="2">
        <v>256</v>
      </c>
      <c r="D4212" s="2" t="s">
        <v>785</v>
      </c>
      <c r="E4212" s="2" t="s">
        <v>7620</v>
      </c>
      <c r="F4212" s="2" t="s">
        <v>7611</v>
      </c>
      <c r="G4212" s="2" t="s">
        <v>7621</v>
      </c>
    </row>
    <row r="4213" spans="1:7">
      <c r="A4213" s="3">
        <v>198</v>
      </c>
      <c r="B4213" s="3" t="s">
        <v>698</v>
      </c>
      <c r="C4213" s="3">
        <v>257</v>
      </c>
      <c r="D4213" s="3" t="s">
        <v>876</v>
      </c>
      <c r="E4213" s="3" t="s">
        <v>7620</v>
      </c>
      <c r="F4213" s="3" t="s">
        <v>7611</v>
      </c>
      <c r="G4213" s="3" t="s">
        <v>7622</v>
      </c>
    </row>
    <row r="4214" spans="1:7">
      <c r="A4214" s="2">
        <v>198</v>
      </c>
      <c r="B4214" s="2" t="s">
        <v>698</v>
      </c>
      <c r="C4214" s="2">
        <v>258</v>
      </c>
      <c r="D4214" s="2" t="s">
        <v>882</v>
      </c>
      <c r="E4214" s="2" t="s">
        <v>7620</v>
      </c>
      <c r="F4214" s="2" t="s">
        <v>7608</v>
      </c>
      <c r="G4214" s="2" t="s">
        <v>7621</v>
      </c>
    </row>
    <row r="4215" spans="1:7">
      <c r="A4215" s="3">
        <v>198</v>
      </c>
      <c r="B4215" s="3" t="s">
        <v>698</v>
      </c>
      <c r="C4215" s="3">
        <v>262</v>
      </c>
      <c r="D4215" s="3" t="s">
        <v>355</v>
      </c>
      <c r="E4215" s="3" t="s">
        <v>7620</v>
      </c>
      <c r="F4215" s="3" t="s">
        <v>7611</v>
      </c>
      <c r="G4215" s="3" t="s">
        <v>7621</v>
      </c>
    </row>
    <row r="4216" spans="1:7">
      <c r="A4216" s="2">
        <v>198</v>
      </c>
      <c r="B4216" s="2" t="s">
        <v>698</v>
      </c>
      <c r="C4216" s="2">
        <v>264</v>
      </c>
      <c r="D4216" s="2" t="s">
        <v>775</v>
      </c>
      <c r="E4216" s="2" t="s">
        <v>7694</v>
      </c>
      <c r="F4216" s="2" t="s">
        <v>7659</v>
      </c>
      <c r="G4216" s="2" t="s">
        <v>7644</v>
      </c>
    </row>
    <row r="4217" spans="1:7">
      <c r="A4217" s="3">
        <v>198</v>
      </c>
      <c r="B4217" s="3" t="s">
        <v>698</v>
      </c>
      <c r="C4217" s="3">
        <v>265</v>
      </c>
      <c r="D4217" s="3" t="s">
        <v>860</v>
      </c>
      <c r="E4217" s="3" t="s">
        <v>7620</v>
      </c>
      <c r="F4217" s="3" t="s">
        <v>7611</v>
      </c>
      <c r="G4217" s="3" t="s">
        <v>7633</v>
      </c>
    </row>
    <row r="4218" spans="1:7">
      <c r="A4218" s="2">
        <v>198</v>
      </c>
      <c r="B4218" s="2" t="s">
        <v>698</v>
      </c>
      <c r="C4218" s="2">
        <v>266</v>
      </c>
      <c r="D4218" s="2" t="s">
        <v>826</v>
      </c>
      <c r="E4218" s="2" t="s">
        <v>7620</v>
      </c>
      <c r="F4218" s="2" t="s">
        <v>7659</v>
      </c>
      <c r="G4218" s="2" t="s">
        <v>7634</v>
      </c>
    </row>
    <row r="4219" spans="1:7">
      <c r="A4219" s="3">
        <v>198</v>
      </c>
      <c r="B4219" s="3" t="s">
        <v>698</v>
      </c>
      <c r="C4219" s="3">
        <v>267</v>
      </c>
      <c r="D4219" s="3" t="s">
        <v>801</v>
      </c>
      <c r="E4219" s="3" t="s">
        <v>7620</v>
      </c>
      <c r="F4219" s="3" t="s">
        <v>7649</v>
      </c>
      <c r="G4219" s="3" t="s">
        <v>7619</v>
      </c>
    </row>
    <row r="4220" spans="1:7">
      <c r="A4220" s="2">
        <v>198</v>
      </c>
      <c r="B4220" s="2" t="s">
        <v>698</v>
      </c>
      <c r="C4220" s="2">
        <v>268</v>
      </c>
      <c r="D4220" s="2" t="s">
        <v>934</v>
      </c>
      <c r="E4220" s="2" t="s">
        <v>7620</v>
      </c>
      <c r="F4220" s="2" t="s">
        <v>7608</v>
      </c>
      <c r="G4220" s="2" t="s">
        <v>7622</v>
      </c>
    </row>
    <row r="4221" spans="1:7">
      <c r="A4221" s="3">
        <v>198</v>
      </c>
      <c r="B4221" s="3" t="s">
        <v>698</v>
      </c>
      <c r="C4221" s="3">
        <v>269</v>
      </c>
      <c r="D4221" s="3" t="s">
        <v>825</v>
      </c>
      <c r="E4221" s="3" t="s">
        <v>7620</v>
      </c>
      <c r="F4221" s="3" t="s">
        <v>7649</v>
      </c>
      <c r="G4221" s="3" t="s">
        <v>7609</v>
      </c>
    </row>
    <row r="4222" spans="1:7">
      <c r="A4222" s="2">
        <v>198</v>
      </c>
      <c r="B4222" s="2" t="s">
        <v>698</v>
      </c>
      <c r="C4222" s="2">
        <v>270</v>
      </c>
      <c r="D4222" s="2" t="s">
        <v>769</v>
      </c>
      <c r="E4222" s="2" t="s">
        <v>7620</v>
      </c>
      <c r="F4222" s="2" t="s">
        <v>7611</v>
      </c>
      <c r="G4222" s="2" t="s">
        <v>7617</v>
      </c>
    </row>
    <row r="4223" spans="1:7">
      <c r="A4223" s="3">
        <v>198</v>
      </c>
      <c r="B4223" s="3" t="s">
        <v>698</v>
      </c>
      <c r="C4223" s="3">
        <v>271</v>
      </c>
      <c r="D4223" s="3" t="s">
        <v>935</v>
      </c>
      <c r="E4223" s="3" t="s">
        <v>7620</v>
      </c>
      <c r="F4223" s="3" t="s">
        <v>7608</v>
      </c>
      <c r="G4223" s="3" t="s">
        <v>7625</v>
      </c>
    </row>
    <row r="4224" spans="1:7">
      <c r="A4224" s="2">
        <v>198</v>
      </c>
      <c r="B4224" s="2" t="s">
        <v>698</v>
      </c>
      <c r="C4224" s="2">
        <v>272</v>
      </c>
      <c r="D4224" s="2" t="s">
        <v>873</v>
      </c>
      <c r="E4224" s="2" t="s">
        <v>7620</v>
      </c>
      <c r="F4224" s="2" t="s">
        <v>7628</v>
      </c>
      <c r="G4224" s="2" t="s">
        <v>7636</v>
      </c>
    </row>
    <row r="4225" spans="1:7">
      <c r="A4225" s="3">
        <v>198</v>
      </c>
      <c r="B4225" s="3" t="s">
        <v>698</v>
      </c>
      <c r="C4225" s="3">
        <v>273</v>
      </c>
      <c r="D4225" s="3" t="s">
        <v>816</v>
      </c>
      <c r="E4225" s="3" t="s">
        <v>7620</v>
      </c>
      <c r="F4225" s="3" t="s">
        <v>7650</v>
      </c>
      <c r="G4225" s="3" t="s">
        <v>7622</v>
      </c>
    </row>
    <row r="4226" spans="1:7">
      <c r="A4226" s="2">
        <v>198</v>
      </c>
      <c r="B4226" s="2" t="s">
        <v>698</v>
      </c>
      <c r="C4226" s="2">
        <v>275</v>
      </c>
      <c r="D4226" s="2" t="s">
        <v>781</v>
      </c>
      <c r="E4226" s="2" t="s">
        <v>7620</v>
      </c>
      <c r="F4226" s="2" t="s">
        <v>7649</v>
      </c>
      <c r="G4226" s="2" t="s">
        <v>7617</v>
      </c>
    </row>
    <row r="4227" spans="1:7">
      <c r="A4227" s="3">
        <v>198</v>
      </c>
      <c r="B4227" s="3" t="s">
        <v>698</v>
      </c>
      <c r="C4227" s="3">
        <v>276</v>
      </c>
      <c r="D4227" s="3" t="s">
        <v>842</v>
      </c>
      <c r="E4227" s="3" t="s">
        <v>7620</v>
      </c>
      <c r="F4227" s="3" t="s">
        <v>7611</v>
      </c>
      <c r="G4227" s="3" t="s">
        <v>7622</v>
      </c>
    </row>
    <row r="4228" spans="1:7">
      <c r="A4228" s="2">
        <v>198</v>
      </c>
      <c r="B4228" s="2" t="s">
        <v>698</v>
      </c>
      <c r="C4228" s="2">
        <v>277</v>
      </c>
      <c r="D4228" s="2" t="s">
        <v>796</v>
      </c>
      <c r="E4228" s="2" t="s">
        <v>7620</v>
      </c>
      <c r="F4228" s="2" t="s">
        <v>7650</v>
      </c>
      <c r="G4228" s="2" t="s">
        <v>7625</v>
      </c>
    </row>
    <row r="4229" spans="1:7">
      <c r="A4229" s="3">
        <v>198</v>
      </c>
      <c r="B4229" s="3" t="s">
        <v>698</v>
      </c>
      <c r="C4229" s="3">
        <v>281</v>
      </c>
      <c r="D4229" s="3" t="s">
        <v>856</v>
      </c>
      <c r="E4229" s="3" t="s">
        <v>7620</v>
      </c>
      <c r="F4229" s="3" t="s">
        <v>7659</v>
      </c>
      <c r="G4229" s="3" t="s">
        <v>7619</v>
      </c>
    </row>
    <row r="4230" spans="1:7">
      <c r="A4230" s="2">
        <v>198</v>
      </c>
      <c r="B4230" s="2" t="s">
        <v>698</v>
      </c>
      <c r="C4230" s="2">
        <v>282</v>
      </c>
      <c r="D4230" s="2" t="s">
        <v>885</v>
      </c>
      <c r="E4230" s="2" t="s">
        <v>7620</v>
      </c>
      <c r="F4230" s="2" t="s">
        <v>7649</v>
      </c>
      <c r="G4230" s="2" t="s">
        <v>7633</v>
      </c>
    </row>
    <row r="4231" spans="1:7">
      <c r="A4231" s="3">
        <v>198</v>
      </c>
      <c r="B4231" s="3" t="s">
        <v>698</v>
      </c>
      <c r="C4231" s="3">
        <v>284</v>
      </c>
      <c r="D4231" s="3" t="s">
        <v>854</v>
      </c>
      <c r="E4231" s="3" t="s">
        <v>7620</v>
      </c>
      <c r="F4231" s="3" t="s">
        <v>7628</v>
      </c>
      <c r="G4231" s="3" t="s">
        <v>7636</v>
      </c>
    </row>
    <row r="4232" spans="1:7">
      <c r="A4232" s="2">
        <v>198</v>
      </c>
      <c r="B4232" s="2" t="s">
        <v>698</v>
      </c>
      <c r="C4232" s="2">
        <v>285</v>
      </c>
      <c r="D4232" s="2" t="s">
        <v>854</v>
      </c>
      <c r="E4232" s="2" t="s">
        <v>7620</v>
      </c>
      <c r="F4232" s="2" t="s">
        <v>7611</v>
      </c>
      <c r="G4232" s="2" t="s">
        <v>7609</v>
      </c>
    </row>
    <row r="4233" spans="1:7">
      <c r="A4233" s="3">
        <v>198</v>
      </c>
      <c r="B4233" s="3" t="s">
        <v>698</v>
      </c>
      <c r="C4233" s="3">
        <v>286</v>
      </c>
      <c r="D4233" s="3" t="s">
        <v>807</v>
      </c>
      <c r="E4233" s="3" t="s">
        <v>7620</v>
      </c>
      <c r="F4233" s="3" t="s">
        <v>7649</v>
      </c>
      <c r="G4233" s="3" t="s">
        <v>7633</v>
      </c>
    </row>
    <row r="4234" spans="1:7">
      <c r="A4234" s="2">
        <v>198</v>
      </c>
      <c r="B4234" s="2" t="s">
        <v>698</v>
      </c>
      <c r="C4234" s="2">
        <v>287</v>
      </c>
      <c r="D4234" s="2" t="s">
        <v>929</v>
      </c>
      <c r="E4234" s="2" t="s">
        <v>7620</v>
      </c>
      <c r="F4234" s="2" t="s">
        <v>7611</v>
      </c>
      <c r="G4234" s="2" t="s">
        <v>7621</v>
      </c>
    </row>
    <row r="4235" spans="1:7">
      <c r="A4235" s="3">
        <v>198</v>
      </c>
      <c r="B4235" s="3" t="s">
        <v>698</v>
      </c>
      <c r="C4235" s="3">
        <v>288</v>
      </c>
      <c r="D4235" s="3" t="s">
        <v>805</v>
      </c>
      <c r="E4235" s="3" t="s">
        <v>7620</v>
      </c>
      <c r="F4235" s="3" t="s">
        <v>7611</v>
      </c>
      <c r="G4235" s="3" t="s">
        <v>7622</v>
      </c>
    </row>
    <row r="4236" spans="1:7">
      <c r="A4236" s="2">
        <v>198</v>
      </c>
      <c r="B4236" s="2" t="s">
        <v>698</v>
      </c>
      <c r="C4236" s="2">
        <v>289</v>
      </c>
      <c r="D4236" s="2" t="s">
        <v>854</v>
      </c>
      <c r="E4236" s="2" t="s">
        <v>7620</v>
      </c>
      <c r="F4236" s="2" t="s">
        <v>7608</v>
      </c>
      <c r="G4236" s="2" t="s">
        <v>7622</v>
      </c>
    </row>
    <row r="4237" spans="1:7">
      <c r="A4237" s="3">
        <v>198</v>
      </c>
      <c r="B4237" s="3" t="s">
        <v>698</v>
      </c>
      <c r="C4237" s="3">
        <v>290</v>
      </c>
      <c r="D4237" s="3" t="s">
        <v>854</v>
      </c>
      <c r="E4237" s="3" t="s">
        <v>7620</v>
      </c>
      <c r="F4237" s="3" t="s">
        <v>7611</v>
      </c>
      <c r="G4237" s="3" t="s">
        <v>7625</v>
      </c>
    </row>
    <row r="4238" spans="1:7">
      <c r="A4238" s="2">
        <v>198</v>
      </c>
      <c r="B4238" s="2" t="s">
        <v>698</v>
      </c>
      <c r="C4238" s="2">
        <v>291</v>
      </c>
      <c r="D4238" s="2" t="s">
        <v>854</v>
      </c>
      <c r="E4238" s="2" t="s">
        <v>7620</v>
      </c>
      <c r="F4238" s="2" t="s">
        <v>7608</v>
      </c>
      <c r="G4238" s="2" t="s">
        <v>7625</v>
      </c>
    </row>
    <row r="4239" spans="1:7">
      <c r="A4239" s="3">
        <v>198</v>
      </c>
      <c r="B4239" s="3" t="s">
        <v>698</v>
      </c>
      <c r="C4239" s="3">
        <v>293</v>
      </c>
      <c r="D4239" s="3" t="s">
        <v>854</v>
      </c>
      <c r="E4239" s="3" t="s">
        <v>7620</v>
      </c>
      <c r="F4239" s="3" t="s">
        <v>7611</v>
      </c>
      <c r="G4239" s="3" t="s">
        <v>7622</v>
      </c>
    </row>
    <row r="4240" spans="1:7">
      <c r="A4240" s="2">
        <v>198</v>
      </c>
      <c r="B4240" s="2" t="s">
        <v>698</v>
      </c>
      <c r="C4240" s="2">
        <v>294</v>
      </c>
      <c r="D4240" s="2" t="s">
        <v>854</v>
      </c>
      <c r="E4240" s="2" t="s">
        <v>7620</v>
      </c>
      <c r="F4240" s="2" t="s">
        <v>7608</v>
      </c>
      <c r="G4240" s="2" t="s">
        <v>7621</v>
      </c>
    </row>
    <row r="4241" spans="1:7">
      <c r="A4241" s="3">
        <v>198</v>
      </c>
      <c r="B4241" s="3" t="s">
        <v>698</v>
      </c>
      <c r="C4241" s="3">
        <v>295</v>
      </c>
      <c r="D4241" s="3" t="s">
        <v>854</v>
      </c>
      <c r="E4241" s="3" t="s">
        <v>7620</v>
      </c>
      <c r="F4241" s="3" t="s">
        <v>7635</v>
      </c>
      <c r="G4241" s="3" t="s">
        <v>7622</v>
      </c>
    </row>
    <row r="4242" spans="1:7">
      <c r="A4242" s="2">
        <v>198</v>
      </c>
      <c r="B4242" s="2" t="s">
        <v>698</v>
      </c>
      <c r="C4242" s="2">
        <v>296</v>
      </c>
      <c r="D4242" s="2" t="s">
        <v>854</v>
      </c>
      <c r="E4242" s="2" t="s">
        <v>7620</v>
      </c>
      <c r="F4242" s="2" t="s">
        <v>7608</v>
      </c>
      <c r="G4242" s="2" t="s">
        <v>7621</v>
      </c>
    </row>
    <row r="4243" spans="1:7">
      <c r="A4243" s="3">
        <v>198</v>
      </c>
      <c r="B4243" s="3" t="s">
        <v>698</v>
      </c>
      <c r="C4243" s="3">
        <v>298</v>
      </c>
      <c r="D4243" s="3" t="s">
        <v>854</v>
      </c>
      <c r="E4243" s="3" t="s">
        <v>7620</v>
      </c>
      <c r="F4243" s="3" t="s">
        <v>7608</v>
      </c>
      <c r="G4243" s="3" t="s">
        <v>7625</v>
      </c>
    </row>
    <row r="4244" spans="1:7">
      <c r="A4244" s="2">
        <v>198</v>
      </c>
      <c r="B4244" s="2" t="s">
        <v>698</v>
      </c>
      <c r="C4244" s="2">
        <v>300</v>
      </c>
      <c r="D4244" s="2" t="s">
        <v>854</v>
      </c>
      <c r="E4244" s="2" t="s">
        <v>7620</v>
      </c>
      <c r="F4244" s="2" t="s">
        <v>7608</v>
      </c>
      <c r="G4244" s="2" t="s">
        <v>7621</v>
      </c>
    </row>
    <row r="4245" spans="1:7">
      <c r="A4245" s="3">
        <v>198</v>
      </c>
      <c r="B4245" s="3" t="s">
        <v>698</v>
      </c>
      <c r="C4245" s="3">
        <v>301</v>
      </c>
      <c r="D4245" s="3" t="s">
        <v>850</v>
      </c>
      <c r="E4245" s="3" t="s">
        <v>7620</v>
      </c>
      <c r="F4245" s="3" t="s">
        <v>7650</v>
      </c>
      <c r="G4245" s="3" t="s">
        <v>7621</v>
      </c>
    </row>
    <row r="4246" spans="1:7">
      <c r="A4246" s="2">
        <v>198</v>
      </c>
      <c r="B4246" s="2" t="s">
        <v>698</v>
      </c>
      <c r="C4246" s="2">
        <v>302</v>
      </c>
      <c r="D4246" s="2" t="s">
        <v>916</v>
      </c>
      <c r="E4246" s="2" t="s">
        <v>7620</v>
      </c>
      <c r="F4246" s="2" t="s">
        <v>7628</v>
      </c>
      <c r="G4246" s="2" t="s">
        <v>7609</v>
      </c>
    </row>
    <row r="4247" spans="1:7">
      <c r="A4247" s="3">
        <v>198</v>
      </c>
      <c r="B4247" s="3" t="s">
        <v>698</v>
      </c>
      <c r="C4247" s="3">
        <v>303</v>
      </c>
      <c r="D4247" s="3" t="s">
        <v>854</v>
      </c>
      <c r="E4247" s="3" t="s">
        <v>7620</v>
      </c>
      <c r="F4247" s="3" t="s">
        <v>7611</v>
      </c>
      <c r="G4247" s="3" t="s">
        <v>7633</v>
      </c>
    </row>
    <row r="4248" spans="1:7">
      <c r="A4248" s="2">
        <v>198</v>
      </c>
      <c r="B4248" s="2" t="s">
        <v>698</v>
      </c>
      <c r="C4248" s="2">
        <v>304</v>
      </c>
      <c r="D4248" s="2" t="s">
        <v>854</v>
      </c>
      <c r="E4248" s="2" t="s">
        <v>7620</v>
      </c>
      <c r="F4248" s="2" t="s">
        <v>7608</v>
      </c>
      <c r="G4248" s="2" t="s">
        <v>7625</v>
      </c>
    </row>
    <row r="4249" spans="1:7">
      <c r="A4249" s="3">
        <v>198</v>
      </c>
      <c r="B4249" s="3" t="s">
        <v>698</v>
      </c>
      <c r="C4249" s="3">
        <v>306</v>
      </c>
      <c r="D4249" s="3" t="s">
        <v>854</v>
      </c>
      <c r="E4249" s="3" t="s">
        <v>7620</v>
      </c>
      <c r="F4249" s="3" t="s">
        <v>7608</v>
      </c>
      <c r="G4249" s="3" t="s">
        <v>7625</v>
      </c>
    </row>
    <row r="4250" spans="1:7">
      <c r="A4250" s="2">
        <v>198</v>
      </c>
      <c r="B4250" s="2" t="s">
        <v>698</v>
      </c>
      <c r="C4250" s="2">
        <v>307</v>
      </c>
      <c r="D4250" s="2" t="s">
        <v>854</v>
      </c>
      <c r="E4250" s="2" t="s">
        <v>7620</v>
      </c>
      <c r="F4250" s="2" t="s">
        <v>7611</v>
      </c>
      <c r="G4250" s="2" t="s">
        <v>7622</v>
      </c>
    </row>
    <row r="4251" spans="1:7">
      <c r="A4251" s="3">
        <v>198</v>
      </c>
      <c r="B4251" s="3" t="s">
        <v>698</v>
      </c>
      <c r="C4251" s="3">
        <v>308</v>
      </c>
      <c r="D4251" s="3" t="s">
        <v>854</v>
      </c>
      <c r="E4251" s="3" t="s">
        <v>7620</v>
      </c>
      <c r="F4251" s="3" t="s">
        <v>7608</v>
      </c>
      <c r="G4251" s="3" t="s">
        <v>7621</v>
      </c>
    </row>
    <row r="4252" spans="1:7">
      <c r="A4252" s="2">
        <v>198</v>
      </c>
      <c r="B4252" s="2" t="s">
        <v>698</v>
      </c>
      <c r="C4252" s="2">
        <v>309</v>
      </c>
      <c r="D4252" s="2" t="s">
        <v>854</v>
      </c>
      <c r="E4252" s="2" t="s">
        <v>7620</v>
      </c>
      <c r="F4252" s="2" t="s">
        <v>7608</v>
      </c>
      <c r="G4252" s="2" t="s">
        <v>7625</v>
      </c>
    </row>
    <row r="4253" spans="1:7">
      <c r="A4253" s="3">
        <v>198</v>
      </c>
      <c r="B4253" s="3" t="s">
        <v>698</v>
      </c>
      <c r="C4253" s="3">
        <v>311</v>
      </c>
      <c r="D4253" s="3" t="s">
        <v>954</v>
      </c>
      <c r="E4253" s="3" t="s">
        <v>7635</v>
      </c>
      <c r="F4253" s="3" t="s">
        <v>7635</v>
      </c>
      <c r="G4253" s="3" t="s">
        <v>7633</v>
      </c>
    </row>
    <row r="4254" spans="1:7">
      <c r="A4254" s="2">
        <v>198</v>
      </c>
      <c r="B4254" s="2" t="s">
        <v>698</v>
      </c>
      <c r="C4254" s="2">
        <v>312</v>
      </c>
      <c r="D4254" s="2" t="s">
        <v>949</v>
      </c>
      <c r="E4254" s="2" t="s">
        <v>7635</v>
      </c>
      <c r="F4254" s="2" t="s">
        <v>7659</v>
      </c>
      <c r="G4254" s="2" t="s">
        <v>7619</v>
      </c>
    </row>
    <row r="4255" spans="1:7">
      <c r="A4255" s="3">
        <v>198</v>
      </c>
      <c r="B4255" s="3" t="s">
        <v>698</v>
      </c>
      <c r="C4255" s="3">
        <v>314</v>
      </c>
      <c r="D4255" s="3" t="s">
        <v>1050</v>
      </c>
      <c r="E4255" s="3" t="s">
        <v>7635</v>
      </c>
      <c r="F4255" s="3" t="s">
        <v>7652</v>
      </c>
      <c r="G4255" s="3" t="s">
        <v>7617</v>
      </c>
    </row>
    <row r="4256" spans="1:7">
      <c r="A4256" s="2">
        <v>198</v>
      </c>
      <c r="B4256" s="2" t="s">
        <v>698</v>
      </c>
      <c r="C4256" s="2">
        <v>316</v>
      </c>
      <c r="D4256" s="2" t="s">
        <v>1028</v>
      </c>
      <c r="E4256" s="2" t="s">
        <v>7620</v>
      </c>
      <c r="F4256" s="2" t="s">
        <v>7650</v>
      </c>
      <c r="G4256" s="2" t="s">
        <v>7622</v>
      </c>
    </row>
    <row r="4257" spans="1:7">
      <c r="A4257" s="3">
        <v>198</v>
      </c>
      <c r="B4257" s="3" t="s">
        <v>698</v>
      </c>
      <c r="C4257" s="3">
        <v>317</v>
      </c>
      <c r="D4257" s="3" t="s">
        <v>1030</v>
      </c>
      <c r="E4257" s="3" t="s">
        <v>7620</v>
      </c>
      <c r="F4257" s="3" t="s">
        <v>7611</v>
      </c>
      <c r="G4257" s="3" t="s">
        <v>7621</v>
      </c>
    </row>
    <row r="4258" spans="1:7">
      <c r="A4258" s="2">
        <v>198</v>
      </c>
      <c r="B4258" s="2" t="s">
        <v>698</v>
      </c>
      <c r="C4258" s="2">
        <v>318</v>
      </c>
      <c r="D4258" s="2" t="s">
        <v>1032</v>
      </c>
      <c r="E4258" s="2" t="s">
        <v>7620</v>
      </c>
      <c r="F4258" s="2" t="s">
        <v>7611</v>
      </c>
      <c r="G4258" s="2" t="s">
        <v>7622</v>
      </c>
    </row>
    <row r="4259" spans="1:7">
      <c r="A4259" s="3">
        <v>198</v>
      </c>
      <c r="B4259" s="3" t="s">
        <v>698</v>
      </c>
      <c r="C4259" s="3">
        <v>319</v>
      </c>
      <c r="D4259" s="3" t="s">
        <v>1035</v>
      </c>
      <c r="E4259" s="3" t="s">
        <v>7635</v>
      </c>
      <c r="F4259" s="3" t="s">
        <v>7628</v>
      </c>
      <c r="G4259" s="3" t="s">
        <v>7617</v>
      </c>
    </row>
    <row r="4260" spans="1:7">
      <c r="A4260" s="2">
        <v>198</v>
      </c>
      <c r="B4260" s="2" t="s">
        <v>698</v>
      </c>
      <c r="C4260" s="2">
        <v>320</v>
      </c>
      <c r="D4260" s="2" t="s">
        <v>1039</v>
      </c>
      <c r="E4260" s="2" t="s">
        <v>7743</v>
      </c>
      <c r="F4260" s="2" t="s">
        <v>7652</v>
      </c>
      <c r="G4260" s="2" t="s">
        <v>7612</v>
      </c>
    </row>
    <row r="4261" spans="1:7">
      <c r="A4261" s="3">
        <v>198</v>
      </c>
      <c r="B4261" s="3" t="s">
        <v>698</v>
      </c>
      <c r="C4261" s="3">
        <v>321</v>
      </c>
      <c r="D4261" s="3" t="s">
        <v>1048</v>
      </c>
      <c r="E4261" s="3" t="s">
        <v>7620</v>
      </c>
      <c r="F4261" s="3" t="s">
        <v>7649</v>
      </c>
      <c r="G4261" s="3" t="s">
        <v>7609</v>
      </c>
    </row>
    <row r="4262" spans="1:7">
      <c r="A4262" s="2">
        <v>198</v>
      </c>
      <c r="B4262" s="2" t="s">
        <v>698</v>
      </c>
      <c r="C4262" s="2">
        <v>322</v>
      </c>
      <c r="D4262" s="2" t="s">
        <v>1012</v>
      </c>
      <c r="E4262" s="2" t="s">
        <v>7743</v>
      </c>
      <c r="F4262" s="2" t="s">
        <v>7652</v>
      </c>
      <c r="G4262" s="2" t="s">
        <v>7641</v>
      </c>
    </row>
    <row r="4263" spans="1:7">
      <c r="A4263" s="3">
        <v>198</v>
      </c>
      <c r="B4263" s="3" t="s">
        <v>698</v>
      </c>
      <c r="C4263" s="3">
        <v>323</v>
      </c>
      <c r="D4263" s="3" t="s">
        <v>1016</v>
      </c>
      <c r="E4263" s="3" t="s">
        <v>7620</v>
      </c>
      <c r="F4263" s="3" t="s">
        <v>7649</v>
      </c>
      <c r="G4263" s="3" t="s">
        <v>7617</v>
      </c>
    </row>
    <row r="4264" spans="1:7">
      <c r="A4264" s="2">
        <v>198</v>
      </c>
      <c r="B4264" s="2" t="s">
        <v>698</v>
      </c>
      <c r="C4264" s="2">
        <v>325</v>
      </c>
      <c r="D4264" s="2" t="s">
        <v>1020</v>
      </c>
      <c r="E4264" s="2" t="s">
        <v>7620</v>
      </c>
      <c r="F4264" s="2" t="s">
        <v>7611</v>
      </c>
      <c r="G4264" s="2" t="s">
        <v>7633</v>
      </c>
    </row>
    <row r="4265" spans="1:7">
      <c r="A4265" s="3">
        <v>198</v>
      </c>
      <c r="B4265" s="3" t="s">
        <v>698</v>
      </c>
      <c r="C4265" s="3">
        <v>326</v>
      </c>
      <c r="D4265" s="3" t="s">
        <v>1022</v>
      </c>
      <c r="E4265" s="3" t="s">
        <v>7620</v>
      </c>
      <c r="F4265" s="3" t="s">
        <v>7628</v>
      </c>
      <c r="G4265" s="3" t="s">
        <v>7617</v>
      </c>
    </row>
    <row r="4266" spans="1:7">
      <c r="A4266" s="2">
        <v>198</v>
      </c>
      <c r="B4266" s="2" t="s">
        <v>698</v>
      </c>
      <c r="C4266" s="2">
        <v>327</v>
      </c>
      <c r="D4266" s="2" t="s">
        <v>1025</v>
      </c>
      <c r="E4266" s="2" t="s">
        <v>7620</v>
      </c>
      <c r="F4266" s="2" t="s">
        <v>7628</v>
      </c>
      <c r="G4266" s="2" t="s">
        <v>7633</v>
      </c>
    </row>
    <row r="4267" spans="1:7">
      <c r="A4267" s="3">
        <v>198</v>
      </c>
      <c r="B4267" s="3" t="s">
        <v>698</v>
      </c>
      <c r="C4267" s="3">
        <v>328</v>
      </c>
      <c r="D4267" s="3" t="s">
        <v>1026</v>
      </c>
      <c r="E4267" s="3" t="s">
        <v>7620</v>
      </c>
      <c r="F4267" s="3" t="s">
        <v>7649</v>
      </c>
      <c r="G4267" s="3" t="s">
        <v>7617</v>
      </c>
    </row>
    <row r="4268" spans="1:7">
      <c r="A4268" s="2">
        <v>198</v>
      </c>
      <c r="B4268" s="2" t="s">
        <v>698</v>
      </c>
      <c r="C4268" s="2">
        <v>329</v>
      </c>
      <c r="D4268" s="2" t="s">
        <v>965</v>
      </c>
      <c r="E4268" s="2" t="s">
        <v>7620</v>
      </c>
      <c r="F4268" s="2" t="s">
        <v>7649</v>
      </c>
      <c r="G4268" s="2" t="s">
        <v>7619</v>
      </c>
    </row>
    <row r="4269" spans="1:7">
      <c r="A4269" s="3">
        <v>198</v>
      </c>
      <c r="B4269" s="3" t="s">
        <v>698</v>
      </c>
      <c r="C4269" s="3">
        <v>330</v>
      </c>
      <c r="D4269" s="3" t="s">
        <v>974</v>
      </c>
      <c r="E4269" s="3" t="s">
        <v>7620</v>
      </c>
      <c r="F4269" s="3" t="s">
        <v>7652</v>
      </c>
      <c r="G4269" s="3" t="s">
        <v>7617</v>
      </c>
    </row>
    <row r="4270" spans="1:7">
      <c r="A4270" s="2">
        <v>198</v>
      </c>
      <c r="B4270" s="2" t="s">
        <v>698</v>
      </c>
      <c r="C4270" s="2">
        <v>333</v>
      </c>
      <c r="D4270" s="2" t="s">
        <v>989</v>
      </c>
      <c r="E4270" s="2" t="s">
        <v>7620</v>
      </c>
      <c r="F4270" s="2" t="s">
        <v>7649</v>
      </c>
      <c r="G4270" s="2" t="s">
        <v>7617</v>
      </c>
    </row>
    <row r="4271" spans="1:7">
      <c r="A4271" s="3">
        <v>198</v>
      </c>
      <c r="B4271" s="3" t="s">
        <v>698</v>
      </c>
      <c r="C4271" s="3">
        <v>334</v>
      </c>
      <c r="D4271" s="3" t="s">
        <v>970</v>
      </c>
      <c r="E4271" s="3" t="s">
        <v>7620</v>
      </c>
      <c r="F4271" s="3" t="s">
        <v>7659</v>
      </c>
      <c r="G4271" s="3" t="s">
        <v>7619</v>
      </c>
    </row>
    <row r="4272" spans="1:7">
      <c r="A4272" s="2">
        <v>198</v>
      </c>
      <c r="B4272" s="2" t="s">
        <v>698</v>
      </c>
      <c r="C4272" s="2">
        <v>335</v>
      </c>
      <c r="D4272" s="2" t="s">
        <v>1057</v>
      </c>
      <c r="E4272" s="2" t="s">
        <v>7620</v>
      </c>
      <c r="F4272" s="2" t="s">
        <v>7611</v>
      </c>
      <c r="G4272" s="2" t="s">
        <v>7621</v>
      </c>
    </row>
    <row r="4273" spans="1:7">
      <c r="A4273" s="3">
        <v>198</v>
      </c>
      <c r="B4273" s="3" t="s">
        <v>698</v>
      </c>
      <c r="C4273" s="3">
        <v>336</v>
      </c>
      <c r="D4273" s="3" t="s">
        <v>992</v>
      </c>
      <c r="E4273" s="3" t="s">
        <v>7620</v>
      </c>
      <c r="F4273" s="3" t="s">
        <v>7611</v>
      </c>
      <c r="G4273" s="3" t="s">
        <v>7621</v>
      </c>
    </row>
    <row r="4274" spans="1:7">
      <c r="A4274" s="2">
        <v>198</v>
      </c>
      <c r="B4274" s="2" t="s">
        <v>698</v>
      </c>
      <c r="C4274" s="2">
        <v>337</v>
      </c>
      <c r="D4274" s="2" t="s">
        <v>1042</v>
      </c>
      <c r="E4274" s="2" t="s">
        <v>7620</v>
      </c>
      <c r="F4274" s="2" t="s">
        <v>7649</v>
      </c>
      <c r="G4274" s="2" t="s">
        <v>7609</v>
      </c>
    </row>
    <row r="4275" spans="1:7">
      <c r="A4275" s="3">
        <v>198</v>
      </c>
      <c r="B4275" s="3" t="s">
        <v>698</v>
      </c>
      <c r="C4275" s="3">
        <v>338</v>
      </c>
      <c r="D4275" s="3" t="s">
        <v>996</v>
      </c>
      <c r="E4275" s="3" t="s">
        <v>7620</v>
      </c>
      <c r="F4275" s="3" t="s">
        <v>7649</v>
      </c>
      <c r="G4275" s="3" t="s">
        <v>7633</v>
      </c>
    </row>
    <row r="4276" spans="1:7">
      <c r="A4276" s="2">
        <v>198</v>
      </c>
      <c r="B4276" s="2" t="s">
        <v>698</v>
      </c>
      <c r="C4276" s="2">
        <v>339</v>
      </c>
      <c r="D4276" s="2" t="s">
        <v>1058</v>
      </c>
      <c r="E4276" s="2" t="s">
        <v>7620</v>
      </c>
      <c r="F4276" s="2" t="s">
        <v>7611</v>
      </c>
      <c r="G4276" s="2" t="s">
        <v>7621</v>
      </c>
    </row>
    <row r="4277" spans="1:7">
      <c r="A4277" s="3">
        <v>198</v>
      </c>
      <c r="B4277" s="3" t="s">
        <v>698</v>
      </c>
      <c r="C4277" s="3">
        <v>340</v>
      </c>
      <c r="D4277" s="3" t="s">
        <v>1000</v>
      </c>
      <c r="E4277" s="3" t="s">
        <v>7620</v>
      </c>
      <c r="F4277" s="3" t="s">
        <v>7650</v>
      </c>
      <c r="G4277" s="3" t="s">
        <v>7609</v>
      </c>
    </row>
    <row r="4278" spans="1:7">
      <c r="A4278" s="2">
        <v>198</v>
      </c>
      <c r="B4278" s="2" t="s">
        <v>698</v>
      </c>
      <c r="C4278" s="2">
        <v>341</v>
      </c>
      <c r="D4278" s="2" t="s">
        <v>1052</v>
      </c>
      <c r="E4278" s="2" t="s">
        <v>7620</v>
      </c>
      <c r="F4278" s="2" t="s">
        <v>7649</v>
      </c>
      <c r="G4278" s="2" t="s">
        <v>7609</v>
      </c>
    </row>
    <row r="4279" spans="1:7">
      <c r="A4279" s="3">
        <v>198</v>
      </c>
      <c r="B4279" s="3" t="s">
        <v>698</v>
      </c>
      <c r="C4279" s="3">
        <v>342</v>
      </c>
      <c r="D4279" s="3" t="s">
        <v>854</v>
      </c>
      <c r="E4279" s="3" t="s">
        <v>7620</v>
      </c>
      <c r="F4279" s="3" t="s">
        <v>7608</v>
      </c>
      <c r="G4279" s="3" t="s">
        <v>7625</v>
      </c>
    </row>
    <row r="4280" spans="1:7">
      <c r="A4280" s="2">
        <v>198</v>
      </c>
      <c r="B4280" s="2" t="s">
        <v>698</v>
      </c>
      <c r="C4280" s="2">
        <v>343</v>
      </c>
      <c r="D4280" s="2" t="s">
        <v>977</v>
      </c>
      <c r="E4280" s="2" t="s">
        <v>7747</v>
      </c>
      <c r="F4280" s="2" t="s">
        <v>7659</v>
      </c>
      <c r="G4280" s="2" t="s">
        <v>7614</v>
      </c>
    </row>
    <row r="4281" spans="1:7">
      <c r="A4281" s="3">
        <v>198</v>
      </c>
      <c r="B4281" s="3" t="s">
        <v>698</v>
      </c>
      <c r="C4281" s="3">
        <v>402</v>
      </c>
      <c r="D4281" s="3" t="s">
        <v>1120</v>
      </c>
      <c r="E4281" s="3" t="s">
        <v>7608</v>
      </c>
      <c r="F4281" s="3" t="s">
        <v>7649</v>
      </c>
      <c r="G4281" s="3" t="s">
        <v>7622</v>
      </c>
    </row>
    <row r="4282" spans="1:7">
      <c r="A4282" s="2">
        <v>198</v>
      </c>
      <c r="B4282" s="2" t="s">
        <v>698</v>
      </c>
      <c r="C4282" s="2">
        <v>405</v>
      </c>
      <c r="D4282" s="2" t="s">
        <v>1110</v>
      </c>
      <c r="E4282" s="2" t="s">
        <v>7620</v>
      </c>
      <c r="F4282" s="2" t="s">
        <v>7611</v>
      </c>
      <c r="G4282" s="2" t="s">
        <v>7622</v>
      </c>
    </row>
    <row r="4283" spans="1:7">
      <c r="A4283" s="3">
        <v>198</v>
      </c>
      <c r="B4283" s="3" t="s">
        <v>698</v>
      </c>
      <c r="C4283" s="3">
        <v>406</v>
      </c>
      <c r="D4283" s="3" t="s">
        <v>1114</v>
      </c>
      <c r="E4283" s="3" t="s">
        <v>7620</v>
      </c>
      <c r="F4283" s="3" t="s">
        <v>7628</v>
      </c>
      <c r="G4283" s="3" t="s">
        <v>7617</v>
      </c>
    </row>
    <row r="4284" spans="1:7">
      <c r="A4284" s="2">
        <v>198</v>
      </c>
      <c r="B4284" s="2" t="s">
        <v>698</v>
      </c>
      <c r="C4284" s="2">
        <v>409</v>
      </c>
      <c r="D4284" s="2" t="s">
        <v>1126</v>
      </c>
      <c r="E4284" s="2" t="s">
        <v>7620</v>
      </c>
      <c r="F4284" s="2" t="s">
        <v>7611</v>
      </c>
      <c r="G4284" s="2" t="s">
        <v>7621</v>
      </c>
    </row>
    <row r="4285" spans="1:7">
      <c r="A4285" s="3">
        <v>198</v>
      </c>
      <c r="B4285" s="3" t="s">
        <v>698</v>
      </c>
      <c r="C4285" s="3">
        <v>410</v>
      </c>
      <c r="D4285" s="3" t="s">
        <v>1123</v>
      </c>
      <c r="E4285" s="3" t="s">
        <v>7620</v>
      </c>
      <c r="F4285" s="3" t="s">
        <v>7611</v>
      </c>
      <c r="G4285" s="3" t="s">
        <v>7625</v>
      </c>
    </row>
    <row r="4286" spans="1:7">
      <c r="A4286" s="2">
        <v>199</v>
      </c>
      <c r="B4286" s="2" t="s">
        <v>702</v>
      </c>
      <c r="C4286" s="2">
        <v>200</v>
      </c>
      <c r="D4286" s="2" t="s">
        <v>707</v>
      </c>
      <c r="E4286" s="2" t="s">
        <v>7748</v>
      </c>
      <c r="F4286" s="2" t="s">
        <v>7659</v>
      </c>
      <c r="G4286" s="2" t="s">
        <v>7612</v>
      </c>
    </row>
    <row r="4287" spans="1:7">
      <c r="A4287" s="3">
        <v>199</v>
      </c>
      <c r="B4287" s="3" t="s">
        <v>702</v>
      </c>
      <c r="C4287" s="3">
        <v>201</v>
      </c>
      <c r="D4287" s="3" t="s">
        <v>695</v>
      </c>
      <c r="E4287" s="3" t="s">
        <v>7746</v>
      </c>
      <c r="F4287" s="3" t="s">
        <v>7659</v>
      </c>
      <c r="G4287" s="3" t="s">
        <v>7624</v>
      </c>
    </row>
    <row r="4288" spans="1:7">
      <c r="A4288" s="2">
        <v>199</v>
      </c>
      <c r="B4288" s="2" t="s">
        <v>702</v>
      </c>
      <c r="C4288" s="2">
        <v>202</v>
      </c>
      <c r="D4288" s="2" t="s">
        <v>712</v>
      </c>
      <c r="E4288" s="2" t="s">
        <v>7635</v>
      </c>
      <c r="F4288" s="2" t="s">
        <v>7678</v>
      </c>
      <c r="G4288" s="2" t="s">
        <v>7609</v>
      </c>
    </row>
    <row r="4289" spans="1:7">
      <c r="A4289" s="3">
        <v>199</v>
      </c>
      <c r="B4289" s="3" t="s">
        <v>702</v>
      </c>
      <c r="C4289" s="3">
        <v>203</v>
      </c>
      <c r="D4289" s="3" t="s">
        <v>681</v>
      </c>
      <c r="E4289" s="3" t="s">
        <v>7635</v>
      </c>
      <c r="F4289" s="3" t="s">
        <v>7652</v>
      </c>
      <c r="G4289" s="3" t="s">
        <v>7609</v>
      </c>
    </row>
    <row r="4290" spans="1:7">
      <c r="A4290" s="2">
        <v>199</v>
      </c>
      <c r="B4290" s="2" t="s">
        <v>702</v>
      </c>
      <c r="C4290" s="2">
        <v>204</v>
      </c>
      <c r="D4290" s="2" t="s">
        <v>685</v>
      </c>
      <c r="E4290" s="2" t="s">
        <v>7635</v>
      </c>
      <c r="F4290" s="2" t="s">
        <v>7659</v>
      </c>
      <c r="G4290" s="2" t="s">
        <v>7617</v>
      </c>
    </row>
    <row r="4291" spans="1:7">
      <c r="A4291" s="3">
        <v>199</v>
      </c>
      <c r="B4291" s="3" t="s">
        <v>702</v>
      </c>
      <c r="C4291" s="3">
        <v>205</v>
      </c>
      <c r="D4291" s="3" t="s">
        <v>746</v>
      </c>
      <c r="E4291" s="3" t="s">
        <v>7694</v>
      </c>
      <c r="F4291" s="3" t="s">
        <v>7695</v>
      </c>
      <c r="G4291" s="3" t="s">
        <v>7624</v>
      </c>
    </row>
    <row r="4292" spans="1:7">
      <c r="A4292" s="2">
        <v>199</v>
      </c>
      <c r="B4292" s="2" t="s">
        <v>702</v>
      </c>
      <c r="C4292" s="2">
        <v>206</v>
      </c>
      <c r="D4292" s="2" t="s">
        <v>723</v>
      </c>
      <c r="E4292" s="2" t="s">
        <v>7635</v>
      </c>
      <c r="F4292" s="2" t="s">
        <v>7677</v>
      </c>
      <c r="G4292" s="2" t="s">
        <v>7622</v>
      </c>
    </row>
    <row r="4293" spans="1:7">
      <c r="A4293" s="3">
        <v>199</v>
      </c>
      <c r="B4293" s="3" t="s">
        <v>702</v>
      </c>
      <c r="C4293" s="3">
        <v>207</v>
      </c>
      <c r="D4293" s="3" t="s">
        <v>749</v>
      </c>
      <c r="E4293" s="3" t="s">
        <v>7693</v>
      </c>
      <c r="F4293" s="3" t="s">
        <v>7611</v>
      </c>
      <c r="G4293" s="3" t="s">
        <v>7639</v>
      </c>
    </row>
    <row r="4294" spans="1:7">
      <c r="A4294" s="2">
        <v>199</v>
      </c>
      <c r="B4294" s="2" t="s">
        <v>702</v>
      </c>
      <c r="C4294" s="2">
        <v>208</v>
      </c>
      <c r="D4294" s="2" t="s">
        <v>754</v>
      </c>
      <c r="E4294" s="2" t="s">
        <v>7694</v>
      </c>
      <c r="F4294" s="2" t="s">
        <v>7695</v>
      </c>
      <c r="G4294" s="2" t="s">
        <v>7624</v>
      </c>
    </row>
    <row r="4295" spans="1:7">
      <c r="A4295" s="3">
        <v>199</v>
      </c>
      <c r="B4295" s="3" t="s">
        <v>702</v>
      </c>
      <c r="C4295" s="3">
        <v>209</v>
      </c>
      <c r="D4295" s="3" t="s">
        <v>758</v>
      </c>
      <c r="E4295" s="3" t="s">
        <v>7673</v>
      </c>
      <c r="F4295" s="3" t="s">
        <v>7678</v>
      </c>
      <c r="G4295" s="3" t="s">
        <v>7637</v>
      </c>
    </row>
    <row r="4296" spans="1:7">
      <c r="A4296" s="2">
        <v>199</v>
      </c>
      <c r="B4296" s="2" t="s">
        <v>702</v>
      </c>
      <c r="C4296" s="2">
        <v>214</v>
      </c>
      <c r="D4296" s="2" t="s">
        <v>870</v>
      </c>
      <c r="E4296" s="2" t="s">
        <v>7620</v>
      </c>
      <c r="F4296" s="2" t="s">
        <v>7611</v>
      </c>
      <c r="G4296" s="2" t="s">
        <v>7621</v>
      </c>
    </row>
    <row r="4297" spans="1:7">
      <c r="A4297" s="3">
        <v>199</v>
      </c>
      <c r="B4297" s="3" t="s">
        <v>702</v>
      </c>
      <c r="C4297" s="3">
        <v>215</v>
      </c>
      <c r="D4297" s="3" t="s">
        <v>844</v>
      </c>
      <c r="E4297" s="3" t="s">
        <v>7630</v>
      </c>
      <c r="F4297" s="3" t="s">
        <v>7649</v>
      </c>
      <c r="G4297" s="3" t="s">
        <v>7634</v>
      </c>
    </row>
    <row r="4298" spans="1:7">
      <c r="A4298" s="2">
        <v>199</v>
      </c>
      <c r="B4298" s="2" t="s">
        <v>702</v>
      </c>
      <c r="C4298" s="2">
        <v>216</v>
      </c>
      <c r="D4298" s="2"/>
      <c r="E4298" s="2" t="s">
        <v>7630</v>
      </c>
      <c r="F4298" s="2" t="s">
        <v>7611</v>
      </c>
      <c r="G4298" s="2" t="s">
        <v>7617</v>
      </c>
    </row>
    <row r="4299" spans="1:7">
      <c r="A4299" s="3">
        <v>199</v>
      </c>
      <c r="B4299" s="3" t="s">
        <v>702</v>
      </c>
      <c r="C4299" s="3">
        <v>217</v>
      </c>
      <c r="D4299" s="3" t="s">
        <v>795</v>
      </c>
      <c r="E4299" s="3" t="s">
        <v>7618</v>
      </c>
      <c r="F4299" s="3" t="s">
        <v>7649</v>
      </c>
      <c r="G4299" s="3" t="s">
        <v>7634</v>
      </c>
    </row>
    <row r="4300" spans="1:7">
      <c r="A4300" s="2">
        <v>199</v>
      </c>
      <c r="B4300" s="2" t="s">
        <v>702</v>
      </c>
      <c r="C4300" s="2">
        <v>218</v>
      </c>
      <c r="D4300" s="2" t="s">
        <v>789</v>
      </c>
      <c r="E4300" s="2" t="s">
        <v>7630</v>
      </c>
      <c r="F4300" s="2" t="s">
        <v>7611</v>
      </c>
      <c r="G4300" s="2" t="s">
        <v>7617</v>
      </c>
    </row>
    <row r="4301" spans="1:7">
      <c r="A4301" s="3">
        <v>199</v>
      </c>
      <c r="B4301" s="3" t="s">
        <v>702</v>
      </c>
      <c r="C4301" s="3">
        <v>219</v>
      </c>
      <c r="D4301" s="3" t="s">
        <v>822</v>
      </c>
      <c r="E4301" s="3" t="s">
        <v>7618</v>
      </c>
      <c r="F4301" s="3" t="s">
        <v>7659</v>
      </c>
      <c r="G4301" s="3" t="s">
        <v>7639</v>
      </c>
    </row>
    <row r="4302" spans="1:7">
      <c r="A4302" s="2">
        <v>199</v>
      </c>
      <c r="B4302" s="2" t="s">
        <v>702</v>
      </c>
      <c r="C4302" s="2">
        <v>220</v>
      </c>
      <c r="D4302" s="2" t="s">
        <v>810</v>
      </c>
      <c r="E4302" s="2" t="s">
        <v>7618</v>
      </c>
      <c r="F4302" s="2" t="s">
        <v>7659</v>
      </c>
      <c r="G4302" s="2" t="s">
        <v>7634</v>
      </c>
    </row>
    <row r="4303" spans="1:7">
      <c r="A4303" s="3">
        <v>199</v>
      </c>
      <c r="B4303" s="3" t="s">
        <v>702</v>
      </c>
      <c r="C4303" s="3">
        <v>221</v>
      </c>
      <c r="D4303" s="3" t="s">
        <v>813</v>
      </c>
      <c r="E4303" s="3" t="s">
        <v>7618</v>
      </c>
      <c r="F4303" s="3" t="s">
        <v>7649</v>
      </c>
      <c r="G4303" s="3" t="s">
        <v>7634</v>
      </c>
    </row>
    <row r="4304" spans="1:7">
      <c r="A4304" s="2">
        <v>199</v>
      </c>
      <c r="B4304" s="2" t="s">
        <v>702</v>
      </c>
      <c r="C4304" s="2">
        <v>222</v>
      </c>
      <c r="D4304" s="2" t="s">
        <v>864</v>
      </c>
      <c r="E4304" s="2" t="s">
        <v>7620</v>
      </c>
      <c r="F4304" s="2" t="s">
        <v>7611</v>
      </c>
      <c r="G4304" s="2" t="s">
        <v>7633</v>
      </c>
    </row>
    <row r="4305" spans="1:7">
      <c r="A4305" s="3">
        <v>199</v>
      </c>
      <c r="B4305" s="3" t="s">
        <v>702</v>
      </c>
      <c r="C4305" s="3">
        <v>230</v>
      </c>
      <c r="D4305" s="3" t="s">
        <v>920</v>
      </c>
      <c r="E4305" s="3" t="s">
        <v>7654</v>
      </c>
      <c r="F4305" s="3" t="s">
        <v>7650</v>
      </c>
      <c r="G4305" s="3" t="s">
        <v>7636</v>
      </c>
    </row>
    <row r="4306" spans="1:7">
      <c r="A4306" s="2">
        <v>199</v>
      </c>
      <c r="B4306" s="2" t="s">
        <v>702</v>
      </c>
      <c r="C4306" s="2">
        <v>231</v>
      </c>
      <c r="D4306" s="2" t="s">
        <v>923</v>
      </c>
      <c r="E4306" s="2" t="s">
        <v>7618</v>
      </c>
      <c r="F4306" s="2" t="s">
        <v>7611</v>
      </c>
      <c r="G4306" s="2" t="s">
        <v>7617</v>
      </c>
    </row>
    <row r="4307" spans="1:7">
      <c r="A4307" s="3">
        <v>199</v>
      </c>
      <c r="B4307" s="3" t="s">
        <v>702</v>
      </c>
      <c r="C4307" s="3">
        <v>232</v>
      </c>
      <c r="D4307" s="3" t="s">
        <v>933</v>
      </c>
      <c r="E4307" s="3" t="s">
        <v>7618</v>
      </c>
      <c r="F4307" s="3" t="s">
        <v>7608</v>
      </c>
      <c r="G4307" s="3" t="s">
        <v>7609</v>
      </c>
    </row>
    <row r="4308" spans="1:7">
      <c r="A4308" s="2">
        <v>199</v>
      </c>
      <c r="B4308" s="2" t="s">
        <v>702</v>
      </c>
      <c r="C4308" s="2">
        <v>233</v>
      </c>
      <c r="D4308" s="2" t="s">
        <v>937</v>
      </c>
      <c r="E4308" s="2" t="s">
        <v>7620</v>
      </c>
      <c r="F4308" s="2" t="s">
        <v>7611</v>
      </c>
      <c r="G4308" s="2" t="s">
        <v>7625</v>
      </c>
    </row>
    <row r="4309" spans="1:7">
      <c r="A4309" s="3">
        <v>199</v>
      </c>
      <c r="B4309" s="3" t="s">
        <v>702</v>
      </c>
      <c r="C4309" s="3">
        <v>234</v>
      </c>
      <c r="D4309" s="3" t="s">
        <v>936</v>
      </c>
      <c r="E4309" s="3" t="s">
        <v>7654</v>
      </c>
      <c r="F4309" s="3" t="s">
        <v>7608</v>
      </c>
      <c r="G4309" s="3" t="s">
        <v>7633</v>
      </c>
    </row>
    <row r="4310" spans="1:7">
      <c r="A4310" s="2">
        <v>199</v>
      </c>
      <c r="B4310" s="2" t="s">
        <v>702</v>
      </c>
      <c r="C4310" s="2">
        <v>236</v>
      </c>
      <c r="D4310" s="2" t="s">
        <v>928</v>
      </c>
      <c r="E4310" s="2" t="s">
        <v>7654</v>
      </c>
      <c r="F4310" s="2" t="s">
        <v>7608</v>
      </c>
      <c r="G4310" s="2" t="s">
        <v>7633</v>
      </c>
    </row>
    <row r="4311" spans="1:7">
      <c r="A4311" s="3">
        <v>199</v>
      </c>
      <c r="B4311" s="3" t="s">
        <v>702</v>
      </c>
      <c r="C4311" s="3">
        <v>243</v>
      </c>
      <c r="D4311" s="3" t="s">
        <v>941</v>
      </c>
      <c r="E4311" s="3" t="s">
        <v>7618</v>
      </c>
      <c r="F4311" s="3" t="s">
        <v>7608</v>
      </c>
      <c r="G4311" s="3" t="s">
        <v>7633</v>
      </c>
    </row>
    <row r="4312" spans="1:7">
      <c r="A4312" s="2">
        <v>199</v>
      </c>
      <c r="B4312" s="2" t="s">
        <v>702</v>
      </c>
      <c r="C4312" s="2">
        <v>246</v>
      </c>
      <c r="D4312" s="2" t="s">
        <v>897</v>
      </c>
      <c r="E4312" s="2" t="s">
        <v>7620</v>
      </c>
      <c r="F4312" s="2" t="s">
        <v>7702</v>
      </c>
      <c r="G4312" s="2" t="s">
        <v>7625</v>
      </c>
    </row>
    <row r="4313" spans="1:7">
      <c r="A4313" s="3">
        <v>199</v>
      </c>
      <c r="B4313" s="3" t="s">
        <v>702</v>
      </c>
      <c r="C4313" s="3">
        <v>251</v>
      </c>
      <c r="D4313" s="3" t="s">
        <v>819</v>
      </c>
      <c r="E4313" s="3" t="s">
        <v>7620</v>
      </c>
      <c r="F4313" s="3" t="s">
        <v>7611</v>
      </c>
      <c r="G4313" s="3" t="s">
        <v>7625</v>
      </c>
    </row>
    <row r="4314" spans="1:7">
      <c r="A4314" s="2">
        <v>199</v>
      </c>
      <c r="B4314" s="2" t="s">
        <v>702</v>
      </c>
      <c r="C4314" s="2">
        <v>254</v>
      </c>
      <c r="D4314" s="2" t="s">
        <v>837</v>
      </c>
      <c r="E4314" s="2" t="s">
        <v>7630</v>
      </c>
      <c r="F4314" s="2" t="s">
        <v>7649</v>
      </c>
      <c r="G4314" s="2" t="s">
        <v>7619</v>
      </c>
    </row>
    <row r="4315" spans="1:7">
      <c r="A4315" s="3">
        <v>199</v>
      </c>
      <c r="B4315" s="3" t="s">
        <v>702</v>
      </c>
      <c r="C4315" s="3">
        <v>256</v>
      </c>
      <c r="D4315" s="3" t="s">
        <v>785</v>
      </c>
      <c r="E4315" s="3" t="s">
        <v>7618</v>
      </c>
      <c r="F4315" s="3" t="s">
        <v>7611</v>
      </c>
      <c r="G4315" s="3" t="s">
        <v>7636</v>
      </c>
    </row>
    <row r="4316" spans="1:7">
      <c r="A4316" s="2">
        <v>199</v>
      </c>
      <c r="B4316" s="2" t="s">
        <v>702</v>
      </c>
      <c r="C4316" s="2">
        <v>257</v>
      </c>
      <c r="D4316" s="2" t="s">
        <v>876</v>
      </c>
      <c r="E4316" s="2" t="s">
        <v>7620</v>
      </c>
      <c r="F4316" s="2" t="s">
        <v>7611</v>
      </c>
      <c r="G4316" s="2" t="s">
        <v>7625</v>
      </c>
    </row>
    <row r="4317" spans="1:7">
      <c r="A4317" s="3">
        <v>199</v>
      </c>
      <c r="B4317" s="3" t="s">
        <v>702</v>
      </c>
      <c r="C4317" s="3">
        <v>258</v>
      </c>
      <c r="D4317" s="3" t="s">
        <v>882</v>
      </c>
      <c r="E4317" s="3" t="s">
        <v>7618</v>
      </c>
      <c r="F4317" s="3" t="s">
        <v>7608</v>
      </c>
      <c r="G4317" s="3" t="s">
        <v>7609</v>
      </c>
    </row>
    <row r="4318" spans="1:7">
      <c r="A4318" s="2">
        <v>199</v>
      </c>
      <c r="B4318" s="2" t="s">
        <v>702</v>
      </c>
      <c r="C4318" s="2">
        <v>262</v>
      </c>
      <c r="D4318" s="2" t="s">
        <v>355</v>
      </c>
      <c r="E4318" s="2" t="s">
        <v>7630</v>
      </c>
      <c r="F4318" s="2" t="s">
        <v>7611</v>
      </c>
      <c r="G4318" s="2" t="s">
        <v>7636</v>
      </c>
    </row>
    <row r="4319" spans="1:7">
      <c r="A4319" s="3">
        <v>199</v>
      </c>
      <c r="B4319" s="3" t="s">
        <v>702</v>
      </c>
      <c r="C4319" s="3">
        <v>264</v>
      </c>
      <c r="D4319" s="3" t="s">
        <v>775</v>
      </c>
      <c r="E4319" s="3" t="s">
        <v>7693</v>
      </c>
      <c r="F4319" s="3" t="s">
        <v>7659</v>
      </c>
      <c r="G4319" s="3" t="s">
        <v>7626</v>
      </c>
    </row>
    <row r="4320" spans="1:7">
      <c r="A4320" s="2">
        <v>199</v>
      </c>
      <c r="B4320" s="2" t="s">
        <v>702</v>
      </c>
      <c r="C4320" s="2">
        <v>265</v>
      </c>
      <c r="D4320" s="2" t="s">
        <v>860</v>
      </c>
      <c r="E4320" s="2" t="s">
        <v>7620</v>
      </c>
      <c r="F4320" s="2" t="s">
        <v>7611</v>
      </c>
      <c r="G4320" s="2" t="s">
        <v>7621</v>
      </c>
    </row>
    <row r="4321" spans="1:7">
      <c r="A4321" s="3">
        <v>199</v>
      </c>
      <c r="B4321" s="3" t="s">
        <v>702</v>
      </c>
      <c r="C4321" s="3">
        <v>266</v>
      </c>
      <c r="D4321" s="3" t="s">
        <v>826</v>
      </c>
      <c r="E4321" s="3" t="s">
        <v>7618</v>
      </c>
      <c r="F4321" s="3" t="s">
        <v>7659</v>
      </c>
      <c r="G4321" s="3" t="s">
        <v>7639</v>
      </c>
    </row>
    <row r="4322" spans="1:7">
      <c r="A4322" s="2">
        <v>199</v>
      </c>
      <c r="B4322" s="2" t="s">
        <v>702</v>
      </c>
      <c r="C4322" s="2">
        <v>267</v>
      </c>
      <c r="D4322" s="2" t="s">
        <v>801</v>
      </c>
      <c r="E4322" s="2" t="s">
        <v>7660</v>
      </c>
      <c r="F4322" s="2" t="s">
        <v>7649</v>
      </c>
      <c r="G4322" s="2" t="s">
        <v>7641</v>
      </c>
    </row>
    <row r="4323" spans="1:7">
      <c r="A4323" s="3">
        <v>199</v>
      </c>
      <c r="B4323" s="3" t="s">
        <v>702</v>
      </c>
      <c r="C4323" s="3">
        <v>268</v>
      </c>
      <c r="D4323" s="3" t="s">
        <v>934</v>
      </c>
      <c r="E4323" s="3" t="s">
        <v>7620</v>
      </c>
      <c r="F4323" s="3" t="s">
        <v>7608</v>
      </c>
      <c r="G4323" s="3" t="s">
        <v>7625</v>
      </c>
    </row>
    <row r="4324" spans="1:7">
      <c r="A4324" s="2">
        <v>199</v>
      </c>
      <c r="B4324" s="2" t="s">
        <v>702</v>
      </c>
      <c r="C4324" s="2">
        <v>269</v>
      </c>
      <c r="D4324" s="2" t="s">
        <v>825</v>
      </c>
      <c r="E4324" s="2" t="s">
        <v>7660</v>
      </c>
      <c r="F4324" s="2" t="s">
        <v>7649</v>
      </c>
      <c r="G4324" s="2" t="s">
        <v>7644</v>
      </c>
    </row>
    <row r="4325" spans="1:7">
      <c r="A4325" s="3">
        <v>199</v>
      </c>
      <c r="B4325" s="3" t="s">
        <v>702</v>
      </c>
      <c r="C4325" s="3">
        <v>270</v>
      </c>
      <c r="D4325" s="3" t="s">
        <v>769</v>
      </c>
      <c r="E4325" s="3" t="s">
        <v>7620</v>
      </c>
      <c r="F4325" s="3" t="s">
        <v>7611</v>
      </c>
      <c r="G4325" s="3" t="s">
        <v>7622</v>
      </c>
    </row>
    <row r="4326" spans="1:7">
      <c r="A4326" s="2">
        <v>199</v>
      </c>
      <c r="B4326" s="2" t="s">
        <v>702</v>
      </c>
      <c r="C4326" s="2">
        <v>272</v>
      </c>
      <c r="D4326" s="2" t="s">
        <v>873</v>
      </c>
      <c r="E4326" s="2" t="s">
        <v>7618</v>
      </c>
      <c r="F4326" s="2" t="s">
        <v>7628</v>
      </c>
      <c r="G4326" s="2" t="s">
        <v>7619</v>
      </c>
    </row>
    <row r="4327" spans="1:7">
      <c r="A4327" s="3">
        <v>199</v>
      </c>
      <c r="B4327" s="3" t="s">
        <v>702</v>
      </c>
      <c r="C4327" s="3">
        <v>273</v>
      </c>
      <c r="D4327" s="3" t="s">
        <v>816</v>
      </c>
      <c r="E4327" s="3" t="s">
        <v>7654</v>
      </c>
      <c r="F4327" s="3" t="s">
        <v>7650</v>
      </c>
      <c r="G4327" s="3" t="s">
        <v>7619</v>
      </c>
    </row>
    <row r="4328" spans="1:7">
      <c r="A4328" s="2">
        <v>199</v>
      </c>
      <c r="B4328" s="2" t="s">
        <v>702</v>
      </c>
      <c r="C4328" s="2">
        <v>275</v>
      </c>
      <c r="D4328" s="2" t="s">
        <v>781</v>
      </c>
      <c r="E4328" s="2" t="s">
        <v>7630</v>
      </c>
      <c r="F4328" s="2" t="s">
        <v>7649</v>
      </c>
      <c r="G4328" s="2" t="s">
        <v>7634</v>
      </c>
    </row>
    <row r="4329" spans="1:7">
      <c r="A4329" s="3">
        <v>199</v>
      </c>
      <c r="B4329" s="3" t="s">
        <v>702</v>
      </c>
      <c r="C4329" s="3">
        <v>276</v>
      </c>
      <c r="D4329" s="3" t="s">
        <v>842</v>
      </c>
      <c r="E4329" s="3" t="s">
        <v>7618</v>
      </c>
      <c r="F4329" s="3" t="s">
        <v>7611</v>
      </c>
      <c r="G4329" s="3" t="s">
        <v>7634</v>
      </c>
    </row>
    <row r="4330" spans="1:7">
      <c r="A4330" s="2">
        <v>199</v>
      </c>
      <c r="B4330" s="2" t="s">
        <v>702</v>
      </c>
      <c r="C4330" s="2">
        <v>277</v>
      </c>
      <c r="D4330" s="2" t="s">
        <v>796</v>
      </c>
      <c r="E4330" s="2" t="s">
        <v>7620</v>
      </c>
      <c r="F4330" s="2" t="s">
        <v>7650</v>
      </c>
      <c r="G4330" s="2" t="s">
        <v>7625</v>
      </c>
    </row>
    <row r="4331" spans="1:7">
      <c r="A4331" s="3">
        <v>199</v>
      </c>
      <c r="B4331" s="3" t="s">
        <v>702</v>
      </c>
      <c r="C4331" s="3">
        <v>278</v>
      </c>
      <c r="D4331" s="3" t="s">
        <v>800</v>
      </c>
      <c r="E4331" s="3" t="s">
        <v>7653</v>
      </c>
      <c r="F4331" s="3" t="s">
        <v>7650</v>
      </c>
      <c r="G4331" s="3" t="s">
        <v>7622</v>
      </c>
    </row>
    <row r="4332" spans="1:7">
      <c r="A4332" s="2">
        <v>199</v>
      </c>
      <c r="B4332" s="2" t="s">
        <v>702</v>
      </c>
      <c r="C4332" s="2">
        <v>280</v>
      </c>
      <c r="D4332" s="2" t="s">
        <v>847</v>
      </c>
      <c r="E4332" s="2" t="s">
        <v>7645</v>
      </c>
      <c r="F4332" s="2" t="s">
        <v>7611</v>
      </c>
      <c r="G4332" s="2" t="s">
        <v>7621</v>
      </c>
    </row>
    <row r="4333" spans="1:7">
      <c r="A4333" s="3">
        <v>199</v>
      </c>
      <c r="B4333" s="3" t="s">
        <v>702</v>
      </c>
      <c r="C4333" s="3">
        <v>281</v>
      </c>
      <c r="D4333" s="3" t="s">
        <v>856</v>
      </c>
      <c r="E4333" s="3" t="s">
        <v>7660</v>
      </c>
      <c r="F4333" s="3" t="s">
        <v>7659</v>
      </c>
      <c r="G4333" s="3" t="s">
        <v>7626</v>
      </c>
    </row>
    <row r="4334" spans="1:7">
      <c r="A4334" s="2">
        <v>199</v>
      </c>
      <c r="B4334" s="2" t="s">
        <v>702</v>
      </c>
      <c r="C4334" s="2">
        <v>282</v>
      </c>
      <c r="D4334" s="2" t="s">
        <v>885</v>
      </c>
      <c r="E4334" s="2" t="s">
        <v>7630</v>
      </c>
      <c r="F4334" s="2" t="s">
        <v>7649</v>
      </c>
      <c r="G4334" s="2" t="s">
        <v>7619</v>
      </c>
    </row>
    <row r="4335" spans="1:7">
      <c r="A4335" s="3">
        <v>199</v>
      </c>
      <c r="B4335" s="3" t="s">
        <v>702</v>
      </c>
      <c r="C4335" s="3">
        <v>284</v>
      </c>
      <c r="D4335" s="3" t="s">
        <v>854</v>
      </c>
      <c r="E4335" s="3" t="s">
        <v>7618</v>
      </c>
      <c r="F4335" s="3" t="s">
        <v>7628</v>
      </c>
      <c r="G4335" s="3" t="s">
        <v>7634</v>
      </c>
    </row>
    <row r="4336" spans="1:7">
      <c r="A4336" s="2">
        <v>199</v>
      </c>
      <c r="B4336" s="2" t="s">
        <v>702</v>
      </c>
      <c r="C4336" s="2">
        <v>285</v>
      </c>
      <c r="D4336" s="2" t="s">
        <v>854</v>
      </c>
      <c r="E4336" s="2" t="s">
        <v>7654</v>
      </c>
      <c r="F4336" s="2" t="s">
        <v>7611</v>
      </c>
      <c r="G4336" s="2" t="s">
        <v>7619</v>
      </c>
    </row>
    <row r="4337" spans="1:7">
      <c r="A4337" s="3">
        <v>199</v>
      </c>
      <c r="B4337" s="3" t="s">
        <v>702</v>
      </c>
      <c r="C4337" s="3">
        <v>286</v>
      </c>
      <c r="D4337" s="3" t="s">
        <v>807</v>
      </c>
      <c r="E4337" s="3" t="s">
        <v>7620</v>
      </c>
      <c r="F4337" s="3" t="s">
        <v>7649</v>
      </c>
      <c r="G4337" s="3" t="s">
        <v>7633</v>
      </c>
    </row>
    <row r="4338" spans="1:7">
      <c r="A4338" s="2">
        <v>199</v>
      </c>
      <c r="B4338" s="2" t="s">
        <v>702</v>
      </c>
      <c r="C4338" s="2">
        <v>287</v>
      </c>
      <c r="D4338" s="2" t="s">
        <v>929</v>
      </c>
      <c r="E4338" s="2" t="s">
        <v>7630</v>
      </c>
      <c r="F4338" s="2" t="s">
        <v>7611</v>
      </c>
      <c r="G4338" s="2" t="s">
        <v>7617</v>
      </c>
    </row>
    <row r="4339" spans="1:7">
      <c r="A4339" s="3">
        <v>199</v>
      </c>
      <c r="B4339" s="3" t="s">
        <v>702</v>
      </c>
      <c r="C4339" s="3">
        <v>288</v>
      </c>
      <c r="D4339" s="3" t="s">
        <v>805</v>
      </c>
      <c r="E4339" s="3" t="s">
        <v>7618</v>
      </c>
      <c r="F4339" s="3" t="s">
        <v>7611</v>
      </c>
      <c r="G4339" s="3" t="s">
        <v>7636</v>
      </c>
    </row>
    <row r="4340" spans="1:7">
      <c r="A4340" s="2">
        <v>199</v>
      </c>
      <c r="B4340" s="2" t="s">
        <v>702</v>
      </c>
      <c r="C4340" s="2">
        <v>289</v>
      </c>
      <c r="D4340" s="2" t="s">
        <v>854</v>
      </c>
      <c r="E4340" s="2" t="s">
        <v>7654</v>
      </c>
      <c r="F4340" s="2" t="s">
        <v>7608</v>
      </c>
      <c r="G4340" s="2" t="s">
        <v>7609</v>
      </c>
    </row>
    <row r="4341" spans="1:7">
      <c r="A4341" s="3">
        <v>199</v>
      </c>
      <c r="B4341" s="3" t="s">
        <v>702</v>
      </c>
      <c r="C4341" s="3">
        <v>290</v>
      </c>
      <c r="D4341" s="3" t="s">
        <v>854</v>
      </c>
      <c r="E4341" s="3" t="s">
        <v>7620</v>
      </c>
      <c r="F4341" s="3" t="s">
        <v>7611</v>
      </c>
      <c r="G4341" s="3" t="s">
        <v>7625</v>
      </c>
    </row>
    <row r="4342" spans="1:7">
      <c r="A4342" s="2">
        <v>199</v>
      </c>
      <c r="B4342" s="2" t="s">
        <v>702</v>
      </c>
      <c r="C4342" s="2">
        <v>293</v>
      </c>
      <c r="D4342" s="2" t="s">
        <v>854</v>
      </c>
      <c r="E4342" s="2" t="s">
        <v>7618</v>
      </c>
      <c r="F4342" s="2" t="s">
        <v>7611</v>
      </c>
      <c r="G4342" s="2" t="s">
        <v>7636</v>
      </c>
    </row>
    <row r="4343" spans="1:7">
      <c r="A4343" s="3">
        <v>199</v>
      </c>
      <c r="B4343" s="3" t="s">
        <v>702</v>
      </c>
      <c r="C4343" s="3">
        <v>294</v>
      </c>
      <c r="D4343" s="3" t="s">
        <v>854</v>
      </c>
      <c r="E4343" s="3" t="s">
        <v>7660</v>
      </c>
      <c r="F4343" s="3" t="s">
        <v>7608</v>
      </c>
      <c r="G4343" s="3" t="s">
        <v>7624</v>
      </c>
    </row>
    <row r="4344" spans="1:7">
      <c r="A4344" s="2">
        <v>199</v>
      </c>
      <c r="B4344" s="2" t="s">
        <v>702</v>
      </c>
      <c r="C4344" s="2">
        <v>295</v>
      </c>
      <c r="D4344" s="2" t="s">
        <v>854</v>
      </c>
      <c r="E4344" s="2" t="s">
        <v>7620</v>
      </c>
      <c r="F4344" s="2" t="s">
        <v>7635</v>
      </c>
      <c r="G4344" s="2" t="s">
        <v>7622</v>
      </c>
    </row>
    <row r="4345" spans="1:7">
      <c r="A4345" s="3">
        <v>199</v>
      </c>
      <c r="B4345" s="3" t="s">
        <v>702</v>
      </c>
      <c r="C4345" s="3">
        <v>296</v>
      </c>
      <c r="D4345" s="3" t="s">
        <v>854</v>
      </c>
      <c r="E4345" s="3" t="s">
        <v>7654</v>
      </c>
      <c r="F4345" s="3" t="s">
        <v>7608</v>
      </c>
      <c r="G4345" s="3" t="s">
        <v>7617</v>
      </c>
    </row>
    <row r="4346" spans="1:7">
      <c r="A4346" s="2">
        <v>199</v>
      </c>
      <c r="B4346" s="2" t="s">
        <v>702</v>
      </c>
      <c r="C4346" s="2">
        <v>297</v>
      </c>
      <c r="D4346" s="2" t="s">
        <v>833</v>
      </c>
      <c r="E4346" s="2" t="s">
        <v>7618</v>
      </c>
      <c r="F4346" s="2" t="s">
        <v>7608</v>
      </c>
      <c r="G4346" s="2" t="s">
        <v>7633</v>
      </c>
    </row>
    <row r="4347" spans="1:7">
      <c r="A4347" s="3">
        <v>199</v>
      </c>
      <c r="B4347" s="3" t="s">
        <v>702</v>
      </c>
      <c r="C4347" s="3">
        <v>298</v>
      </c>
      <c r="D4347" s="3" t="s">
        <v>854</v>
      </c>
      <c r="E4347" s="3" t="s">
        <v>7654</v>
      </c>
      <c r="F4347" s="3" t="s">
        <v>7608</v>
      </c>
      <c r="G4347" s="3" t="s">
        <v>7609</v>
      </c>
    </row>
    <row r="4348" spans="1:7">
      <c r="A4348" s="2">
        <v>199</v>
      </c>
      <c r="B4348" s="2" t="s">
        <v>702</v>
      </c>
      <c r="C4348" s="2">
        <v>300</v>
      </c>
      <c r="D4348" s="2" t="s">
        <v>854</v>
      </c>
      <c r="E4348" s="2" t="s">
        <v>7620</v>
      </c>
      <c r="F4348" s="2" t="s">
        <v>7608</v>
      </c>
      <c r="G4348" s="2" t="s">
        <v>7625</v>
      </c>
    </row>
    <row r="4349" spans="1:7">
      <c r="A4349" s="3">
        <v>199</v>
      </c>
      <c r="B4349" s="3" t="s">
        <v>702</v>
      </c>
      <c r="C4349" s="3">
        <v>301</v>
      </c>
      <c r="D4349" s="3" t="s">
        <v>850</v>
      </c>
      <c r="E4349" s="3" t="s">
        <v>7620</v>
      </c>
      <c r="F4349" s="3" t="s">
        <v>7650</v>
      </c>
      <c r="G4349" s="3" t="s">
        <v>7625</v>
      </c>
    </row>
    <row r="4350" spans="1:7">
      <c r="A4350" s="2">
        <v>199</v>
      </c>
      <c r="B4350" s="2" t="s">
        <v>702</v>
      </c>
      <c r="C4350" s="2">
        <v>302</v>
      </c>
      <c r="D4350" s="2" t="s">
        <v>916</v>
      </c>
      <c r="E4350" s="2" t="s">
        <v>7620</v>
      </c>
      <c r="F4350" s="2" t="s">
        <v>7628</v>
      </c>
      <c r="G4350" s="2" t="s">
        <v>7622</v>
      </c>
    </row>
    <row r="4351" spans="1:7">
      <c r="A4351" s="3">
        <v>199</v>
      </c>
      <c r="B4351" s="3" t="s">
        <v>702</v>
      </c>
      <c r="C4351" s="3">
        <v>303</v>
      </c>
      <c r="D4351" s="3" t="s">
        <v>854</v>
      </c>
      <c r="E4351" s="3" t="s">
        <v>7654</v>
      </c>
      <c r="F4351" s="3" t="s">
        <v>7611</v>
      </c>
      <c r="G4351" s="3" t="s">
        <v>7619</v>
      </c>
    </row>
    <row r="4352" spans="1:7">
      <c r="A4352" s="2">
        <v>199</v>
      </c>
      <c r="B4352" s="2" t="s">
        <v>702</v>
      </c>
      <c r="C4352" s="2">
        <v>304</v>
      </c>
      <c r="D4352" s="2" t="s">
        <v>854</v>
      </c>
      <c r="E4352" s="2" t="s">
        <v>7654</v>
      </c>
      <c r="F4352" s="2" t="s">
        <v>7608</v>
      </c>
      <c r="G4352" s="2" t="s">
        <v>7609</v>
      </c>
    </row>
    <row r="4353" spans="1:7">
      <c r="A4353" s="3">
        <v>199</v>
      </c>
      <c r="B4353" s="3" t="s">
        <v>702</v>
      </c>
      <c r="C4353" s="3">
        <v>305</v>
      </c>
      <c r="D4353" s="3" t="s">
        <v>854</v>
      </c>
      <c r="E4353" s="3" t="s">
        <v>7620</v>
      </c>
      <c r="F4353" s="3" t="s">
        <v>7608</v>
      </c>
      <c r="G4353" s="3" t="s">
        <v>7625</v>
      </c>
    </row>
    <row r="4354" spans="1:7">
      <c r="A4354" s="2">
        <v>199</v>
      </c>
      <c r="B4354" s="2" t="s">
        <v>702</v>
      </c>
      <c r="C4354" s="2">
        <v>307</v>
      </c>
      <c r="D4354" s="2" t="s">
        <v>854</v>
      </c>
      <c r="E4354" s="2" t="s">
        <v>7654</v>
      </c>
      <c r="F4354" s="2" t="s">
        <v>7611</v>
      </c>
      <c r="G4354" s="2" t="s">
        <v>7617</v>
      </c>
    </row>
    <row r="4355" spans="1:7">
      <c r="A4355" s="3">
        <v>199</v>
      </c>
      <c r="B4355" s="3" t="s">
        <v>702</v>
      </c>
      <c r="C4355" s="3">
        <v>308</v>
      </c>
      <c r="D4355" s="3" t="s">
        <v>854</v>
      </c>
      <c r="E4355" s="3" t="s">
        <v>7618</v>
      </c>
      <c r="F4355" s="3" t="s">
        <v>7702</v>
      </c>
      <c r="G4355" s="3" t="s">
        <v>7636</v>
      </c>
    </row>
    <row r="4356" spans="1:7">
      <c r="A4356" s="2">
        <v>199</v>
      </c>
      <c r="B4356" s="2" t="s">
        <v>702</v>
      </c>
      <c r="C4356" s="2">
        <v>311</v>
      </c>
      <c r="D4356" s="2" t="s">
        <v>954</v>
      </c>
      <c r="E4356" s="2" t="s">
        <v>7635</v>
      </c>
      <c r="F4356" s="2" t="s">
        <v>7677</v>
      </c>
      <c r="G4356" s="2" t="s">
        <v>7617</v>
      </c>
    </row>
    <row r="4357" spans="1:7">
      <c r="A4357" s="3">
        <v>199</v>
      </c>
      <c r="B4357" s="3" t="s">
        <v>702</v>
      </c>
      <c r="C4357" s="3">
        <v>312</v>
      </c>
      <c r="D4357" s="3" t="s">
        <v>949</v>
      </c>
      <c r="E4357" s="3" t="s">
        <v>7635</v>
      </c>
      <c r="F4357" s="3" t="s">
        <v>7659</v>
      </c>
      <c r="G4357" s="3" t="s">
        <v>7636</v>
      </c>
    </row>
    <row r="4358" spans="1:7">
      <c r="A4358" s="2">
        <v>199</v>
      </c>
      <c r="B4358" s="2" t="s">
        <v>702</v>
      </c>
      <c r="C4358" s="2">
        <v>314</v>
      </c>
      <c r="D4358" s="2" t="s">
        <v>1050</v>
      </c>
      <c r="E4358" s="2" t="s">
        <v>7635</v>
      </c>
      <c r="F4358" s="2" t="s">
        <v>7652</v>
      </c>
      <c r="G4358" s="2" t="s">
        <v>7633</v>
      </c>
    </row>
    <row r="4359" spans="1:7">
      <c r="A4359" s="3">
        <v>199</v>
      </c>
      <c r="B4359" s="3" t="s">
        <v>702</v>
      </c>
      <c r="C4359" s="3">
        <v>315</v>
      </c>
      <c r="D4359" s="3" t="s">
        <v>1046</v>
      </c>
      <c r="E4359" s="3" t="s">
        <v>7653</v>
      </c>
      <c r="F4359" s="3" t="s">
        <v>7650</v>
      </c>
      <c r="G4359" s="3" t="s">
        <v>7622</v>
      </c>
    </row>
    <row r="4360" spans="1:7">
      <c r="A4360" s="2">
        <v>199</v>
      </c>
      <c r="B4360" s="2" t="s">
        <v>702</v>
      </c>
      <c r="C4360" s="2">
        <v>316</v>
      </c>
      <c r="D4360" s="2" t="s">
        <v>1028</v>
      </c>
      <c r="E4360" s="2" t="s">
        <v>7730</v>
      </c>
      <c r="F4360" s="2" t="s">
        <v>7650</v>
      </c>
      <c r="G4360" s="2" t="s">
        <v>7624</v>
      </c>
    </row>
    <row r="4361" spans="1:7">
      <c r="A4361" s="3">
        <v>199</v>
      </c>
      <c r="B4361" s="3" t="s">
        <v>702</v>
      </c>
      <c r="C4361" s="3">
        <v>317</v>
      </c>
      <c r="D4361" s="3" t="s">
        <v>1030</v>
      </c>
      <c r="E4361" s="3" t="s">
        <v>7618</v>
      </c>
      <c r="F4361" s="3" t="s">
        <v>7611</v>
      </c>
      <c r="G4361" s="3" t="s">
        <v>7617</v>
      </c>
    </row>
    <row r="4362" spans="1:7">
      <c r="A4362" s="2">
        <v>199</v>
      </c>
      <c r="B4362" s="2" t="s">
        <v>702</v>
      </c>
      <c r="C4362" s="2">
        <v>318</v>
      </c>
      <c r="D4362" s="2" t="s">
        <v>1032</v>
      </c>
      <c r="E4362" s="2" t="s">
        <v>7618</v>
      </c>
      <c r="F4362" s="2" t="s">
        <v>7611</v>
      </c>
      <c r="G4362" s="2" t="s">
        <v>7636</v>
      </c>
    </row>
    <row r="4363" spans="1:7">
      <c r="A4363" s="3">
        <v>199</v>
      </c>
      <c r="B4363" s="3" t="s">
        <v>702</v>
      </c>
      <c r="C4363" s="3">
        <v>319</v>
      </c>
      <c r="D4363" s="3" t="s">
        <v>1035</v>
      </c>
      <c r="E4363" s="3" t="s">
        <v>7635</v>
      </c>
      <c r="F4363" s="3" t="s">
        <v>7628</v>
      </c>
      <c r="G4363" s="3" t="s">
        <v>7633</v>
      </c>
    </row>
    <row r="4364" spans="1:7">
      <c r="A4364" s="2">
        <v>199</v>
      </c>
      <c r="B4364" s="2" t="s">
        <v>702</v>
      </c>
      <c r="C4364" s="2">
        <v>320</v>
      </c>
      <c r="D4364" s="2" t="s">
        <v>1039</v>
      </c>
      <c r="E4364" s="2" t="s">
        <v>7635</v>
      </c>
      <c r="F4364" s="2" t="s">
        <v>7678</v>
      </c>
      <c r="G4364" s="2" t="s">
        <v>7636</v>
      </c>
    </row>
    <row r="4365" spans="1:7">
      <c r="A4365" s="3">
        <v>199</v>
      </c>
      <c r="B4365" s="3" t="s">
        <v>702</v>
      </c>
      <c r="C4365" s="3">
        <v>321</v>
      </c>
      <c r="D4365" s="3" t="s">
        <v>1048</v>
      </c>
      <c r="E4365" s="3" t="s">
        <v>7660</v>
      </c>
      <c r="F4365" s="3" t="s">
        <v>7649</v>
      </c>
      <c r="G4365" s="3" t="s">
        <v>7644</v>
      </c>
    </row>
    <row r="4366" spans="1:7">
      <c r="A4366" s="2">
        <v>199</v>
      </c>
      <c r="B4366" s="2" t="s">
        <v>702</v>
      </c>
      <c r="C4366" s="2">
        <v>322</v>
      </c>
      <c r="D4366" s="2" t="s">
        <v>1012</v>
      </c>
      <c r="E4366" s="2" t="s">
        <v>7635</v>
      </c>
      <c r="F4366" s="2" t="s">
        <v>7652</v>
      </c>
      <c r="G4366" s="2" t="s">
        <v>7609</v>
      </c>
    </row>
    <row r="4367" spans="1:7">
      <c r="A4367" s="3">
        <v>199</v>
      </c>
      <c r="B4367" s="3" t="s">
        <v>702</v>
      </c>
      <c r="C4367" s="3">
        <v>323</v>
      </c>
      <c r="D4367" s="3" t="s">
        <v>1016</v>
      </c>
      <c r="E4367" s="3" t="s">
        <v>7660</v>
      </c>
      <c r="F4367" s="3" t="s">
        <v>7649</v>
      </c>
      <c r="G4367" s="3" t="s">
        <v>7612</v>
      </c>
    </row>
    <row r="4368" spans="1:7">
      <c r="A4368" s="2">
        <v>199</v>
      </c>
      <c r="B4368" s="2" t="s">
        <v>702</v>
      </c>
      <c r="C4368" s="2">
        <v>325</v>
      </c>
      <c r="D4368" s="2" t="s">
        <v>1020</v>
      </c>
      <c r="E4368" s="2" t="s">
        <v>7618</v>
      </c>
      <c r="F4368" s="2" t="s">
        <v>7611</v>
      </c>
      <c r="G4368" s="2" t="s">
        <v>7634</v>
      </c>
    </row>
    <row r="4369" spans="1:7">
      <c r="A4369" s="3">
        <v>199</v>
      </c>
      <c r="B4369" s="3" t="s">
        <v>702</v>
      </c>
      <c r="C4369" s="3">
        <v>326</v>
      </c>
      <c r="D4369" s="3" t="s">
        <v>1022</v>
      </c>
      <c r="E4369" s="3" t="s">
        <v>7660</v>
      </c>
      <c r="F4369" s="3" t="s">
        <v>7628</v>
      </c>
      <c r="G4369" s="3" t="s">
        <v>7644</v>
      </c>
    </row>
    <row r="4370" spans="1:7">
      <c r="A4370" s="2">
        <v>199</v>
      </c>
      <c r="B4370" s="2" t="s">
        <v>702</v>
      </c>
      <c r="C4370" s="2">
        <v>327</v>
      </c>
      <c r="D4370" s="2" t="s">
        <v>1025</v>
      </c>
      <c r="E4370" s="2" t="s">
        <v>7618</v>
      </c>
      <c r="F4370" s="2" t="s">
        <v>7628</v>
      </c>
      <c r="G4370" s="2" t="s">
        <v>7639</v>
      </c>
    </row>
    <row r="4371" spans="1:7">
      <c r="A4371" s="3">
        <v>199</v>
      </c>
      <c r="B4371" s="3" t="s">
        <v>702</v>
      </c>
      <c r="C4371" s="3">
        <v>328</v>
      </c>
      <c r="D4371" s="3" t="s">
        <v>1026</v>
      </c>
      <c r="E4371" s="3" t="s">
        <v>7660</v>
      </c>
      <c r="F4371" s="3" t="s">
        <v>7649</v>
      </c>
      <c r="G4371" s="3" t="s">
        <v>7644</v>
      </c>
    </row>
    <row r="4372" spans="1:7">
      <c r="A4372" s="2">
        <v>199</v>
      </c>
      <c r="B4372" s="2" t="s">
        <v>702</v>
      </c>
      <c r="C4372" s="2">
        <v>329</v>
      </c>
      <c r="D4372" s="2" t="s">
        <v>965</v>
      </c>
      <c r="E4372" s="2" t="s">
        <v>7660</v>
      </c>
      <c r="F4372" s="2" t="s">
        <v>7649</v>
      </c>
      <c r="G4372" s="2" t="s">
        <v>7641</v>
      </c>
    </row>
    <row r="4373" spans="1:7">
      <c r="A4373" s="3">
        <v>199</v>
      </c>
      <c r="B4373" s="3" t="s">
        <v>702</v>
      </c>
      <c r="C4373" s="3">
        <v>330</v>
      </c>
      <c r="D4373" s="3" t="s">
        <v>974</v>
      </c>
      <c r="E4373" s="3" t="s">
        <v>7618</v>
      </c>
      <c r="F4373" s="3" t="s">
        <v>7652</v>
      </c>
      <c r="G4373" s="3" t="s">
        <v>7639</v>
      </c>
    </row>
    <row r="4374" spans="1:7">
      <c r="A4374" s="2">
        <v>199</v>
      </c>
      <c r="B4374" s="2" t="s">
        <v>702</v>
      </c>
      <c r="C4374" s="2">
        <v>331</v>
      </c>
      <c r="D4374" s="2" t="s">
        <v>982</v>
      </c>
      <c r="E4374" s="2" t="s">
        <v>7645</v>
      </c>
      <c r="F4374" s="2" t="s">
        <v>7608</v>
      </c>
      <c r="G4374" s="2" t="s">
        <v>7621</v>
      </c>
    </row>
    <row r="4375" spans="1:7">
      <c r="A4375" s="3">
        <v>199</v>
      </c>
      <c r="B4375" s="3" t="s">
        <v>702</v>
      </c>
      <c r="C4375" s="3">
        <v>332</v>
      </c>
      <c r="D4375" s="3" t="s">
        <v>986</v>
      </c>
      <c r="E4375" s="3" t="s">
        <v>7645</v>
      </c>
      <c r="F4375" s="3" t="s">
        <v>7611</v>
      </c>
      <c r="G4375" s="3" t="s">
        <v>7621</v>
      </c>
    </row>
    <row r="4376" spans="1:7">
      <c r="A4376" s="2">
        <v>199</v>
      </c>
      <c r="B4376" s="2" t="s">
        <v>702</v>
      </c>
      <c r="C4376" s="2">
        <v>333</v>
      </c>
      <c r="D4376" s="2" t="s">
        <v>989</v>
      </c>
      <c r="E4376" s="2" t="s">
        <v>7660</v>
      </c>
      <c r="F4376" s="2" t="s">
        <v>7649</v>
      </c>
      <c r="G4376" s="2" t="s">
        <v>7644</v>
      </c>
    </row>
    <row r="4377" spans="1:7">
      <c r="A4377" s="3">
        <v>199</v>
      </c>
      <c r="B4377" s="3" t="s">
        <v>702</v>
      </c>
      <c r="C4377" s="3">
        <v>334</v>
      </c>
      <c r="D4377" s="3" t="s">
        <v>970</v>
      </c>
      <c r="E4377" s="3" t="s">
        <v>7730</v>
      </c>
      <c r="F4377" s="3" t="s">
        <v>7659</v>
      </c>
      <c r="G4377" s="3" t="s">
        <v>7612</v>
      </c>
    </row>
    <row r="4378" spans="1:7">
      <c r="A4378" s="2">
        <v>199</v>
      </c>
      <c r="B4378" s="2" t="s">
        <v>702</v>
      </c>
      <c r="C4378" s="2">
        <v>335</v>
      </c>
      <c r="D4378" s="2" t="s">
        <v>1057</v>
      </c>
      <c r="E4378" s="2" t="s">
        <v>7620</v>
      </c>
      <c r="F4378" s="2" t="s">
        <v>7611</v>
      </c>
      <c r="G4378" s="2" t="s">
        <v>7625</v>
      </c>
    </row>
    <row r="4379" spans="1:7">
      <c r="A4379" s="3">
        <v>199</v>
      </c>
      <c r="B4379" s="3" t="s">
        <v>702</v>
      </c>
      <c r="C4379" s="3">
        <v>336</v>
      </c>
      <c r="D4379" s="3" t="s">
        <v>992</v>
      </c>
      <c r="E4379" s="3" t="s">
        <v>7620</v>
      </c>
      <c r="F4379" s="3" t="s">
        <v>7611</v>
      </c>
      <c r="G4379" s="3" t="s">
        <v>7625</v>
      </c>
    </row>
    <row r="4380" spans="1:7">
      <c r="A4380" s="2">
        <v>199</v>
      </c>
      <c r="B4380" s="2" t="s">
        <v>702</v>
      </c>
      <c r="C4380" s="2">
        <v>337</v>
      </c>
      <c r="D4380" s="2" t="s">
        <v>1042</v>
      </c>
      <c r="E4380" s="2" t="s">
        <v>7620</v>
      </c>
      <c r="F4380" s="2" t="s">
        <v>7649</v>
      </c>
      <c r="G4380" s="2" t="s">
        <v>7633</v>
      </c>
    </row>
    <row r="4381" spans="1:7">
      <c r="A4381" s="3">
        <v>199</v>
      </c>
      <c r="B4381" s="3" t="s">
        <v>702</v>
      </c>
      <c r="C4381" s="3">
        <v>338</v>
      </c>
      <c r="D4381" s="3" t="s">
        <v>996</v>
      </c>
      <c r="E4381" s="3" t="s">
        <v>7620</v>
      </c>
      <c r="F4381" s="3" t="s">
        <v>7649</v>
      </c>
      <c r="G4381" s="3" t="s">
        <v>7622</v>
      </c>
    </row>
    <row r="4382" spans="1:7">
      <c r="A4382" s="2">
        <v>199</v>
      </c>
      <c r="B4382" s="2" t="s">
        <v>702</v>
      </c>
      <c r="C4382" s="2">
        <v>339</v>
      </c>
      <c r="D4382" s="2" t="s">
        <v>1058</v>
      </c>
      <c r="E4382" s="2" t="s">
        <v>7620</v>
      </c>
      <c r="F4382" s="2" t="s">
        <v>7611</v>
      </c>
      <c r="G4382" s="2" t="s">
        <v>7621</v>
      </c>
    </row>
    <row r="4383" spans="1:7">
      <c r="A4383" s="3">
        <v>199</v>
      </c>
      <c r="B4383" s="3" t="s">
        <v>702</v>
      </c>
      <c r="C4383" s="3">
        <v>340</v>
      </c>
      <c r="D4383" s="3" t="s">
        <v>1000</v>
      </c>
      <c r="E4383" s="3" t="s">
        <v>7654</v>
      </c>
      <c r="F4383" s="3" t="s">
        <v>7650</v>
      </c>
      <c r="G4383" s="3" t="s">
        <v>7636</v>
      </c>
    </row>
    <row r="4384" spans="1:7">
      <c r="A4384" s="2">
        <v>199</v>
      </c>
      <c r="B4384" s="2" t="s">
        <v>702</v>
      </c>
      <c r="C4384" s="2">
        <v>341</v>
      </c>
      <c r="D4384" s="2" t="s">
        <v>1052</v>
      </c>
      <c r="E4384" s="2" t="s">
        <v>7620</v>
      </c>
      <c r="F4384" s="2" t="s">
        <v>7649</v>
      </c>
      <c r="G4384" s="2" t="s">
        <v>7633</v>
      </c>
    </row>
    <row r="4385" spans="1:7">
      <c r="A4385" s="3">
        <v>199</v>
      </c>
      <c r="B4385" s="3" t="s">
        <v>702</v>
      </c>
      <c r="C4385" s="3">
        <v>343</v>
      </c>
      <c r="D4385" s="3" t="s">
        <v>977</v>
      </c>
      <c r="E4385" s="3" t="s">
        <v>7694</v>
      </c>
      <c r="F4385" s="3" t="s">
        <v>7659</v>
      </c>
      <c r="G4385" s="3" t="s">
        <v>7632</v>
      </c>
    </row>
    <row r="4386" spans="1:7">
      <c r="A4386" s="2">
        <v>199</v>
      </c>
      <c r="B4386" s="2" t="s">
        <v>702</v>
      </c>
      <c r="C4386" s="2">
        <v>402</v>
      </c>
      <c r="D4386" s="2" t="s">
        <v>1120</v>
      </c>
      <c r="E4386" s="2" t="s">
        <v>7722</v>
      </c>
      <c r="F4386" s="2" t="s">
        <v>7649</v>
      </c>
      <c r="G4386" s="2" t="s">
        <v>7634</v>
      </c>
    </row>
    <row r="4387" spans="1:7">
      <c r="A4387" s="3">
        <v>199</v>
      </c>
      <c r="B4387" s="3" t="s">
        <v>702</v>
      </c>
      <c r="C4387" s="3">
        <v>405</v>
      </c>
      <c r="D4387" s="3" t="s">
        <v>1110</v>
      </c>
      <c r="E4387" s="3" t="s">
        <v>7630</v>
      </c>
      <c r="F4387" s="3" t="s">
        <v>7611</v>
      </c>
      <c r="G4387" s="3" t="s">
        <v>7636</v>
      </c>
    </row>
    <row r="4388" spans="1:7">
      <c r="A4388" s="2">
        <v>199</v>
      </c>
      <c r="B4388" s="2" t="s">
        <v>702</v>
      </c>
      <c r="C4388" s="2">
        <v>406</v>
      </c>
      <c r="D4388" s="2" t="s">
        <v>1114</v>
      </c>
      <c r="E4388" s="2" t="s">
        <v>7618</v>
      </c>
      <c r="F4388" s="2" t="s">
        <v>7628</v>
      </c>
      <c r="G4388" s="2" t="s">
        <v>7624</v>
      </c>
    </row>
    <row r="4389" spans="1:7">
      <c r="A4389" s="3">
        <v>199</v>
      </c>
      <c r="B4389" s="3" t="s">
        <v>702</v>
      </c>
      <c r="C4389" s="3">
        <v>408</v>
      </c>
      <c r="D4389" s="3" t="s">
        <v>1131</v>
      </c>
      <c r="E4389" s="3" t="s">
        <v>7618</v>
      </c>
      <c r="F4389" s="3" t="s">
        <v>7608</v>
      </c>
      <c r="G4389" s="3" t="s">
        <v>7609</v>
      </c>
    </row>
    <row r="4390" spans="1:7">
      <c r="A4390" s="2">
        <v>199</v>
      </c>
      <c r="B4390" s="2" t="s">
        <v>702</v>
      </c>
      <c r="C4390" s="2">
        <v>409</v>
      </c>
      <c r="D4390" s="2" t="s">
        <v>1126</v>
      </c>
      <c r="E4390" s="2" t="s">
        <v>7618</v>
      </c>
      <c r="F4390" s="2" t="s">
        <v>7611</v>
      </c>
      <c r="G4390" s="2" t="s">
        <v>7617</v>
      </c>
    </row>
    <row r="4391" spans="1:7">
      <c r="A4391" s="3">
        <v>199</v>
      </c>
      <c r="B4391" s="3" t="s">
        <v>702</v>
      </c>
      <c r="C4391" s="3">
        <v>410</v>
      </c>
      <c r="D4391" s="3" t="s">
        <v>1123</v>
      </c>
      <c r="E4391" s="3" t="s">
        <v>7620</v>
      </c>
      <c r="F4391" s="3" t="s">
        <v>7611</v>
      </c>
      <c r="G4391" s="3" t="s">
        <v>7625</v>
      </c>
    </row>
    <row r="4392" spans="1:7">
      <c r="A4392" s="2">
        <v>200</v>
      </c>
      <c r="B4392" s="2" t="s">
        <v>707</v>
      </c>
      <c r="C4392" s="2">
        <v>201</v>
      </c>
      <c r="D4392" s="2" t="s">
        <v>695</v>
      </c>
      <c r="E4392" s="2" t="s">
        <v>7724</v>
      </c>
      <c r="F4392" s="2" t="s">
        <v>7659</v>
      </c>
      <c r="G4392" s="2" t="s">
        <v>7624</v>
      </c>
    </row>
    <row r="4393" spans="1:7">
      <c r="A4393" s="3">
        <v>200</v>
      </c>
      <c r="B4393" s="3" t="s">
        <v>707</v>
      </c>
      <c r="C4393" s="3">
        <v>202</v>
      </c>
      <c r="D4393" s="3" t="s">
        <v>712</v>
      </c>
      <c r="E4393" s="3" t="s">
        <v>7743</v>
      </c>
      <c r="F4393" s="3" t="s">
        <v>7652</v>
      </c>
      <c r="G4393" s="3" t="s">
        <v>7632</v>
      </c>
    </row>
    <row r="4394" spans="1:7">
      <c r="A4394" s="2">
        <v>200</v>
      </c>
      <c r="B4394" s="2" t="s">
        <v>707</v>
      </c>
      <c r="C4394" s="2">
        <v>203</v>
      </c>
      <c r="D4394" s="2" t="s">
        <v>681</v>
      </c>
      <c r="E4394" s="2" t="s">
        <v>7635</v>
      </c>
      <c r="F4394" s="2" t="s">
        <v>7652</v>
      </c>
      <c r="G4394" s="2" t="s">
        <v>7633</v>
      </c>
    </row>
    <row r="4395" spans="1:7">
      <c r="A4395" s="3">
        <v>200</v>
      </c>
      <c r="B4395" s="3" t="s">
        <v>707</v>
      </c>
      <c r="C4395" s="3">
        <v>204</v>
      </c>
      <c r="D4395" s="3" t="s">
        <v>685</v>
      </c>
      <c r="E4395" s="3" t="s">
        <v>7743</v>
      </c>
      <c r="F4395" s="3" t="s">
        <v>7659</v>
      </c>
      <c r="G4395" s="3" t="s">
        <v>7626</v>
      </c>
    </row>
    <row r="4396" spans="1:7">
      <c r="A4396" s="2">
        <v>200</v>
      </c>
      <c r="B4396" s="2" t="s">
        <v>707</v>
      </c>
      <c r="C4396" s="2">
        <v>205</v>
      </c>
      <c r="D4396" s="2" t="s">
        <v>746</v>
      </c>
      <c r="E4396" s="2" t="s">
        <v>7694</v>
      </c>
      <c r="F4396" s="2" t="s">
        <v>7628</v>
      </c>
      <c r="G4396" s="2" t="s">
        <v>7634</v>
      </c>
    </row>
    <row r="4397" spans="1:7">
      <c r="A4397" s="3">
        <v>200</v>
      </c>
      <c r="B4397" s="3" t="s">
        <v>707</v>
      </c>
      <c r="C4397" s="3">
        <v>206</v>
      </c>
      <c r="D4397" s="3" t="s">
        <v>723</v>
      </c>
      <c r="E4397" s="3" t="s">
        <v>7635</v>
      </c>
      <c r="F4397" s="3" t="s">
        <v>7635</v>
      </c>
      <c r="G4397" s="3" t="s">
        <v>7625</v>
      </c>
    </row>
    <row r="4398" spans="1:7">
      <c r="A4398" s="2">
        <v>200</v>
      </c>
      <c r="B4398" s="2" t="s">
        <v>707</v>
      </c>
      <c r="C4398" s="2">
        <v>207</v>
      </c>
      <c r="D4398" s="2" t="s">
        <v>749</v>
      </c>
      <c r="E4398" s="2" t="s">
        <v>7694</v>
      </c>
      <c r="F4398" s="2" t="s">
        <v>7611</v>
      </c>
      <c r="G4398" s="2" t="s">
        <v>7617</v>
      </c>
    </row>
    <row r="4399" spans="1:7">
      <c r="A4399" s="3">
        <v>200</v>
      </c>
      <c r="B4399" s="3" t="s">
        <v>707</v>
      </c>
      <c r="C4399" s="3">
        <v>208</v>
      </c>
      <c r="D4399" s="3" t="s">
        <v>754</v>
      </c>
      <c r="E4399" s="3" t="s">
        <v>7694</v>
      </c>
      <c r="F4399" s="3" t="s">
        <v>7628</v>
      </c>
      <c r="G4399" s="3" t="s">
        <v>7636</v>
      </c>
    </row>
    <row r="4400" spans="1:7">
      <c r="A4400" s="2">
        <v>200</v>
      </c>
      <c r="B4400" s="2" t="s">
        <v>707</v>
      </c>
      <c r="C4400" s="2">
        <v>209</v>
      </c>
      <c r="D4400" s="2" t="s">
        <v>758</v>
      </c>
      <c r="E4400" s="2" t="s">
        <v>7620</v>
      </c>
      <c r="F4400" s="2" t="s">
        <v>7652</v>
      </c>
      <c r="G4400" s="2" t="s">
        <v>7633</v>
      </c>
    </row>
    <row r="4401" spans="1:7">
      <c r="A4401" s="3">
        <v>200</v>
      </c>
      <c r="B4401" s="3" t="s">
        <v>707</v>
      </c>
      <c r="C4401" s="3">
        <v>214</v>
      </c>
      <c r="D4401" s="3" t="s">
        <v>870</v>
      </c>
      <c r="E4401" s="3" t="s">
        <v>7620</v>
      </c>
      <c r="F4401" s="3" t="s">
        <v>7611</v>
      </c>
      <c r="G4401" s="3" t="s">
        <v>7621</v>
      </c>
    </row>
    <row r="4402" spans="1:7">
      <c r="A4402" s="2">
        <v>200</v>
      </c>
      <c r="B4402" s="2" t="s">
        <v>707</v>
      </c>
      <c r="C4402" s="2">
        <v>215</v>
      </c>
      <c r="D4402" s="2" t="s">
        <v>844</v>
      </c>
      <c r="E4402" s="2" t="s">
        <v>7620</v>
      </c>
      <c r="F4402" s="2" t="s">
        <v>7649</v>
      </c>
      <c r="G4402" s="2" t="s">
        <v>7609</v>
      </c>
    </row>
    <row r="4403" spans="1:7">
      <c r="A4403" s="3">
        <v>200</v>
      </c>
      <c r="B4403" s="3" t="s">
        <v>707</v>
      </c>
      <c r="C4403" s="3">
        <v>216</v>
      </c>
      <c r="D4403" s="3"/>
      <c r="E4403" s="3" t="s">
        <v>7620</v>
      </c>
      <c r="F4403" s="3" t="s">
        <v>7611</v>
      </c>
      <c r="G4403" s="3" t="s">
        <v>7621</v>
      </c>
    </row>
    <row r="4404" spans="1:7">
      <c r="A4404" s="2">
        <v>200</v>
      </c>
      <c r="B4404" s="2" t="s">
        <v>707</v>
      </c>
      <c r="C4404" s="2">
        <v>217</v>
      </c>
      <c r="D4404" s="2" t="s">
        <v>795</v>
      </c>
      <c r="E4404" s="2" t="s">
        <v>7620</v>
      </c>
      <c r="F4404" s="2" t="s">
        <v>7649</v>
      </c>
      <c r="G4404" s="2" t="s">
        <v>7622</v>
      </c>
    </row>
    <row r="4405" spans="1:7">
      <c r="A4405" s="3">
        <v>200</v>
      </c>
      <c r="B4405" s="3" t="s">
        <v>707</v>
      </c>
      <c r="C4405" s="3">
        <v>218</v>
      </c>
      <c r="D4405" s="3" t="s">
        <v>789</v>
      </c>
      <c r="E4405" s="3" t="s">
        <v>7620</v>
      </c>
      <c r="F4405" s="3" t="s">
        <v>7611</v>
      </c>
      <c r="G4405" s="3" t="s">
        <v>7625</v>
      </c>
    </row>
    <row r="4406" spans="1:7">
      <c r="A4406" s="2">
        <v>200</v>
      </c>
      <c r="B4406" s="2" t="s">
        <v>707</v>
      </c>
      <c r="C4406" s="2">
        <v>219</v>
      </c>
      <c r="D4406" s="2" t="s">
        <v>822</v>
      </c>
      <c r="E4406" s="2" t="s">
        <v>7620</v>
      </c>
      <c r="F4406" s="2" t="s">
        <v>7659</v>
      </c>
      <c r="G4406" s="2" t="s">
        <v>7619</v>
      </c>
    </row>
    <row r="4407" spans="1:7">
      <c r="A4407" s="3">
        <v>200</v>
      </c>
      <c r="B4407" s="3" t="s">
        <v>707</v>
      </c>
      <c r="C4407" s="3">
        <v>220</v>
      </c>
      <c r="D4407" s="3" t="s">
        <v>810</v>
      </c>
      <c r="E4407" s="3" t="s">
        <v>7620</v>
      </c>
      <c r="F4407" s="3" t="s">
        <v>7659</v>
      </c>
      <c r="G4407" s="3" t="s">
        <v>7619</v>
      </c>
    </row>
    <row r="4408" spans="1:7">
      <c r="A4408" s="2">
        <v>200</v>
      </c>
      <c r="B4408" s="2" t="s">
        <v>707</v>
      </c>
      <c r="C4408" s="2">
        <v>221</v>
      </c>
      <c r="D4408" s="2" t="s">
        <v>813</v>
      </c>
      <c r="E4408" s="2" t="s">
        <v>7620</v>
      </c>
      <c r="F4408" s="2" t="s">
        <v>7649</v>
      </c>
      <c r="G4408" s="2" t="s">
        <v>7622</v>
      </c>
    </row>
    <row r="4409" spans="1:7">
      <c r="A4409" s="3">
        <v>200</v>
      </c>
      <c r="B4409" s="3" t="s">
        <v>707</v>
      </c>
      <c r="C4409" s="3">
        <v>222</v>
      </c>
      <c r="D4409" s="3" t="s">
        <v>864</v>
      </c>
      <c r="E4409" s="3" t="s">
        <v>7620</v>
      </c>
      <c r="F4409" s="3" t="s">
        <v>7611</v>
      </c>
      <c r="G4409" s="3" t="s">
        <v>7622</v>
      </c>
    </row>
    <row r="4410" spans="1:7">
      <c r="A4410" s="2">
        <v>200</v>
      </c>
      <c r="B4410" s="2" t="s">
        <v>707</v>
      </c>
      <c r="C4410" s="2">
        <v>230</v>
      </c>
      <c r="D4410" s="2" t="s">
        <v>920</v>
      </c>
      <c r="E4410" s="2" t="s">
        <v>7654</v>
      </c>
      <c r="F4410" s="2" t="s">
        <v>7650</v>
      </c>
      <c r="G4410" s="2" t="s">
        <v>7619</v>
      </c>
    </row>
    <row r="4411" spans="1:7">
      <c r="A4411" s="3">
        <v>200</v>
      </c>
      <c r="B4411" s="3" t="s">
        <v>707</v>
      </c>
      <c r="C4411" s="3">
        <v>231</v>
      </c>
      <c r="D4411" s="3" t="s">
        <v>923</v>
      </c>
      <c r="E4411" s="3" t="s">
        <v>7620</v>
      </c>
      <c r="F4411" s="3" t="s">
        <v>7611</v>
      </c>
      <c r="G4411" s="3" t="s">
        <v>7622</v>
      </c>
    </row>
    <row r="4412" spans="1:7">
      <c r="A4412" s="2">
        <v>200</v>
      </c>
      <c r="B4412" s="2" t="s">
        <v>707</v>
      </c>
      <c r="C4412" s="2">
        <v>232</v>
      </c>
      <c r="D4412" s="2" t="s">
        <v>933</v>
      </c>
      <c r="E4412" s="2" t="s">
        <v>7620</v>
      </c>
      <c r="F4412" s="2" t="s">
        <v>7608</v>
      </c>
      <c r="G4412" s="2" t="s">
        <v>7622</v>
      </c>
    </row>
    <row r="4413" spans="1:7">
      <c r="A4413" s="3">
        <v>200</v>
      </c>
      <c r="B4413" s="3" t="s">
        <v>707</v>
      </c>
      <c r="C4413" s="3">
        <v>233</v>
      </c>
      <c r="D4413" s="3" t="s">
        <v>937</v>
      </c>
      <c r="E4413" s="3" t="s">
        <v>7620</v>
      </c>
      <c r="F4413" s="3" t="s">
        <v>7611</v>
      </c>
      <c r="G4413" s="3" t="s">
        <v>7621</v>
      </c>
    </row>
    <row r="4414" spans="1:7">
      <c r="A4414" s="2">
        <v>200</v>
      </c>
      <c r="B4414" s="2" t="s">
        <v>707</v>
      </c>
      <c r="C4414" s="2">
        <v>234</v>
      </c>
      <c r="D4414" s="2" t="s">
        <v>936</v>
      </c>
      <c r="E4414" s="2" t="s">
        <v>7654</v>
      </c>
      <c r="F4414" s="2" t="s">
        <v>7608</v>
      </c>
      <c r="G4414" s="2" t="s">
        <v>7617</v>
      </c>
    </row>
    <row r="4415" spans="1:7">
      <c r="A4415" s="3">
        <v>200</v>
      </c>
      <c r="B4415" s="3" t="s">
        <v>707</v>
      </c>
      <c r="C4415" s="3">
        <v>235</v>
      </c>
      <c r="D4415" s="3" t="s">
        <v>896</v>
      </c>
      <c r="E4415" s="3" t="s">
        <v>7620</v>
      </c>
      <c r="F4415" s="3" t="s">
        <v>7608</v>
      </c>
      <c r="G4415" s="3" t="s">
        <v>7625</v>
      </c>
    </row>
    <row r="4416" spans="1:7">
      <c r="A4416" s="2">
        <v>200</v>
      </c>
      <c r="B4416" s="2" t="s">
        <v>707</v>
      </c>
      <c r="C4416" s="2">
        <v>236</v>
      </c>
      <c r="D4416" s="2" t="s">
        <v>928</v>
      </c>
      <c r="E4416" s="2" t="s">
        <v>7654</v>
      </c>
      <c r="F4416" s="2" t="s">
        <v>7608</v>
      </c>
      <c r="G4416" s="2" t="s">
        <v>7636</v>
      </c>
    </row>
    <row r="4417" spans="1:7">
      <c r="A4417" s="3">
        <v>200</v>
      </c>
      <c r="B4417" s="3" t="s">
        <v>707</v>
      </c>
      <c r="C4417" s="3">
        <v>237</v>
      </c>
      <c r="D4417" s="3" t="s">
        <v>944</v>
      </c>
      <c r="E4417" s="3" t="s">
        <v>7620</v>
      </c>
      <c r="F4417" s="3" t="s">
        <v>7608</v>
      </c>
      <c r="G4417" s="3" t="s">
        <v>7625</v>
      </c>
    </row>
    <row r="4418" spans="1:7">
      <c r="A4418" s="2">
        <v>200</v>
      </c>
      <c r="B4418" s="2" t="s">
        <v>707</v>
      </c>
      <c r="C4418" s="2">
        <v>238</v>
      </c>
      <c r="D4418" s="2" t="s">
        <v>947</v>
      </c>
      <c r="E4418" s="2" t="s">
        <v>7620</v>
      </c>
      <c r="F4418" s="2" t="s">
        <v>7608</v>
      </c>
      <c r="G4418" s="2" t="s">
        <v>7625</v>
      </c>
    </row>
    <row r="4419" spans="1:7">
      <c r="A4419" s="3">
        <v>200</v>
      </c>
      <c r="B4419" s="3" t="s">
        <v>707</v>
      </c>
      <c r="C4419" s="3">
        <v>239</v>
      </c>
      <c r="D4419" s="3" t="s">
        <v>945</v>
      </c>
      <c r="E4419" s="3" t="s">
        <v>7620</v>
      </c>
      <c r="F4419" s="3" t="s">
        <v>7608</v>
      </c>
      <c r="G4419" s="3" t="s">
        <v>7625</v>
      </c>
    </row>
    <row r="4420" spans="1:7">
      <c r="A4420" s="2">
        <v>200</v>
      </c>
      <c r="B4420" s="2" t="s">
        <v>707</v>
      </c>
      <c r="C4420" s="2">
        <v>240</v>
      </c>
      <c r="D4420" s="2" t="s">
        <v>946</v>
      </c>
      <c r="E4420" s="2" t="s">
        <v>7620</v>
      </c>
      <c r="F4420" s="2" t="s">
        <v>7608</v>
      </c>
      <c r="G4420" s="2" t="s">
        <v>7625</v>
      </c>
    </row>
    <row r="4421" spans="1:7">
      <c r="A4421" s="3">
        <v>200</v>
      </c>
      <c r="B4421" s="3" t="s">
        <v>707</v>
      </c>
      <c r="C4421" s="3">
        <v>241</v>
      </c>
      <c r="D4421" s="3" t="s">
        <v>890</v>
      </c>
      <c r="E4421" s="3" t="s">
        <v>7620</v>
      </c>
      <c r="F4421" s="3" t="s">
        <v>7608</v>
      </c>
      <c r="G4421" s="3" t="s">
        <v>7625</v>
      </c>
    </row>
    <row r="4422" spans="1:7">
      <c r="A4422" s="2">
        <v>200</v>
      </c>
      <c r="B4422" s="2" t="s">
        <v>707</v>
      </c>
      <c r="C4422" s="2">
        <v>243</v>
      </c>
      <c r="D4422" s="2" t="s">
        <v>941</v>
      </c>
      <c r="E4422" s="2" t="s">
        <v>7620</v>
      </c>
      <c r="F4422" s="2" t="s">
        <v>7608</v>
      </c>
      <c r="G4422" s="2" t="s">
        <v>7625</v>
      </c>
    </row>
    <row r="4423" spans="1:7">
      <c r="A4423" s="3">
        <v>200</v>
      </c>
      <c r="B4423" s="3" t="s">
        <v>707</v>
      </c>
      <c r="C4423" s="3">
        <v>244</v>
      </c>
      <c r="D4423" s="3" t="s">
        <v>891</v>
      </c>
      <c r="E4423" s="3" t="s">
        <v>7620</v>
      </c>
      <c r="F4423" s="3" t="s">
        <v>7608</v>
      </c>
      <c r="G4423" s="3" t="s">
        <v>7625</v>
      </c>
    </row>
    <row r="4424" spans="1:7">
      <c r="A4424" s="2">
        <v>200</v>
      </c>
      <c r="B4424" s="2" t="s">
        <v>707</v>
      </c>
      <c r="C4424" s="2">
        <v>245</v>
      </c>
      <c r="D4424" s="2" t="s">
        <v>892</v>
      </c>
      <c r="E4424" s="2" t="s">
        <v>7620</v>
      </c>
      <c r="F4424" s="2" t="s">
        <v>7608</v>
      </c>
      <c r="G4424" s="2" t="s">
        <v>7625</v>
      </c>
    </row>
    <row r="4425" spans="1:7">
      <c r="A4425" s="3">
        <v>200</v>
      </c>
      <c r="B4425" s="3" t="s">
        <v>707</v>
      </c>
      <c r="C4425" s="3">
        <v>250</v>
      </c>
      <c r="D4425" s="3" t="s">
        <v>926</v>
      </c>
      <c r="E4425" s="3" t="s">
        <v>7620</v>
      </c>
      <c r="F4425" s="3" t="s">
        <v>7608</v>
      </c>
      <c r="G4425" s="3" t="s">
        <v>7625</v>
      </c>
    </row>
    <row r="4426" spans="1:7">
      <c r="A4426" s="2">
        <v>200</v>
      </c>
      <c r="B4426" s="2" t="s">
        <v>707</v>
      </c>
      <c r="C4426" s="2">
        <v>251</v>
      </c>
      <c r="D4426" s="2" t="s">
        <v>819</v>
      </c>
      <c r="E4426" s="2" t="s">
        <v>7620</v>
      </c>
      <c r="F4426" s="2" t="s">
        <v>7611</v>
      </c>
      <c r="G4426" s="2" t="s">
        <v>7625</v>
      </c>
    </row>
    <row r="4427" spans="1:7">
      <c r="A4427" s="3">
        <v>200</v>
      </c>
      <c r="B4427" s="3" t="s">
        <v>707</v>
      </c>
      <c r="C4427" s="3">
        <v>254</v>
      </c>
      <c r="D4427" s="3" t="s">
        <v>837</v>
      </c>
      <c r="E4427" s="3" t="s">
        <v>7620</v>
      </c>
      <c r="F4427" s="3" t="s">
        <v>7649</v>
      </c>
      <c r="G4427" s="3" t="s">
        <v>7622</v>
      </c>
    </row>
    <row r="4428" spans="1:7">
      <c r="A4428" s="2">
        <v>200</v>
      </c>
      <c r="B4428" s="2" t="s">
        <v>707</v>
      </c>
      <c r="C4428" s="2">
        <v>256</v>
      </c>
      <c r="D4428" s="2" t="s">
        <v>785</v>
      </c>
      <c r="E4428" s="2" t="s">
        <v>7620</v>
      </c>
      <c r="F4428" s="2" t="s">
        <v>7611</v>
      </c>
      <c r="G4428" s="2" t="s">
        <v>7625</v>
      </c>
    </row>
    <row r="4429" spans="1:7">
      <c r="A4429" s="3">
        <v>200</v>
      </c>
      <c r="B4429" s="3" t="s">
        <v>707</v>
      </c>
      <c r="C4429" s="3">
        <v>257</v>
      </c>
      <c r="D4429" s="3" t="s">
        <v>876</v>
      </c>
      <c r="E4429" s="3" t="s">
        <v>7620</v>
      </c>
      <c r="F4429" s="3" t="s">
        <v>7611</v>
      </c>
      <c r="G4429" s="3" t="s">
        <v>7633</v>
      </c>
    </row>
    <row r="4430" spans="1:7">
      <c r="A4430" s="2">
        <v>200</v>
      </c>
      <c r="B4430" s="2" t="s">
        <v>707</v>
      </c>
      <c r="C4430" s="2">
        <v>258</v>
      </c>
      <c r="D4430" s="2" t="s">
        <v>882</v>
      </c>
      <c r="E4430" s="2" t="s">
        <v>7620</v>
      </c>
      <c r="F4430" s="2" t="s">
        <v>7608</v>
      </c>
      <c r="G4430" s="2" t="s">
        <v>7621</v>
      </c>
    </row>
    <row r="4431" spans="1:7">
      <c r="A4431" s="3">
        <v>200</v>
      </c>
      <c r="B4431" s="3" t="s">
        <v>707</v>
      </c>
      <c r="C4431" s="3">
        <v>259</v>
      </c>
      <c r="D4431" s="3" t="s">
        <v>924</v>
      </c>
      <c r="E4431" s="3" t="s">
        <v>7620</v>
      </c>
      <c r="F4431" s="3" t="s">
        <v>7608</v>
      </c>
      <c r="G4431" s="3" t="s">
        <v>7625</v>
      </c>
    </row>
    <row r="4432" spans="1:7">
      <c r="A4432" s="2">
        <v>200</v>
      </c>
      <c r="B4432" s="2" t="s">
        <v>707</v>
      </c>
      <c r="C4432" s="2">
        <v>262</v>
      </c>
      <c r="D4432" s="2" t="s">
        <v>355</v>
      </c>
      <c r="E4432" s="2" t="s">
        <v>7620</v>
      </c>
      <c r="F4432" s="2" t="s">
        <v>7611</v>
      </c>
      <c r="G4432" s="2" t="s">
        <v>7622</v>
      </c>
    </row>
    <row r="4433" spans="1:7">
      <c r="A4433" s="3">
        <v>200</v>
      </c>
      <c r="B4433" s="3" t="s">
        <v>707</v>
      </c>
      <c r="C4433" s="3">
        <v>264</v>
      </c>
      <c r="D4433" s="3" t="s">
        <v>775</v>
      </c>
      <c r="E4433" s="3" t="s">
        <v>7694</v>
      </c>
      <c r="F4433" s="3" t="s">
        <v>7659</v>
      </c>
      <c r="G4433" s="3" t="s">
        <v>7624</v>
      </c>
    </row>
    <row r="4434" spans="1:7">
      <c r="A4434" s="2">
        <v>200</v>
      </c>
      <c r="B4434" s="2" t="s">
        <v>707</v>
      </c>
      <c r="C4434" s="2">
        <v>265</v>
      </c>
      <c r="D4434" s="2" t="s">
        <v>860</v>
      </c>
      <c r="E4434" s="2" t="s">
        <v>7620</v>
      </c>
      <c r="F4434" s="2" t="s">
        <v>7611</v>
      </c>
      <c r="G4434" s="2" t="s">
        <v>7621</v>
      </c>
    </row>
    <row r="4435" spans="1:7">
      <c r="A4435" s="3">
        <v>200</v>
      </c>
      <c r="B4435" s="3" t="s">
        <v>707</v>
      </c>
      <c r="C4435" s="3">
        <v>266</v>
      </c>
      <c r="D4435" s="3" t="s">
        <v>826</v>
      </c>
      <c r="E4435" s="3" t="s">
        <v>7620</v>
      </c>
      <c r="F4435" s="3" t="s">
        <v>7659</v>
      </c>
      <c r="G4435" s="3" t="s">
        <v>7634</v>
      </c>
    </row>
    <row r="4436" spans="1:7">
      <c r="A4436" s="2">
        <v>200</v>
      </c>
      <c r="B4436" s="2" t="s">
        <v>707</v>
      </c>
      <c r="C4436" s="2">
        <v>267</v>
      </c>
      <c r="D4436" s="2" t="s">
        <v>801</v>
      </c>
      <c r="E4436" s="2" t="s">
        <v>7654</v>
      </c>
      <c r="F4436" s="2" t="s">
        <v>7649</v>
      </c>
      <c r="G4436" s="2" t="s">
        <v>7639</v>
      </c>
    </row>
    <row r="4437" spans="1:7">
      <c r="A4437" s="3">
        <v>200</v>
      </c>
      <c r="B4437" s="3" t="s">
        <v>707</v>
      </c>
      <c r="C4437" s="3">
        <v>268</v>
      </c>
      <c r="D4437" s="3" t="s">
        <v>934</v>
      </c>
      <c r="E4437" s="3" t="s">
        <v>7620</v>
      </c>
      <c r="F4437" s="3" t="s">
        <v>7608</v>
      </c>
      <c r="G4437" s="3" t="s">
        <v>7625</v>
      </c>
    </row>
    <row r="4438" spans="1:7">
      <c r="A4438" s="2">
        <v>200</v>
      </c>
      <c r="B4438" s="2" t="s">
        <v>707</v>
      </c>
      <c r="C4438" s="2">
        <v>269</v>
      </c>
      <c r="D4438" s="2" t="s">
        <v>825</v>
      </c>
      <c r="E4438" s="2" t="s">
        <v>7654</v>
      </c>
      <c r="F4438" s="2" t="s">
        <v>7649</v>
      </c>
      <c r="G4438" s="2" t="s">
        <v>7634</v>
      </c>
    </row>
    <row r="4439" spans="1:7">
      <c r="A4439" s="3">
        <v>200</v>
      </c>
      <c r="B4439" s="3" t="s">
        <v>707</v>
      </c>
      <c r="C4439" s="3">
        <v>270</v>
      </c>
      <c r="D4439" s="3" t="s">
        <v>769</v>
      </c>
      <c r="E4439" s="3" t="s">
        <v>7620</v>
      </c>
      <c r="F4439" s="3" t="s">
        <v>7611</v>
      </c>
      <c r="G4439" s="3" t="s">
        <v>7609</v>
      </c>
    </row>
    <row r="4440" spans="1:7">
      <c r="A4440" s="2">
        <v>200</v>
      </c>
      <c r="B4440" s="2" t="s">
        <v>707</v>
      </c>
      <c r="C4440" s="2">
        <v>272</v>
      </c>
      <c r="D4440" s="2" t="s">
        <v>873</v>
      </c>
      <c r="E4440" s="2" t="s">
        <v>7620</v>
      </c>
      <c r="F4440" s="2" t="s">
        <v>7628</v>
      </c>
      <c r="G4440" s="2" t="s">
        <v>7617</v>
      </c>
    </row>
    <row r="4441" spans="1:7">
      <c r="A4441" s="3">
        <v>200</v>
      </c>
      <c r="B4441" s="3" t="s">
        <v>707</v>
      </c>
      <c r="C4441" s="3">
        <v>273</v>
      </c>
      <c r="D4441" s="3" t="s">
        <v>816</v>
      </c>
      <c r="E4441" s="3" t="s">
        <v>7654</v>
      </c>
      <c r="F4441" s="3" t="s">
        <v>7650</v>
      </c>
      <c r="G4441" s="3" t="s">
        <v>7617</v>
      </c>
    </row>
    <row r="4442" spans="1:7">
      <c r="A4442" s="2">
        <v>200</v>
      </c>
      <c r="B4442" s="2" t="s">
        <v>707</v>
      </c>
      <c r="C4442" s="2">
        <v>275</v>
      </c>
      <c r="D4442" s="2" t="s">
        <v>781</v>
      </c>
      <c r="E4442" s="2" t="s">
        <v>7620</v>
      </c>
      <c r="F4442" s="2" t="s">
        <v>7649</v>
      </c>
      <c r="G4442" s="2" t="s">
        <v>7636</v>
      </c>
    </row>
    <row r="4443" spans="1:7">
      <c r="A4443" s="3">
        <v>200</v>
      </c>
      <c r="B4443" s="3" t="s">
        <v>707</v>
      </c>
      <c r="C4443" s="3">
        <v>276</v>
      </c>
      <c r="D4443" s="3" t="s">
        <v>842</v>
      </c>
      <c r="E4443" s="3" t="s">
        <v>7620</v>
      </c>
      <c r="F4443" s="3" t="s">
        <v>7611</v>
      </c>
      <c r="G4443" s="3" t="s">
        <v>7622</v>
      </c>
    </row>
    <row r="4444" spans="1:7">
      <c r="A4444" s="2">
        <v>200</v>
      </c>
      <c r="B4444" s="2" t="s">
        <v>707</v>
      </c>
      <c r="C4444" s="2">
        <v>277</v>
      </c>
      <c r="D4444" s="2" t="s">
        <v>796</v>
      </c>
      <c r="E4444" s="2" t="s">
        <v>7620</v>
      </c>
      <c r="F4444" s="2" t="s">
        <v>7650</v>
      </c>
      <c r="G4444" s="2" t="s">
        <v>7625</v>
      </c>
    </row>
    <row r="4445" spans="1:7">
      <c r="A4445" s="3">
        <v>200</v>
      </c>
      <c r="B4445" s="3" t="s">
        <v>707</v>
      </c>
      <c r="C4445" s="3">
        <v>278</v>
      </c>
      <c r="D4445" s="3" t="s">
        <v>800</v>
      </c>
      <c r="E4445" s="3" t="s">
        <v>7653</v>
      </c>
      <c r="F4445" s="3" t="s">
        <v>7650</v>
      </c>
      <c r="G4445" s="3" t="s">
        <v>7622</v>
      </c>
    </row>
    <row r="4446" spans="1:7">
      <c r="A4446" s="2">
        <v>200</v>
      </c>
      <c r="B4446" s="2" t="s">
        <v>707</v>
      </c>
      <c r="C4446" s="2">
        <v>281</v>
      </c>
      <c r="D4446" s="2" t="s">
        <v>856</v>
      </c>
      <c r="E4446" s="2" t="s">
        <v>7654</v>
      </c>
      <c r="F4446" s="2" t="s">
        <v>7659</v>
      </c>
      <c r="G4446" s="2" t="s">
        <v>7624</v>
      </c>
    </row>
    <row r="4447" spans="1:7">
      <c r="A4447" s="3">
        <v>200</v>
      </c>
      <c r="B4447" s="3" t="s">
        <v>707</v>
      </c>
      <c r="C4447" s="3">
        <v>282</v>
      </c>
      <c r="D4447" s="3" t="s">
        <v>885</v>
      </c>
      <c r="E4447" s="3" t="s">
        <v>7620</v>
      </c>
      <c r="F4447" s="3" t="s">
        <v>7649</v>
      </c>
      <c r="G4447" s="3" t="s">
        <v>7622</v>
      </c>
    </row>
    <row r="4448" spans="1:7">
      <c r="A4448" s="2">
        <v>200</v>
      </c>
      <c r="B4448" s="2" t="s">
        <v>707</v>
      </c>
      <c r="C4448" s="2">
        <v>284</v>
      </c>
      <c r="D4448" s="2" t="s">
        <v>854</v>
      </c>
      <c r="E4448" s="2" t="s">
        <v>7620</v>
      </c>
      <c r="F4448" s="2" t="s">
        <v>7628</v>
      </c>
      <c r="G4448" s="2" t="s">
        <v>7617</v>
      </c>
    </row>
    <row r="4449" spans="1:7">
      <c r="A4449" s="3">
        <v>200</v>
      </c>
      <c r="B4449" s="3" t="s">
        <v>707</v>
      </c>
      <c r="C4449" s="3">
        <v>285</v>
      </c>
      <c r="D4449" s="3" t="s">
        <v>854</v>
      </c>
      <c r="E4449" s="3" t="s">
        <v>7654</v>
      </c>
      <c r="F4449" s="3" t="s">
        <v>7611</v>
      </c>
      <c r="G4449" s="3" t="s">
        <v>7619</v>
      </c>
    </row>
    <row r="4450" spans="1:7">
      <c r="A4450" s="2">
        <v>200</v>
      </c>
      <c r="B4450" s="2" t="s">
        <v>707</v>
      </c>
      <c r="C4450" s="2">
        <v>286</v>
      </c>
      <c r="D4450" s="2" t="s">
        <v>807</v>
      </c>
      <c r="E4450" s="2" t="s">
        <v>7620</v>
      </c>
      <c r="F4450" s="2" t="s">
        <v>7649</v>
      </c>
      <c r="G4450" s="2" t="s">
        <v>7622</v>
      </c>
    </row>
    <row r="4451" spans="1:7">
      <c r="A4451" s="3">
        <v>200</v>
      </c>
      <c r="B4451" s="3" t="s">
        <v>707</v>
      </c>
      <c r="C4451" s="3">
        <v>287</v>
      </c>
      <c r="D4451" s="3" t="s">
        <v>929</v>
      </c>
      <c r="E4451" s="3" t="s">
        <v>7620</v>
      </c>
      <c r="F4451" s="3" t="s">
        <v>7611</v>
      </c>
      <c r="G4451" s="3" t="s">
        <v>7625</v>
      </c>
    </row>
    <row r="4452" spans="1:7">
      <c r="A4452" s="2">
        <v>200</v>
      </c>
      <c r="B4452" s="2" t="s">
        <v>707</v>
      </c>
      <c r="C4452" s="2">
        <v>288</v>
      </c>
      <c r="D4452" s="2" t="s">
        <v>805</v>
      </c>
      <c r="E4452" s="2" t="s">
        <v>7620</v>
      </c>
      <c r="F4452" s="2" t="s">
        <v>7611</v>
      </c>
      <c r="G4452" s="2" t="s">
        <v>7633</v>
      </c>
    </row>
    <row r="4453" spans="1:7">
      <c r="A4453" s="3">
        <v>200</v>
      </c>
      <c r="B4453" s="3" t="s">
        <v>707</v>
      </c>
      <c r="C4453" s="3">
        <v>289</v>
      </c>
      <c r="D4453" s="3" t="s">
        <v>854</v>
      </c>
      <c r="E4453" s="3" t="s">
        <v>7654</v>
      </c>
      <c r="F4453" s="3" t="s">
        <v>7608</v>
      </c>
      <c r="G4453" s="3" t="s">
        <v>7619</v>
      </c>
    </row>
    <row r="4454" spans="1:7">
      <c r="A4454" s="2">
        <v>200</v>
      </c>
      <c r="B4454" s="2" t="s">
        <v>707</v>
      </c>
      <c r="C4454" s="2">
        <v>290</v>
      </c>
      <c r="D4454" s="2" t="s">
        <v>854</v>
      </c>
      <c r="E4454" s="2" t="s">
        <v>7620</v>
      </c>
      <c r="F4454" s="2" t="s">
        <v>7611</v>
      </c>
      <c r="G4454" s="2" t="s">
        <v>7625</v>
      </c>
    </row>
    <row r="4455" spans="1:7">
      <c r="A4455" s="3">
        <v>200</v>
      </c>
      <c r="B4455" s="3" t="s">
        <v>707</v>
      </c>
      <c r="C4455" s="3">
        <v>291</v>
      </c>
      <c r="D4455" s="3" t="s">
        <v>854</v>
      </c>
      <c r="E4455" s="3" t="s">
        <v>7620</v>
      </c>
      <c r="F4455" s="3" t="s">
        <v>7608</v>
      </c>
      <c r="G4455" s="3" t="s">
        <v>7621</v>
      </c>
    </row>
    <row r="4456" spans="1:7">
      <c r="A4456" s="2">
        <v>200</v>
      </c>
      <c r="B4456" s="2" t="s">
        <v>707</v>
      </c>
      <c r="C4456" s="2">
        <v>292</v>
      </c>
      <c r="D4456" s="2" t="s">
        <v>854</v>
      </c>
      <c r="E4456" s="2" t="s">
        <v>7620</v>
      </c>
      <c r="F4456" s="2" t="s">
        <v>7608</v>
      </c>
      <c r="G4456" s="2" t="s">
        <v>7625</v>
      </c>
    </row>
    <row r="4457" spans="1:7">
      <c r="A4457" s="3">
        <v>200</v>
      </c>
      <c r="B4457" s="3" t="s">
        <v>707</v>
      </c>
      <c r="C4457" s="3">
        <v>293</v>
      </c>
      <c r="D4457" s="3" t="s">
        <v>854</v>
      </c>
      <c r="E4457" s="3" t="s">
        <v>7620</v>
      </c>
      <c r="F4457" s="3" t="s">
        <v>7611</v>
      </c>
      <c r="G4457" s="3" t="s">
        <v>7621</v>
      </c>
    </row>
    <row r="4458" spans="1:7">
      <c r="A4458" s="2">
        <v>200</v>
      </c>
      <c r="B4458" s="2" t="s">
        <v>707</v>
      </c>
      <c r="C4458" s="2">
        <v>294</v>
      </c>
      <c r="D4458" s="2" t="s">
        <v>854</v>
      </c>
      <c r="E4458" s="2" t="s">
        <v>7654</v>
      </c>
      <c r="F4458" s="2" t="s">
        <v>7608</v>
      </c>
      <c r="G4458" s="2" t="s">
        <v>7619</v>
      </c>
    </row>
    <row r="4459" spans="1:7">
      <c r="A4459" s="3">
        <v>200</v>
      </c>
      <c r="B4459" s="3" t="s">
        <v>707</v>
      </c>
      <c r="C4459" s="3">
        <v>295</v>
      </c>
      <c r="D4459" s="3" t="s">
        <v>854</v>
      </c>
      <c r="E4459" s="3" t="s">
        <v>7620</v>
      </c>
      <c r="F4459" s="3" t="s">
        <v>7635</v>
      </c>
      <c r="G4459" s="3" t="s">
        <v>7633</v>
      </c>
    </row>
    <row r="4460" spans="1:7">
      <c r="A4460" s="2">
        <v>200</v>
      </c>
      <c r="B4460" s="2" t="s">
        <v>707</v>
      </c>
      <c r="C4460" s="2">
        <v>296</v>
      </c>
      <c r="D4460" s="2" t="s">
        <v>854</v>
      </c>
      <c r="E4460" s="2" t="s">
        <v>7654</v>
      </c>
      <c r="F4460" s="2" t="s">
        <v>7608</v>
      </c>
      <c r="G4460" s="2" t="s">
        <v>7617</v>
      </c>
    </row>
    <row r="4461" spans="1:7">
      <c r="A4461" s="3">
        <v>200</v>
      </c>
      <c r="B4461" s="3" t="s">
        <v>707</v>
      </c>
      <c r="C4461" s="3">
        <v>298</v>
      </c>
      <c r="D4461" s="3" t="s">
        <v>854</v>
      </c>
      <c r="E4461" s="3" t="s">
        <v>7654</v>
      </c>
      <c r="F4461" s="3" t="s">
        <v>7608</v>
      </c>
      <c r="G4461" s="3" t="s">
        <v>7617</v>
      </c>
    </row>
    <row r="4462" spans="1:7">
      <c r="A4462" s="2">
        <v>200</v>
      </c>
      <c r="B4462" s="2" t="s">
        <v>707</v>
      </c>
      <c r="C4462" s="2">
        <v>299</v>
      </c>
      <c r="D4462" s="2" t="s">
        <v>854</v>
      </c>
      <c r="E4462" s="2" t="s">
        <v>7620</v>
      </c>
      <c r="F4462" s="2" t="s">
        <v>7608</v>
      </c>
      <c r="G4462" s="2" t="s">
        <v>7625</v>
      </c>
    </row>
    <row r="4463" spans="1:7">
      <c r="A4463" s="3">
        <v>200</v>
      </c>
      <c r="B4463" s="3" t="s">
        <v>707</v>
      </c>
      <c r="C4463" s="3">
        <v>300</v>
      </c>
      <c r="D4463" s="3" t="s">
        <v>854</v>
      </c>
      <c r="E4463" s="3" t="s">
        <v>7620</v>
      </c>
      <c r="F4463" s="3" t="s">
        <v>7608</v>
      </c>
      <c r="G4463" s="3" t="s">
        <v>7621</v>
      </c>
    </row>
    <row r="4464" spans="1:7">
      <c r="A4464" s="2">
        <v>200</v>
      </c>
      <c r="B4464" s="2" t="s">
        <v>707</v>
      </c>
      <c r="C4464" s="2">
        <v>301</v>
      </c>
      <c r="D4464" s="2" t="s">
        <v>850</v>
      </c>
      <c r="E4464" s="2" t="s">
        <v>7620</v>
      </c>
      <c r="F4464" s="2" t="s">
        <v>7650</v>
      </c>
      <c r="G4464" s="2" t="s">
        <v>7625</v>
      </c>
    </row>
    <row r="4465" spans="1:7">
      <c r="A4465" s="3">
        <v>200</v>
      </c>
      <c r="B4465" s="3" t="s">
        <v>707</v>
      </c>
      <c r="C4465" s="3">
        <v>302</v>
      </c>
      <c r="D4465" s="3" t="s">
        <v>916</v>
      </c>
      <c r="E4465" s="3" t="s">
        <v>7620</v>
      </c>
      <c r="F4465" s="3" t="s">
        <v>7628</v>
      </c>
      <c r="G4465" s="3" t="s">
        <v>7609</v>
      </c>
    </row>
    <row r="4466" spans="1:7">
      <c r="A4466" s="2">
        <v>200</v>
      </c>
      <c r="B4466" s="2" t="s">
        <v>707</v>
      </c>
      <c r="C4466" s="2">
        <v>303</v>
      </c>
      <c r="D4466" s="2" t="s">
        <v>854</v>
      </c>
      <c r="E4466" s="2" t="s">
        <v>7654</v>
      </c>
      <c r="F4466" s="2" t="s">
        <v>7611</v>
      </c>
      <c r="G4466" s="2" t="s">
        <v>7634</v>
      </c>
    </row>
    <row r="4467" spans="1:7">
      <c r="A4467" s="3">
        <v>200</v>
      </c>
      <c r="B4467" s="3" t="s">
        <v>707</v>
      </c>
      <c r="C4467" s="3">
        <v>304</v>
      </c>
      <c r="D4467" s="3" t="s">
        <v>854</v>
      </c>
      <c r="E4467" s="3" t="s">
        <v>7654</v>
      </c>
      <c r="F4467" s="3" t="s">
        <v>7608</v>
      </c>
      <c r="G4467" s="3" t="s">
        <v>7609</v>
      </c>
    </row>
    <row r="4468" spans="1:7">
      <c r="A4468" s="2">
        <v>200</v>
      </c>
      <c r="B4468" s="2" t="s">
        <v>707</v>
      </c>
      <c r="C4468" s="2">
        <v>306</v>
      </c>
      <c r="D4468" s="2" t="s">
        <v>854</v>
      </c>
      <c r="E4468" s="2" t="s">
        <v>7620</v>
      </c>
      <c r="F4468" s="2" t="s">
        <v>7608</v>
      </c>
      <c r="G4468" s="2" t="s">
        <v>7625</v>
      </c>
    </row>
    <row r="4469" spans="1:7">
      <c r="A4469" s="3">
        <v>200</v>
      </c>
      <c r="B4469" s="3" t="s">
        <v>707</v>
      </c>
      <c r="C4469" s="3">
        <v>307</v>
      </c>
      <c r="D4469" s="3" t="s">
        <v>854</v>
      </c>
      <c r="E4469" s="3" t="s">
        <v>7654</v>
      </c>
      <c r="F4469" s="3" t="s">
        <v>7611</v>
      </c>
      <c r="G4469" s="3" t="s">
        <v>7619</v>
      </c>
    </row>
    <row r="4470" spans="1:7">
      <c r="A4470" s="2">
        <v>200</v>
      </c>
      <c r="B4470" s="2" t="s">
        <v>707</v>
      </c>
      <c r="C4470" s="2">
        <v>309</v>
      </c>
      <c r="D4470" s="2" t="s">
        <v>854</v>
      </c>
      <c r="E4470" s="2" t="s">
        <v>7620</v>
      </c>
      <c r="F4470" s="2" t="s">
        <v>7608</v>
      </c>
      <c r="G4470" s="2" t="s">
        <v>7625</v>
      </c>
    </row>
    <row r="4471" spans="1:7">
      <c r="A4471" s="3">
        <v>200</v>
      </c>
      <c r="B4471" s="3" t="s">
        <v>707</v>
      </c>
      <c r="C4471" s="3">
        <v>311</v>
      </c>
      <c r="D4471" s="3" t="s">
        <v>954</v>
      </c>
      <c r="E4471" s="3" t="s">
        <v>7635</v>
      </c>
      <c r="F4471" s="3" t="s">
        <v>7635</v>
      </c>
      <c r="G4471" s="3" t="s">
        <v>7622</v>
      </c>
    </row>
    <row r="4472" spans="1:7">
      <c r="A4472" s="2">
        <v>200</v>
      </c>
      <c r="B4472" s="2" t="s">
        <v>707</v>
      </c>
      <c r="C4472" s="2">
        <v>312</v>
      </c>
      <c r="D4472" s="2" t="s">
        <v>949</v>
      </c>
      <c r="E4472" s="2" t="s">
        <v>7635</v>
      </c>
      <c r="F4472" s="2" t="s">
        <v>7659</v>
      </c>
      <c r="G4472" s="2" t="s">
        <v>7617</v>
      </c>
    </row>
    <row r="4473" spans="1:7">
      <c r="A4473" s="3">
        <v>200</v>
      </c>
      <c r="B4473" s="3" t="s">
        <v>707</v>
      </c>
      <c r="C4473" s="3">
        <v>314</v>
      </c>
      <c r="D4473" s="3" t="s">
        <v>1050</v>
      </c>
      <c r="E4473" s="3" t="s">
        <v>7635</v>
      </c>
      <c r="F4473" s="3" t="s">
        <v>7652</v>
      </c>
      <c r="G4473" s="3" t="s">
        <v>7609</v>
      </c>
    </row>
    <row r="4474" spans="1:7">
      <c r="A4474" s="2">
        <v>200</v>
      </c>
      <c r="B4474" s="2" t="s">
        <v>707</v>
      </c>
      <c r="C4474" s="2">
        <v>315</v>
      </c>
      <c r="D4474" s="2" t="s">
        <v>1046</v>
      </c>
      <c r="E4474" s="2" t="s">
        <v>7653</v>
      </c>
      <c r="F4474" s="2" t="s">
        <v>7650</v>
      </c>
      <c r="G4474" s="2" t="s">
        <v>7622</v>
      </c>
    </row>
    <row r="4475" spans="1:7">
      <c r="A4475" s="3">
        <v>200</v>
      </c>
      <c r="B4475" s="3" t="s">
        <v>707</v>
      </c>
      <c r="C4475" s="3">
        <v>316</v>
      </c>
      <c r="D4475" s="3" t="s">
        <v>1028</v>
      </c>
      <c r="E4475" s="3" t="s">
        <v>7654</v>
      </c>
      <c r="F4475" s="3" t="s">
        <v>7650</v>
      </c>
      <c r="G4475" s="3" t="s">
        <v>7619</v>
      </c>
    </row>
    <row r="4476" spans="1:7">
      <c r="A4476" s="2">
        <v>200</v>
      </c>
      <c r="B4476" s="2" t="s">
        <v>707</v>
      </c>
      <c r="C4476" s="2">
        <v>317</v>
      </c>
      <c r="D4476" s="2" t="s">
        <v>1030</v>
      </c>
      <c r="E4476" s="2" t="s">
        <v>7620</v>
      </c>
      <c r="F4476" s="2" t="s">
        <v>7611</v>
      </c>
      <c r="G4476" s="2" t="s">
        <v>7625</v>
      </c>
    </row>
    <row r="4477" spans="1:7">
      <c r="A4477" s="3">
        <v>200</v>
      </c>
      <c r="B4477" s="3" t="s">
        <v>707</v>
      </c>
      <c r="C4477" s="3">
        <v>318</v>
      </c>
      <c r="D4477" s="3" t="s">
        <v>1032</v>
      </c>
      <c r="E4477" s="3" t="s">
        <v>7620</v>
      </c>
      <c r="F4477" s="3" t="s">
        <v>7611</v>
      </c>
      <c r="G4477" s="3" t="s">
        <v>7625</v>
      </c>
    </row>
    <row r="4478" spans="1:7">
      <c r="A4478" s="2">
        <v>200</v>
      </c>
      <c r="B4478" s="2" t="s">
        <v>707</v>
      </c>
      <c r="C4478" s="2">
        <v>319</v>
      </c>
      <c r="D4478" s="2" t="s">
        <v>1035</v>
      </c>
      <c r="E4478" s="2" t="s">
        <v>7635</v>
      </c>
      <c r="F4478" s="2" t="s">
        <v>7628</v>
      </c>
      <c r="G4478" s="2" t="s">
        <v>7609</v>
      </c>
    </row>
    <row r="4479" spans="1:7">
      <c r="A4479" s="3">
        <v>200</v>
      </c>
      <c r="B4479" s="3" t="s">
        <v>707</v>
      </c>
      <c r="C4479" s="3">
        <v>320</v>
      </c>
      <c r="D4479" s="3" t="s">
        <v>1039</v>
      </c>
      <c r="E4479" s="3" t="s">
        <v>7743</v>
      </c>
      <c r="F4479" s="3" t="s">
        <v>7652</v>
      </c>
      <c r="G4479" s="3" t="s">
        <v>7644</v>
      </c>
    </row>
    <row r="4480" spans="1:7">
      <c r="A4480" s="2">
        <v>200</v>
      </c>
      <c r="B4480" s="2" t="s">
        <v>707</v>
      </c>
      <c r="C4480" s="2">
        <v>321</v>
      </c>
      <c r="D4480" s="2" t="s">
        <v>1048</v>
      </c>
      <c r="E4480" s="2" t="s">
        <v>7654</v>
      </c>
      <c r="F4480" s="2" t="s">
        <v>7649</v>
      </c>
      <c r="G4480" s="2" t="s">
        <v>7639</v>
      </c>
    </row>
    <row r="4481" spans="1:7">
      <c r="A4481" s="3">
        <v>200</v>
      </c>
      <c r="B4481" s="3" t="s">
        <v>707</v>
      </c>
      <c r="C4481" s="3">
        <v>322</v>
      </c>
      <c r="D4481" s="3" t="s">
        <v>1012</v>
      </c>
      <c r="E4481" s="3" t="s">
        <v>7743</v>
      </c>
      <c r="F4481" s="3" t="s">
        <v>7652</v>
      </c>
      <c r="G4481" s="3" t="s">
        <v>7644</v>
      </c>
    </row>
    <row r="4482" spans="1:7">
      <c r="A4482" s="2">
        <v>200</v>
      </c>
      <c r="B4482" s="2" t="s">
        <v>707</v>
      </c>
      <c r="C4482" s="2">
        <v>323</v>
      </c>
      <c r="D4482" s="2" t="s">
        <v>1016</v>
      </c>
      <c r="E4482" s="2" t="s">
        <v>7654</v>
      </c>
      <c r="F4482" s="2" t="s">
        <v>7649</v>
      </c>
      <c r="G4482" s="2" t="s">
        <v>7639</v>
      </c>
    </row>
    <row r="4483" spans="1:7">
      <c r="A4483" s="3">
        <v>200</v>
      </c>
      <c r="B4483" s="3" t="s">
        <v>707</v>
      </c>
      <c r="C4483" s="3">
        <v>325</v>
      </c>
      <c r="D4483" s="3" t="s">
        <v>1020</v>
      </c>
      <c r="E4483" s="3" t="s">
        <v>7620</v>
      </c>
      <c r="F4483" s="3" t="s">
        <v>7611</v>
      </c>
      <c r="G4483" s="3" t="s">
        <v>7633</v>
      </c>
    </row>
    <row r="4484" spans="1:7">
      <c r="A4484" s="2">
        <v>200</v>
      </c>
      <c r="B4484" s="2" t="s">
        <v>707</v>
      </c>
      <c r="C4484" s="2">
        <v>326</v>
      </c>
      <c r="D4484" s="2" t="s">
        <v>1022</v>
      </c>
      <c r="E4484" s="2" t="s">
        <v>7654</v>
      </c>
      <c r="F4484" s="2" t="s">
        <v>7628</v>
      </c>
      <c r="G4484" s="2" t="s">
        <v>7639</v>
      </c>
    </row>
    <row r="4485" spans="1:7">
      <c r="A4485" s="3">
        <v>200</v>
      </c>
      <c r="B4485" s="3" t="s">
        <v>707</v>
      </c>
      <c r="C4485" s="3">
        <v>327</v>
      </c>
      <c r="D4485" s="3" t="s">
        <v>1025</v>
      </c>
      <c r="E4485" s="3" t="s">
        <v>7620</v>
      </c>
      <c r="F4485" s="3" t="s">
        <v>7628</v>
      </c>
      <c r="G4485" s="3" t="s">
        <v>7622</v>
      </c>
    </row>
    <row r="4486" spans="1:7">
      <c r="A4486" s="2">
        <v>200</v>
      </c>
      <c r="B4486" s="2" t="s">
        <v>707</v>
      </c>
      <c r="C4486" s="2">
        <v>328</v>
      </c>
      <c r="D4486" s="2" t="s">
        <v>1026</v>
      </c>
      <c r="E4486" s="2" t="s">
        <v>7654</v>
      </c>
      <c r="F4486" s="2" t="s">
        <v>7649</v>
      </c>
      <c r="G4486" s="2" t="s">
        <v>7624</v>
      </c>
    </row>
    <row r="4487" spans="1:7">
      <c r="A4487" s="3">
        <v>200</v>
      </c>
      <c r="B4487" s="3" t="s">
        <v>707</v>
      </c>
      <c r="C4487" s="3">
        <v>329</v>
      </c>
      <c r="D4487" s="3" t="s">
        <v>965</v>
      </c>
      <c r="E4487" s="3" t="s">
        <v>7654</v>
      </c>
      <c r="F4487" s="3" t="s">
        <v>7649</v>
      </c>
      <c r="G4487" s="3" t="s">
        <v>7644</v>
      </c>
    </row>
    <row r="4488" spans="1:7">
      <c r="A4488" s="2">
        <v>200</v>
      </c>
      <c r="B4488" s="2" t="s">
        <v>707</v>
      </c>
      <c r="C4488" s="2">
        <v>330</v>
      </c>
      <c r="D4488" s="2" t="s">
        <v>974</v>
      </c>
      <c r="E4488" s="2" t="s">
        <v>7620</v>
      </c>
      <c r="F4488" s="2" t="s">
        <v>7652</v>
      </c>
      <c r="G4488" s="2" t="s">
        <v>7617</v>
      </c>
    </row>
    <row r="4489" spans="1:7">
      <c r="A4489" s="3">
        <v>200</v>
      </c>
      <c r="B4489" s="3" t="s">
        <v>707</v>
      </c>
      <c r="C4489" s="3">
        <v>333</v>
      </c>
      <c r="D4489" s="3" t="s">
        <v>989</v>
      </c>
      <c r="E4489" s="3" t="s">
        <v>7654</v>
      </c>
      <c r="F4489" s="3" t="s">
        <v>7649</v>
      </c>
      <c r="G4489" s="3" t="s">
        <v>7639</v>
      </c>
    </row>
    <row r="4490" spans="1:7">
      <c r="A4490" s="2">
        <v>200</v>
      </c>
      <c r="B4490" s="2" t="s">
        <v>707</v>
      </c>
      <c r="C4490" s="2">
        <v>334</v>
      </c>
      <c r="D4490" s="2" t="s">
        <v>970</v>
      </c>
      <c r="E4490" s="2" t="s">
        <v>7654</v>
      </c>
      <c r="F4490" s="2" t="s">
        <v>7659</v>
      </c>
      <c r="G4490" s="2" t="s">
        <v>7644</v>
      </c>
    </row>
    <row r="4491" spans="1:7">
      <c r="A4491" s="3">
        <v>200</v>
      </c>
      <c r="B4491" s="3" t="s">
        <v>707</v>
      </c>
      <c r="C4491" s="3">
        <v>335</v>
      </c>
      <c r="D4491" s="3" t="s">
        <v>1057</v>
      </c>
      <c r="E4491" s="3" t="s">
        <v>7620</v>
      </c>
      <c r="F4491" s="3" t="s">
        <v>7611</v>
      </c>
      <c r="G4491" s="3" t="s">
        <v>7621</v>
      </c>
    </row>
    <row r="4492" spans="1:7">
      <c r="A4492" s="2">
        <v>200</v>
      </c>
      <c r="B4492" s="2" t="s">
        <v>707</v>
      </c>
      <c r="C4492" s="2">
        <v>336</v>
      </c>
      <c r="D4492" s="2" t="s">
        <v>992</v>
      </c>
      <c r="E4492" s="2" t="s">
        <v>7620</v>
      </c>
      <c r="F4492" s="2" t="s">
        <v>7611</v>
      </c>
      <c r="G4492" s="2" t="s">
        <v>7621</v>
      </c>
    </row>
    <row r="4493" spans="1:7">
      <c r="A4493" s="3">
        <v>200</v>
      </c>
      <c r="B4493" s="3" t="s">
        <v>707</v>
      </c>
      <c r="C4493" s="3">
        <v>337</v>
      </c>
      <c r="D4493" s="3" t="s">
        <v>1042</v>
      </c>
      <c r="E4493" s="3" t="s">
        <v>7620</v>
      </c>
      <c r="F4493" s="3" t="s">
        <v>7649</v>
      </c>
      <c r="G4493" s="3" t="s">
        <v>7622</v>
      </c>
    </row>
    <row r="4494" spans="1:7">
      <c r="A4494" s="2">
        <v>200</v>
      </c>
      <c r="B4494" s="2" t="s">
        <v>707</v>
      </c>
      <c r="C4494" s="2">
        <v>338</v>
      </c>
      <c r="D4494" s="2" t="s">
        <v>996</v>
      </c>
      <c r="E4494" s="2" t="s">
        <v>7620</v>
      </c>
      <c r="F4494" s="2" t="s">
        <v>7649</v>
      </c>
      <c r="G4494" s="2" t="s">
        <v>7633</v>
      </c>
    </row>
    <row r="4495" spans="1:7">
      <c r="A4495" s="3">
        <v>200</v>
      </c>
      <c r="B4495" s="3" t="s">
        <v>707</v>
      </c>
      <c r="C4495" s="3">
        <v>339</v>
      </c>
      <c r="D4495" s="3" t="s">
        <v>1058</v>
      </c>
      <c r="E4495" s="3" t="s">
        <v>7620</v>
      </c>
      <c r="F4495" s="3" t="s">
        <v>7611</v>
      </c>
      <c r="G4495" s="3" t="s">
        <v>7625</v>
      </c>
    </row>
    <row r="4496" spans="1:7">
      <c r="A4496" s="2">
        <v>200</v>
      </c>
      <c r="B4496" s="2" t="s">
        <v>707</v>
      </c>
      <c r="C4496" s="2">
        <v>340</v>
      </c>
      <c r="D4496" s="2" t="s">
        <v>1000</v>
      </c>
      <c r="E4496" s="2" t="s">
        <v>7654</v>
      </c>
      <c r="F4496" s="2" t="s">
        <v>7650</v>
      </c>
      <c r="G4496" s="2" t="s">
        <v>7639</v>
      </c>
    </row>
    <row r="4497" spans="1:7">
      <c r="A4497" s="3">
        <v>200</v>
      </c>
      <c r="B4497" s="3" t="s">
        <v>707</v>
      </c>
      <c r="C4497" s="3">
        <v>341</v>
      </c>
      <c r="D4497" s="3" t="s">
        <v>1052</v>
      </c>
      <c r="E4497" s="3" t="s">
        <v>7620</v>
      </c>
      <c r="F4497" s="3" t="s">
        <v>7649</v>
      </c>
      <c r="G4497" s="3" t="s">
        <v>7622</v>
      </c>
    </row>
    <row r="4498" spans="1:7">
      <c r="A4498" s="2">
        <v>200</v>
      </c>
      <c r="B4498" s="2" t="s">
        <v>707</v>
      </c>
      <c r="C4498" s="2">
        <v>342</v>
      </c>
      <c r="D4498" s="2" t="s">
        <v>854</v>
      </c>
      <c r="E4498" s="2" t="s">
        <v>7620</v>
      </c>
      <c r="F4498" s="2" t="s">
        <v>7608</v>
      </c>
      <c r="G4498" s="2" t="s">
        <v>7625</v>
      </c>
    </row>
    <row r="4499" spans="1:7">
      <c r="A4499" s="3">
        <v>200</v>
      </c>
      <c r="B4499" s="3" t="s">
        <v>707</v>
      </c>
      <c r="C4499" s="3">
        <v>343</v>
      </c>
      <c r="D4499" s="3" t="s">
        <v>977</v>
      </c>
      <c r="E4499" s="3" t="s">
        <v>7747</v>
      </c>
      <c r="F4499" s="3" t="s">
        <v>7659</v>
      </c>
      <c r="G4499" s="3" t="s">
        <v>7670</v>
      </c>
    </row>
    <row r="4500" spans="1:7">
      <c r="A4500" s="2">
        <v>200</v>
      </c>
      <c r="B4500" s="2" t="s">
        <v>707</v>
      </c>
      <c r="C4500" s="2">
        <v>402</v>
      </c>
      <c r="D4500" s="2" t="s">
        <v>1120</v>
      </c>
      <c r="E4500" s="2" t="s">
        <v>7653</v>
      </c>
      <c r="F4500" s="2" t="s">
        <v>7649</v>
      </c>
      <c r="G4500" s="2" t="s">
        <v>7619</v>
      </c>
    </row>
    <row r="4501" spans="1:7">
      <c r="A4501" s="3">
        <v>200</v>
      </c>
      <c r="B4501" s="3" t="s">
        <v>707</v>
      </c>
      <c r="C4501" s="3">
        <v>405</v>
      </c>
      <c r="D4501" s="3" t="s">
        <v>1110</v>
      </c>
      <c r="E4501" s="3" t="s">
        <v>7620</v>
      </c>
      <c r="F4501" s="3" t="s">
        <v>7611</v>
      </c>
      <c r="G4501" s="3" t="s">
        <v>7621</v>
      </c>
    </row>
    <row r="4502" spans="1:7">
      <c r="A4502" s="2">
        <v>200</v>
      </c>
      <c r="B4502" s="2" t="s">
        <v>707</v>
      </c>
      <c r="C4502" s="2">
        <v>406</v>
      </c>
      <c r="D4502" s="2" t="s">
        <v>1114</v>
      </c>
      <c r="E4502" s="2" t="s">
        <v>7620</v>
      </c>
      <c r="F4502" s="2" t="s">
        <v>7628</v>
      </c>
      <c r="G4502" s="2" t="s">
        <v>7617</v>
      </c>
    </row>
    <row r="4503" spans="1:7">
      <c r="A4503" s="3">
        <v>200</v>
      </c>
      <c r="B4503" s="3" t="s">
        <v>707</v>
      </c>
      <c r="C4503" s="3">
        <v>409</v>
      </c>
      <c r="D4503" s="3" t="s">
        <v>1126</v>
      </c>
      <c r="E4503" s="3" t="s">
        <v>7620</v>
      </c>
      <c r="F4503" s="3" t="s">
        <v>7611</v>
      </c>
      <c r="G4503" s="3" t="s">
        <v>7625</v>
      </c>
    </row>
    <row r="4504" spans="1:7">
      <c r="A4504" s="2">
        <v>200</v>
      </c>
      <c r="B4504" s="2" t="s">
        <v>707</v>
      </c>
      <c r="C4504" s="2">
        <v>410</v>
      </c>
      <c r="D4504" s="2" t="s">
        <v>1123</v>
      </c>
      <c r="E4504" s="2" t="s">
        <v>7620</v>
      </c>
      <c r="F4504" s="2" t="s">
        <v>7611</v>
      </c>
      <c r="G4504" s="2" t="s">
        <v>7625</v>
      </c>
    </row>
    <row r="4505" spans="1:7">
      <c r="A4505" s="3">
        <v>201</v>
      </c>
      <c r="B4505" s="3" t="s">
        <v>695</v>
      </c>
      <c r="C4505" s="3">
        <v>202</v>
      </c>
      <c r="D4505" s="3" t="s">
        <v>712</v>
      </c>
      <c r="E4505" s="3" t="s">
        <v>7724</v>
      </c>
      <c r="F4505" s="3" t="s">
        <v>7652</v>
      </c>
      <c r="G4505" s="3" t="s">
        <v>7619</v>
      </c>
    </row>
    <row r="4506" spans="1:7">
      <c r="A4506" s="2">
        <v>201</v>
      </c>
      <c r="B4506" s="2" t="s">
        <v>695</v>
      </c>
      <c r="C4506" s="2">
        <v>203</v>
      </c>
      <c r="D4506" s="2" t="s">
        <v>681</v>
      </c>
      <c r="E4506" s="2" t="s">
        <v>7635</v>
      </c>
      <c r="F4506" s="2" t="s">
        <v>7652</v>
      </c>
      <c r="G4506" s="2" t="s">
        <v>7633</v>
      </c>
    </row>
    <row r="4507" spans="1:7">
      <c r="A4507" s="3">
        <v>201</v>
      </c>
      <c r="B4507" s="3" t="s">
        <v>695</v>
      </c>
      <c r="C4507" s="3">
        <v>204</v>
      </c>
      <c r="D4507" s="3" t="s">
        <v>685</v>
      </c>
      <c r="E4507" s="3" t="s">
        <v>7724</v>
      </c>
      <c r="F4507" s="3" t="s">
        <v>7659</v>
      </c>
      <c r="G4507" s="3" t="s">
        <v>7624</v>
      </c>
    </row>
    <row r="4508" spans="1:7">
      <c r="A4508" s="2">
        <v>201</v>
      </c>
      <c r="B4508" s="2" t="s">
        <v>695</v>
      </c>
      <c r="C4508" s="2">
        <v>205</v>
      </c>
      <c r="D4508" s="2" t="s">
        <v>746</v>
      </c>
      <c r="E4508" s="2" t="s">
        <v>7635</v>
      </c>
      <c r="F4508" s="2" t="s">
        <v>7628</v>
      </c>
      <c r="G4508" s="2" t="s">
        <v>7633</v>
      </c>
    </row>
    <row r="4509" spans="1:7">
      <c r="A4509" s="3">
        <v>201</v>
      </c>
      <c r="B4509" s="3" t="s">
        <v>695</v>
      </c>
      <c r="C4509" s="3">
        <v>206</v>
      </c>
      <c r="D4509" s="3" t="s">
        <v>723</v>
      </c>
      <c r="E4509" s="3" t="s">
        <v>7635</v>
      </c>
      <c r="F4509" s="3" t="s">
        <v>7635</v>
      </c>
      <c r="G4509" s="3" t="s">
        <v>7625</v>
      </c>
    </row>
    <row r="4510" spans="1:7">
      <c r="A4510" s="2">
        <v>201</v>
      </c>
      <c r="B4510" s="2" t="s">
        <v>695</v>
      </c>
      <c r="C4510" s="2">
        <v>207</v>
      </c>
      <c r="D4510" s="2" t="s">
        <v>749</v>
      </c>
      <c r="E4510" s="2" t="s">
        <v>7635</v>
      </c>
      <c r="F4510" s="2" t="s">
        <v>7611</v>
      </c>
      <c r="G4510" s="2" t="s">
        <v>7625</v>
      </c>
    </row>
    <row r="4511" spans="1:7">
      <c r="A4511" s="3">
        <v>201</v>
      </c>
      <c r="B4511" s="3" t="s">
        <v>695</v>
      </c>
      <c r="C4511" s="3">
        <v>208</v>
      </c>
      <c r="D4511" s="3" t="s">
        <v>754</v>
      </c>
      <c r="E4511" s="3" t="s">
        <v>7635</v>
      </c>
      <c r="F4511" s="3" t="s">
        <v>7628</v>
      </c>
      <c r="G4511" s="3" t="s">
        <v>7633</v>
      </c>
    </row>
    <row r="4512" spans="1:7">
      <c r="A4512" s="2">
        <v>201</v>
      </c>
      <c r="B4512" s="2" t="s">
        <v>695</v>
      </c>
      <c r="C4512" s="2">
        <v>209</v>
      </c>
      <c r="D4512" s="2" t="s">
        <v>758</v>
      </c>
      <c r="E4512" s="2" t="s">
        <v>7675</v>
      </c>
      <c r="F4512" s="2" t="s">
        <v>7652</v>
      </c>
      <c r="G4512" s="2" t="s">
        <v>7633</v>
      </c>
    </row>
    <row r="4513" spans="1:7">
      <c r="A4513" s="3">
        <v>201</v>
      </c>
      <c r="B4513" s="3" t="s">
        <v>695</v>
      </c>
      <c r="C4513" s="3">
        <v>219</v>
      </c>
      <c r="D4513" s="3" t="s">
        <v>822</v>
      </c>
      <c r="E4513" s="3" t="s">
        <v>7608</v>
      </c>
      <c r="F4513" s="3" t="s">
        <v>7659</v>
      </c>
      <c r="G4513" s="3" t="s">
        <v>7625</v>
      </c>
    </row>
    <row r="4514" spans="1:7">
      <c r="A4514" s="2">
        <v>201</v>
      </c>
      <c r="B4514" s="2" t="s">
        <v>695</v>
      </c>
      <c r="C4514" s="2">
        <v>220</v>
      </c>
      <c r="D4514" s="2" t="s">
        <v>810</v>
      </c>
      <c r="E4514" s="2" t="s">
        <v>7608</v>
      </c>
      <c r="F4514" s="2" t="s">
        <v>7659</v>
      </c>
      <c r="G4514" s="2" t="s">
        <v>7625</v>
      </c>
    </row>
    <row r="4515" spans="1:7">
      <c r="A4515" s="3">
        <v>201</v>
      </c>
      <c r="B4515" s="3" t="s">
        <v>695</v>
      </c>
      <c r="C4515" s="3">
        <v>264</v>
      </c>
      <c r="D4515" s="3" t="s">
        <v>775</v>
      </c>
      <c r="E4515" s="3" t="s">
        <v>7635</v>
      </c>
      <c r="F4515" s="3" t="s">
        <v>7659</v>
      </c>
      <c r="G4515" s="3" t="s">
        <v>7636</v>
      </c>
    </row>
    <row r="4516" spans="1:7">
      <c r="A4516" s="2">
        <v>201</v>
      </c>
      <c r="B4516" s="2" t="s">
        <v>695</v>
      </c>
      <c r="C4516" s="2">
        <v>266</v>
      </c>
      <c r="D4516" s="2" t="s">
        <v>826</v>
      </c>
      <c r="E4516" s="2" t="s">
        <v>7608</v>
      </c>
      <c r="F4516" s="2" t="s">
        <v>7659</v>
      </c>
      <c r="G4516" s="2" t="s">
        <v>7625</v>
      </c>
    </row>
    <row r="4517" spans="1:7">
      <c r="A4517" s="3">
        <v>201</v>
      </c>
      <c r="B4517" s="3" t="s">
        <v>695</v>
      </c>
      <c r="C4517" s="3">
        <v>281</v>
      </c>
      <c r="D4517" s="3" t="s">
        <v>856</v>
      </c>
      <c r="E4517" s="3" t="s">
        <v>7608</v>
      </c>
      <c r="F4517" s="3" t="s">
        <v>7659</v>
      </c>
      <c r="G4517" s="3" t="s">
        <v>7621</v>
      </c>
    </row>
    <row r="4518" spans="1:7">
      <c r="A4518" s="2">
        <v>201</v>
      </c>
      <c r="B4518" s="2" t="s">
        <v>695</v>
      </c>
      <c r="C4518" s="2">
        <v>311</v>
      </c>
      <c r="D4518" s="2" t="s">
        <v>954</v>
      </c>
      <c r="E4518" s="2" t="s">
        <v>7635</v>
      </c>
      <c r="F4518" s="2" t="s">
        <v>7635</v>
      </c>
      <c r="G4518" s="2" t="s">
        <v>7621</v>
      </c>
    </row>
    <row r="4519" spans="1:7">
      <c r="A4519" s="3">
        <v>201</v>
      </c>
      <c r="B4519" s="3" t="s">
        <v>695</v>
      </c>
      <c r="C4519" s="3">
        <v>312</v>
      </c>
      <c r="D4519" s="3" t="s">
        <v>949</v>
      </c>
      <c r="E4519" s="3" t="s">
        <v>7635</v>
      </c>
      <c r="F4519" s="3" t="s">
        <v>7659</v>
      </c>
      <c r="G4519" s="3" t="s">
        <v>7617</v>
      </c>
    </row>
    <row r="4520" spans="1:7">
      <c r="A4520" s="2">
        <v>201</v>
      </c>
      <c r="B4520" s="2" t="s">
        <v>695</v>
      </c>
      <c r="C4520" s="2">
        <v>314</v>
      </c>
      <c r="D4520" s="2" t="s">
        <v>1050</v>
      </c>
      <c r="E4520" s="2" t="s">
        <v>7635</v>
      </c>
      <c r="F4520" s="2" t="s">
        <v>7652</v>
      </c>
      <c r="G4520" s="2" t="s">
        <v>7609</v>
      </c>
    </row>
    <row r="4521" spans="1:7">
      <c r="A4521" s="3">
        <v>201</v>
      </c>
      <c r="B4521" s="3" t="s">
        <v>695</v>
      </c>
      <c r="C4521" s="3">
        <v>316</v>
      </c>
      <c r="D4521" s="3" t="s">
        <v>1028</v>
      </c>
      <c r="E4521" s="3" t="s">
        <v>7675</v>
      </c>
      <c r="F4521" s="3" t="s">
        <v>7650</v>
      </c>
      <c r="G4521" s="3" t="s">
        <v>7621</v>
      </c>
    </row>
    <row r="4522" spans="1:7">
      <c r="A4522" s="2">
        <v>201</v>
      </c>
      <c r="B4522" s="2" t="s">
        <v>695</v>
      </c>
      <c r="C4522" s="2">
        <v>319</v>
      </c>
      <c r="D4522" s="2" t="s">
        <v>1035</v>
      </c>
      <c r="E4522" s="2" t="s">
        <v>7741</v>
      </c>
      <c r="F4522" s="2" t="s">
        <v>7628</v>
      </c>
      <c r="G4522" s="2" t="s">
        <v>7639</v>
      </c>
    </row>
    <row r="4523" spans="1:7">
      <c r="A4523" s="3">
        <v>201</v>
      </c>
      <c r="B4523" s="3" t="s">
        <v>695</v>
      </c>
      <c r="C4523" s="3">
        <v>320</v>
      </c>
      <c r="D4523" s="3" t="s">
        <v>1039</v>
      </c>
      <c r="E4523" s="3" t="s">
        <v>7724</v>
      </c>
      <c r="F4523" s="3" t="s">
        <v>7652</v>
      </c>
      <c r="G4523" s="3" t="s">
        <v>7634</v>
      </c>
    </row>
    <row r="4524" spans="1:7">
      <c r="A4524" s="2">
        <v>201</v>
      </c>
      <c r="B4524" s="2" t="s">
        <v>695</v>
      </c>
      <c r="C4524" s="2">
        <v>322</v>
      </c>
      <c r="D4524" s="2" t="s">
        <v>1012</v>
      </c>
      <c r="E4524" s="2" t="s">
        <v>7724</v>
      </c>
      <c r="F4524" s="2" t="s">
        <v>7652</v>
      </c>
      <c r="G4524" s="2" t="s">
        <v>7634</v>
      </c>
    </row>
    <row r="4525" spans="1:7">
      <c r="A4525" s="3">
        <v>201</v>
      </c>
      <c r="B4525" s="3" t="s">
        <v>695</v>
      </c>
      <c r="C4525" s="3">
        <v>334</v>
      </c>
      <c r="D4525" s="3" t="s">
        <v>970</v>
      </c>
      <c r="E4525" s="3" t="s">
        <v>7675</v>
      </c>
      <c r="F4525" s="3" t="s">
        <v>7659</v>
      </c>
      <c r="G4525" s="3" t="s">
        <v>7617</v>
      </c>
    </row>
    <row r="4526" spans="1:7">
      <c r="A4526" s="2">
        <v>201</v>
      </c>
      <c r="B4526" s="2" t="s">
        <v>695</v>
      </c>
      <c r="C4526" s="2">
        <v>343</v>
      </c>
      <c r="D4526" s="2" t="s">
        <v>977</v>
      </c>
      <c r="E4526" s="2" t="s">
        <v>7724</v>
      </c>
      <c r="F4526" s="2" t="s">
        <v>7659</v>
      </c>
      <c r="G4526" s="2" t="s">
        <v>7632</v>
      </c>
    </row>
    <row r="4527" spans="1:7">
      <c r="A4527" s="3">
        <v>202</v>
      </c>
      <c r="B4527" s="3" t="s">
        <v>712</v>
      </c>
      <c r="C4527" s="3">
        <v>205</v>
      </c>
      <c r="D4527" s="3" t="s">
        <v>746</v>
      </c>
      <c r="E4527" s="3" t="s">
        <v>7635</v>
      </c>
      <c r="F4527" s="3" t="s">
        <v>7677</v>
      </c>
      <c r="G4527" s="3" t="s">
        <v>7622</v>
      </c>
    </row>
    <row r="4528" spans="1:7">
      <c r="A4528" s="2">
        <v>202</v>
      </c>
      <c r="B4528" s="2" t="s">
        <v>712</v>
      </c>
      <c r="C4528" s="2">
        <v>208</v>
      </c>
      <c r="D4528" s="2" t="s">
        <v>754</v>
      </c>
      <c r="E4528" s="2" t="s">
        <v>7635</v>
      </c>
      <c r="F4528" s="2" t="s">
        <v>7677</v>
      </c>
      <c r="G4528" s="2" t="s">
        <v>7622</v>
      </c>
    </row>
    <row r="4529" spans="1:7">
      <c r="A4529" s="3">
        <v>202</v>
      </c>
      <c r="B4529" s="3" t="s">
        <v>712</v>
      </c>
      <c r="C4529" s="3">
        <v>209</v>
      </c>
      <c r="D4529" s="3" t="s">
        <v>758</v>
      </c>
      <c r="E4529" s="3" t="s">
        <v>7608</v>
      </c>
      <c r="F4529" s="3" t="s">
        <v>7678</v>
      </c>
      <c r="G4529" s="3" t="s">
        <v>7621</v>
      </c>
    </row>
    <row r="4530" spans="1:7">
      <c r="A4530" s="2">
        <v>202</v>
      </c>
      <c r="B4530" s="2" t="s">
        <v>712</v>
      </c>
      <c r="C4530" s="2">
        <v>264</v>
      </c>
      <c r="D4530" s="2" t="s">
        <v>775</v>
      </c>
      <c r="E4530" s="2" t="s">
        <v>7635</v>
      </c>
      <c r="F4530" s="2" t="s">
        <v>7652</v>
      </c>
      <c r="G4530" s="2" t="s">
        <v>7633</v>
      </c>
    </row>
    <row r="4531" spans="1:7">
      <c r="A4531" s="3">
        <v>202</v>
      </c>
      <c r="B4531" s="3" t="s">
        <v>712</v>
      </c>
      <c r="C4531" s="3">
        <v>343</v>
      </c>
      <c r="D4531" s="3" t="s">
        <v>977</v>
      </c>
      <c r="E4531" s="3" t="s">
        <v>7743</v>
      </c>
      <c r="F4531" s="3" t="s">
        <v>7661</v>
      </c>
      <c r="G4531" s="3" t="s">
        <v>7612</v>
      </c>
    </row>
    <row r="4532" spans="1:7">
      <c r="A4532" s="2">
        <v>203</v>
      </c>
      <c r="B4532" s="2" t="s">
        <v>681</v>
      </c>
      <c r="C4532" s="2">
        <v>205</v>
      </c>
      <c r="D4532" s="2" t="s">
        <v>746</v>
      </c>
      <c r="E4532" s="2" t="s">
        <v>7635</v>
      </c>
      <c r="F4532" s="2" t="s">
        <v>7635</v>
      </c>
      <c r="G4532" s="2" t="s">
        <v>7622</v>
      </c>
    </row>
    <row r="4533" spans="1:7">
      <c r="A4533" s="3">
        <v>203</v>
      </c>
      <c r="B4533" s="3" t="s">
        <v>681</v>
      </c>
      <c r="C4533" s="3">
        <v>208</v>
      </c>
      <c r="D4533" s="3" t="s">
        <v>754</v>
      </c>
      <c r="E4533" s="3" t="s">
        <v>7635</v>
      </c>
      <c r="F4533" s="3" t="s">
        <v>7635</v>
      </c>
      <c r="G4533" s="3" t="s">
        <v>7621</v>
      </c>
    </row>
    <row r="4534" spans="1:7">
      <c r="A4534" s="2">
        <v>203</v>
      </c>
      <c r="B4534" s="2" t="s">
        <v>681</v>
      </c>
      <c r="C4534" s="2">
        <v>264</v>
      </c>
      <c r="D4534" s="2" t="s">
        <v>775</v>
      </c>
      <c r="E4534" s="2" t="s">
        <v>7635</v>
      </c>
      <c r="F4534" s="2" t="s">
        <v>7652</v>
      </c>
      <c r="G4534" s="2" t="s">
        <v>7609</v>
      </c>
    </row>
    <row r="4535" spans="1:7">
      <c r="A4535" s="3">
        <v>203</v>
      </c>
      <c r="B4535" s="3" t="s">
        <v>681</v>
      </c>
      <c r="C4535" s="3">
        <v>343</v>
      </c>
      <c r="D4535" s="3" t="s">
        <v>977</v>
      </c>
      <c r="E4535" s="3" t="s">
        <v>7635</v>
      </c>
      <c r="F4535" s="3" t="s">
        <v>7652</v>
      </c>
      <c r="G4535" s="3" t="s">
        <v>7633</v>
      </c>
    </row>
    <row r="4536" spans="1:7">
      <c r="A4536" s="2">
        <v>204</v>
      </c>
      <c r="B4536" s="2" t="s">
        <v>685</v>
      </c>
      <c r="C4536" s="2">
        <v>205</v>
      </c>
      <c r="D4536" s="2" t="s">
        <v>746</v>
      </c>
      <c r="E4536" s="2" t="s">
        <v>7635</v>
      </c>
      <c r="F4536" s="2" t="s">
        <v>7628</v>
      </c>
      <c r="G4536" s="2" t="s">
        <v>7633</v>
      </c>
    </row>
    <row r="4537" spans="1:7">
      <c r="A4537" s="3">
        <v>204</v>
      </c>
      <c r="B4537" s="3" t="s">
        <v>685</v>
      </c>
      <c r="C4537" s="3">
        <v>207</v>
      </c>
      <c r="D4537" s="3" t="s">
        <v>749</v>
      </c>
      <c r="E4537" s="3" t="s">
        <v>7635</v>
      </c>
      <c r="F4537" s="3" t="s">
        <v>7611</v>
      </c>
      <c r="G4537" s="3" t="s">
        <v>7625</v>
      </c>
    </row>
    <row r="4538" spans="1:7">
      <c r="A4538" s="2">
        <v>204</v>
      </c>
      <c r="B4538" s="2" t="s">
        <v>685</v>
      </c>
      <c r="C4538" s="2">
        <v>208</v>
      </c>
      <c r="D4538" s="2" t="s">
        <v>754</v>
      </c>
      <c r="E4538" s="2" t="s">
        <v>7635</v>
      </c>
      <c r="F4538" s="2" t="s">
        <v>7628</v>
      </c>
      <c r="G4538" s="2" t="s">
        <v>7622</v>
      </c>
    </row>
    <row r="4539" spans="1:7">
      <c r="A4539" s="3">
        <v>204</v>
      </c>
      <c r="B4539" s="3" t="s">
        <v>685</v>
      </c>
      <c r="C4539" s="3">
        <v>219</v>
      </c>
      <c r="D4539" s="3" t="s">
        <v>822</v>
      </c>
      <c r="E4539" s="3" t="s">
        <v>7608</v>
      </c>
      <c r="F4539" s="3" t="s">
        <v>7659</v>
      </c>
      <c r="G4539" s="3" t="s">
        <v>7625</v>
      </c>
    </row>
    <row r="4540" spans="1:7">
      <c r="A4540" s="2">
        <v>204</v>
      </c>
      <c r="B4540" s="2" t="s">
        <v>685</v>
      </c>
      <c r="C4540" s="2">
        <v>220</v>
      </c>
      <c r="D4540" s="2" t="s">
        <v>810</v>
      </c>
      <c r="E4540" s="2" t="s">
        <v>7608</v>
      </c>
      <c r="F4540" s="2" t="s">
        <v>7659</v>
      </c>
      <c r="G4540" s="2" t="s">
        <v>7625</v>
      </c>
    </row>
    <row r="4541" spans="1:7">
      <c r="A4541" s="3">
        <v>204</v>
      </c>
      <c r="B4541" s="3" t="s">
        <v>685</v>
      </c>
      <c r="C4541" s="3">
        <v>264</v>
      </c>
      <c r="D4541" s="3" t="s">
        <v>775</v>
      </c>
      <c r="E4541" s="3" t="s">
        <v>7635</v>
      </c>
      <c r="F4541" s="3" t="s">
        <v>7659</v>
      </c>
      <c r="G4541" s="3" t="s">
        <v>7636</v>
      </c>
    </row>
    <row r="4542" spans="1:7">
      <c r="A4542" s="2">
        <v>204</v>
      </c>
      <c r="B4542" s="2" t="s">
        <v>685</v>
      </c>
      <c r="C4542" s="2">
        <v>266</v>
      </c>
      <c r="D4542" s="2" t="s">
        <v>826</v>
      </c>
      <c r="E4542" s="2" t="s">
        <v>7608</v>
      </c>
      <c r="F4542" s="2" t="s">
        <v>7659</v>
      </c>
      <c r="G4542" s="2" t="s">
        <v>7625</v>
      </c>
    </row>
    <row r="4543" spans="1:7">
      <c r="A4543" s="3">
        <v>204</v>
      </c>
      <c r="B4543" s="3" t="s">
        <v>685</v>
      </c>
      <c r="C4543" s="3">
        <v>281</v>
      </c>
      <c r="D4543" s="3" t="s">
        <v>856</v>
      </c>
      <c r="E4543" s="3" t="s">
        <v>7608</v>
      </c>
      <c r="F4543" s="3" t="s">
        <v>7659</v>
      </c>
      <c r="G4543" s="3" t="s">
        <v>7625</v>
      </c>
    </row>
    <row r="4544" spans="1:7">
      <c r="A4544" s="2">
        <v>204</v>
      </c>
      <c r="B4544" s="2" t="s">
        <v>685</v>
      </c>
      <c r="C4544" s="2">
        <v>334</v>
      </c>
      <c r="D4544" s="2" t="s">
        <v>970</v>
      </c>
      <c r="E4544" s="2" t="s">
        <v>7608</v>
      </c>
      <c r="F4544" s="2" t="s">
        <v>7659</v>
      </c>
      <c r="G4544" s="2" t="s">
        <v>7625</v>
      </c>
    </row>
    <row r="4545" spans="1:7">
      <c r="A4545" s="3">
        <v>204</v>
      </c>
      <c r="B4545" s="3" t="s">
        <v>685</v>
      </c>
      <c r="C4545" s="3">
        <v>343</v>
      </c>
      <c r="D4545" s="3" t="s">
        <v>977</v>
      </c>
      <c r="E4545" s="3" t="s">
        <v>7743</v>
      </c>
      <c r="F4545" s="3" t="s">
        <v>7659</v>
      </c>
      <c r="G4545" s="3" t="s">
        <v>7612</v>
      </c>
    </row>
    <row r="4546" spans="1:7">
      <c r="A4546" s="2">
        <v>205</v>
      </c>
      <c r="B4546" s="2" t="s">
        <v>746</v>
      </c>
      <c r="C4546" s="2">
        <v>206</v>
      </c>
      <c r="D4546" s="2" t="s">
        <v>723</v>
      </c>
      <c r="E4546" s="2" t="s">
        <v>7635</v>
      </c>
      <c r="F4546" s="2" t="s">
        <v>7677</v>
      </c>
      <c r="G4546" s="2" t="s">
        <v>7622</v>
      </c>
    </row>
    <row r="4547" spans="1:7">
      <c r="A4547" s="3">
        <v>205</v>
      </c>
      <c r="B4547" s="3" t="s">
        <v>746</v>
      </c>
      <c r="C4547" s="3">
        <v>207</v>
      </c>
      <c r="D4547" s="3" t="s">
        <v>749</v>
      </c>
      <c r="E4547" s="3" t="s">
        <v>7694</v>
      </c>
      <c r="F4547" s="3" t="s">
        <v>7611</v>
      </c>
      <c r="G4547" s="3" t="s">
        <v>7636</v>
      </c>
    </row>
    <row r="4548" spans="1:7">
      <c r="A4548" s="2">
        <v>205</v>
      </c>
      <c r="B4548" s="2" t="s">
        <v>746</v>
      </c>
      <c r="C4548" s="2">
        <v>208</v>
      </c>
      <c r="D4548" s="2" t="s">
        <v>754</v>
      </c>
      <c r="E4548" s="2" t="s">
        <v>7694</v>
      </c>
      <c r="F4548" s="2" t="s">
        <v>7695</v>
      </c>
      <c r="G4548" s="2" t="s">
        <v>7639</v>
      </c>
    </row>
    <row r="4549" spans="1:7">
      <c r="A4549" s="3">
        <v>205</v>
      </c>
      <c r="B4549" s="3" t="s">
        <v>746</v>
      </c>
      <c r="C4549" s="3">
        <v>209</v>
      </c>
      <c r="D4549" s="3" t="s">
        <v>758</v>
      </c>
      <c r="E4549" s="3" t="s">
        <v>7620</v>
      </c>
      <c r="F4549" s="3" t="s">
        <v>7677</v>
      </c>
      <c r="G4549" s="3" t="s">
        <v>7609</v>
      </c>
    </row>
    <row r="4550" spans="1:7">
      <c r="A4550" s="2">
        <v>205</v>
      </c>
      <c r="B4550" s="2" t="s">
        <v>746</v>
      </c>
      <c r="C4550" s="2">
        <v>214</v>
      </c>
      <c r="D4550" s="2" t="s">
        <v>870</v>
      </c>
      <c r="E4550" s="2" t="s">
        <v>7620</v>
      </c>
      <c r="F4550" s="2" t="s">
        <v>7611</v>
      </c>
      <c r="G4550" s="2" t="s">
        <v>7622</v>
      </c>
    </row>
    <row r="4551" spans="1:7">
      <c r="A4551" s="3">
        <v>205</v>
      </c>
      <c r="B4551" s="3" t="s">
        <v>746</v>
      </c>
      <c r="C4551" s="3">
        <v>215</v>
      </c>
      <c r="D4551" s="3" t="s">
        <v>844</v>
      </c>
      <c r="E4551" s="3" t="s">
        <v>7620</v>
      </c>
      <c r="F4551" s="3" t="s">
        <v>7611</v>
      </c>
      <c r="G4551" s="3" t="s">
        <v>7621</v>
      </c>
    </row>
    <row r="4552" spans="1:7">
      <c r="A4552" s="2">
        <v>205</v>
      </c>
      <c r="B4552" s="2" t="s">
        <v>746</v>
      </c>
      <c r="C4552" s="2">
        <v>216</v>
      </c>
      <c r="D4552" s="2"/>
      <c r="E4552" s="2" t="s">
        <v>7620</v>
      </c>
      <c r="F4552" s="2" t="s">
        <v>7611</v>
      </c>
      <c r="G4552" s="2" t="s">
        <v>7622</v>
      </c>
    </row>
    <row r="4553" spans="1:7">
      <c r="A4553" s="3">
        <v>205</v>
      </c>
      <c r="B4553" s="3" t="s">
        <v>746</v>
      </c>
      <c r="C4553" s="3">
        <v>217</v>
      </c>
      <c r="D4553" s="3" t="s">
        <v>795</v>
      </c>
      <c r="E4553" s="3" t="s">
        <v>7620</v>
      </c>
      <c r="F4553" s="3" t="s">
        <v>7611</v>
      </c>
      <c r="G4553" s="3" t="s">
        <v>7621</v>
      </c>
    </row>
    <row r="4554" spans="1:7">
      <c r="A4554" s="2">
        <v>205</v>
      </c>
      <c r="B4554" s="2" t="s">
        <v>746</v>
      </c>
      <c r="C4554" s="2">
        <v>218</v>
      </c>
      <c r="D4554" s="2" t="s">
        <v>789</v>
      </c>
      <c r="E4554" s="2" t="s">
        <v>7620</v>
      </c>
      <c r="F4554" s="2" t="s">
        <v>7611</v>
      </c>
      <c r="G4554" s="2" t="s">
        <v>7621</v>
      </c>
    </row>
    <row r="4555" spans="1:7">
      <c r="A4555" s="3">
        <v>205</v>
      </c>
      <c r="B4555" s="3" t="s">
        <v>746</v>
      </c>
      <c r="C4555" s="3">
        <v>219</v>
      </c>
      <c r="D4555" s="3" t="s">
        <v>822</v>
      </c>
      <c r="E4555" s="3" t="s">
        <v>7620</v>
      </c>
      <c r="F4555" s="3" t="s">
        <v>7628</v>
      </c>
      <c r="G4555" s="3" t="s">
        <v>7609</v>
      </c>
    </row>
    <row r="4556" spans="1:7">
      <c r="A4556" s="2">
        <v>205</v>
      </c>
      <c r="B4556" s="2" t="s">
        <v>746</v>
      </c>
      <c r="C4556" s="2">
        <v>220</v>
      </c>
      <c r="D4556" s="2" t="s">
        <v>810</v>
      </c>
      <c r="E4556" s="2" t="s">
        <v>7620</v>
      </c>
      <c r="F4556" s="2" t="s">
        <v>7628</v>
      </c>
      <c r="G4556" s="2" t="s">
        <v>7633</v>
      </c>
    </row>
    <row r="4557" spans="1:7">
      <c r="A4557" s="3">
        <v>205</v>
      </c>
      <c r="B4557" s="3" t="s">
        <v>746</v>
      </c>
      <c r="C4557" s="3">
        <v>221</v>
      </c>
      <c r="D4557" s="3" t="s">
        <v>813</v>
      </c>
      <c r="E4557" s="3" t="s">
        <v>7620</v>
      </c>
      <c r="F4557" s="3" t="s">
        <v>7611</v>
      </c>
      <c r="G4557" s="3" t="s">
        <v>7621</v>
      </c>
    </row>
    <row r="4558" spans="1:7">
      <c r="A4558" s="2">
        <v>205</v>
      </c>
      <c r="B4558" s="2" t="s">
        <v>746</v>
      </c>
      <c r="C4558" s="2">
        <v>222</v>
      </c>
      <c r="D4558" s="2" t="s">
        <v>864</v>
      </c>
      <c r="E4558" s="2" t="s">
        <v>7620</v>
      </c>
      <c r="F4558" s="2" t="s">
        <v>7611</v>
      </c>
      <c r="G4558" s="2" t="s">
        <v>7622</v>
      </c>
    </row>
    <row r="4559" spans="1:7">
      <c r="A4559" s="3">
        <v>205</v>
      </c>
      <c r="B4559" s="3" t="s">
        <v>746</v>
      </c>
      <c r="C4559" s="3">
        <v>230</v>
      </c>
      <c r="D4559" s="3" t="s">
        <v>920</v>
      </c>
      <c r="E4559" s="3" t="s">
        <v>7620</v>
      </c>
      <c r="F4559" s="3" t="s">
        <v>7608</v>
      </c>
      <c r="G4559" s="3" t="s">
        <v>7625</v>
      </c>
    </row>
    <row r="4560" spans="1:7">
      <c r="A4560" s="2">
        <v>205</v>
      </c>
      <c r="B4560" s="2" t="s">
        <v>746</v>
      </c>
      <c r="C4560" s="2">
        <v>231</v>
      </c>
      <c r="D4560" s="2" t="s">
        <v>923</v>
      </c>
      <c r="E4560" s="2" t="s">
        <v>7620</v>
      </c>
      <c r="F4560" s="2" t="s">
        <v>7611</v>
      </c>
      <c r="G4560" s="2" t="s">
        <v>7622</v>
      </c>
    </row>
    <row r="4561" spans="1:7">
      <c r="A4561" s="3">
        <v>205</v>
      </c>
      <c r="B4561" s="3" t="s">
        <v>746</v>
      </c>
      <c r="C4561" s="3">
        <v>232</v>
      </c>
      <c r="D4561" s="3" t="s">
        <v>933</v>
      </c>
      <c r="E4561" s="3" t="s">
        <v>7620</v>
      </c>
      <c r="F4561" s="3" t="s">
        <v>7608</v>
      </c>
      <c r="G4561" s="3" t="s">
        <v>7625</v>
      </c>
    </row>
    <row r="4562" spans="1:7">
      <c r="A4562" s="2">
        <v>205</v>
      </c>
      <c r="B4562" s="2" t="s">
        <v>746</v>
      </c>
      <c r="C4562" s="2">
        <v>233</v>
      </c>
      <c r="D4562" s="2" t="s">
        <v>937</v>
      </c>
      <c r="E4562" s="2" t="s">
        <v>7620</v>
      </c>
      <c r="F4562" s="2" t="s">
        <v>7611</v>
      </c>
      <c r="G4562" s="2" t="s">
        <v>7625</v>
      </c>
    </row>
    <row r="4563" spans="1:7">
      <c r="A4563" s="3">
        <v>205</v>
      </c>
      <c r="B4563" s="3" t="s">
        <v>746</v>
      </c>
      <c r="C4563" s="3">
        <v>237</v>
      </c>
      <c r="D4563" s="3" t="s">
        <v>944</v>
      </c>
      <c r="E4563" s="3" t="s">
        <v>7620</v>
      </c>
      <c r="F4563" s="3" t="s">
        <v>7608</v>
      </c>
      <c r="G4563" s="3" t="s">
        <v>7625</v>
      </c>
    </row>
    <row r="4564" spans="1:7">
      <c r="A4564" s="2">
        <v>205</v>
      </c>
      <c r="B4564" s="2" t="s">
        <v>746</v>
      </c>
      <c r="C4564" s="2">
        <v>243</v>
      </c>
      <c r="D4564" s="2" t="s">
        <v>941</v>
      </c>
      <c r="E4564" s="2" t="s">
        <v>7620</v>
      </c>
      <c r="F4564" s="2" t="s">
        <v>7608</v>
      </c>
      <c r="G4564" s="2" t="s">
        <v>7625</v>
      </c>
    </row>
    <row r="4565" spans="1:7">
      <c r="A4565" s="3">
        <v>205</v>
      </c>
      <c r="B4565" s="3" t="s">
        <v>746</v>
      </c>
      <c r="C4565" s="3">
        <v>246</v>
      </c>
      <c r="D4565" s="3" t="s">
        <v>897</v>
      </c>
      <c r="E4565" s="3" t="s">
        <v>7620</v>
      </c>
      <c r="F4565" s="3" t="s">
        <v>7702</v>
      </c>
      <c r="G4565" s="3" t="s">
        <v>7625</v>
      </c>
    </row>
    <row r="4566" spans="1:7">
      <c r="A4566" s="2">
        <v>205</v>
      </c>
      <c r="B4566" s="2" t="s">
        <v>746</v>
      </c>
      <c r="C4566" s="2">
        <v>250</v>
      </c>
      <c r="D4566" s="2" t="s">
        <v>926</v>
      </c>
      <c r="E4566" s="2" t="s">
        <v>7620</v>
      </c>
      <c r="F4566" s="2" t="s">
        <v>7608</v>
      </c>
      <c r="G4566" s="2" t="s">
        <v>7625</v>
      </c>
    </row>
    <row r="4567" spans="1:7">
      <c r="A4567" s="3">
        <v>205</v>
      </c>
      <c r="B4567" s="3" t="s">
        <v>746</v>
      </c>
      <c r="C4567" s="3">
        <v>251</v>
      </c>
      <c r="D4567" s="3" t="s">
        <v>819</v>
      </c>
      <c r="E4567" s="3" t="s">
        <v>7620</v>
      </c>
      <c r="F4567" s="3" t="s">
        <v>7611</v>
      </c>
      <c r="G4567" s="3" t="s">
        <v>7625</v>
      </c>
    </row>
    <row r="4568" spans="1:7">
      <c r="A4568" s="2">
        <v>205</v>
      </c>
      <c r="B4568" s="2" t="s">
        <v>746</v>
      </c>
      <c r="C4568" s="2">
        <v>254</v>
      </c>
      <c r="D4568" s="2" t="s">
        <v>837</v>
      </c>
      <c r="E4568" s="2" t="s">
        <v>7620</v>
      </c>
      <c r="F4568" s="2" t="s">
        <v>7611</v>
      </c>
      <c r="G4568" s="2" t="s">
        <v>7621</v>
      </c>
    </row>
    <row r="4569" spans="1:7">
      <c r="A4569" s="3">
        <v>205</v>
      </c>
      <c r="B4569" s="3" t="s">
        <v>746</v>
      </c>
      <c r="C4569" s="3">
        <v>256</v>
      </c>
      <c r="D4569" s="3" t="s">
        <v>785</v>
      </c>
      <c r="E4569" s="3" t="s">
        <v>7620</v>
      </c>
      <c r="F4569" s="3" t="s">
        <v>7611</v>
      </c>
      <c r="G4569" s="3" t="s">
        <v>7621</v>
      </c>
    </row>
    <row r="4570" spans="1:7">
      <c r="A4570" s="2">
        <v>205</v>
      </c>
      <c r="B4570" s="2" t="s">
        <v>746</v>
      </c>
      <c r="C4570" s="2">
        <v>257</v>
      </c>
      <c r="D4570" s="2" t="s">
        <v>876</v>
      </c>
      <c r="E4570" s="2" t="s">
        <v>7620</v>
      </c>
      <c r="F4570" s="2" t="s">
        <v>7611</v>
      </c>
      <c r="G4570" s="2" t="s">
        <v>7621</v>
      </c>
    </row>
    <row r="4571" spans="1:7">
      <c r="A4571" s="3">
        <v>205</v>
      </c>
      <c r="B4571" s="3" t="s">
        <v>746</v>
      </c>
      <c r="C4571" s="3">
        <v>258</v>
      </c>
      <c r="D4571" s="3" t="s">
        <v>882</v>
      </c>
      <c r="E4571" s="3" t="s">
        <v>7620</v>
      </c>
      <c r="F4571" s="3" t="s">
        <v>7608</v>
      </c>
      <c r="G4571" s="3" t="s">
        <v>7625</v>
      </c>
    </row>
    <row r="4572" spans="1:7">
      <c r="A4572" s="2">
        <v>205</v>
      </c>
      <c r="B4572" s="2" t="s">
        <v>746</v>
      </c>
      <c r="C4572" s="2">
        <v>262</v>
      </c>
      <c r="D4572" s="2" t="s">
        <v>355</v>
      </c>
      <c r="E4572" s="2" t="s">
        <v>7620</v>
      </c>
      <c r="F4572" s="2" t="s">
        <v>7611</v>
      </c>
      <c r="G4572" s="2" t="s">
        <v>7622</v>
      </c>
    </row>
    <row r="4573" spans="1:7">
      <c r="A4573" s="3">
        <v>205</v>
      </c>
      <c r="B4573" s="3" t="s">
        <v>746</v>
      </c>
      <c r="C4573" s="3">
        <v>264</v>
      </c>
      <c r="D4573" s="3" t="s">
        <v>775</v>
      </c>
      <c r="E4573" s="3" t="s">
        <v>7694</v>
      </c>
      <c r="F4573" s="3" t="s">
        <v>7628</v>
      </c>
      <c r="G4573" s="3" t="s">
        <v>7634</v>
      </c>
    </row>
    <row r="4574" spans="1:7">
      <c r="A4574" s="2">
        <v>205</v>
      </c>
      <c r="B4574" s="2" t="s">
        <v>746</v>
      </c>
      <c r="C4574" s="2">
        <v>265</v>
      </c>
      <c r="D4574" s="2" t="s">
        <v>860</v>
      </c>
      <c r="E4574" s="2" t="s">
        <v>7620</v>
      </c>
      <c r="F4574" s="2" t="s">
        <v>7611</v>
      </c>
      <c r="G4574" s="2" t="s">
        <v>7621</v>
      </c>
    </row>
    <row r="4575" spans="1:7">
      <c r="A4575" s="3">
        <v>205</v>
      </c>
      <c r="B4575" s="3" t="s">
        <v>746</v>
      </c>
      <c r="C4575" s="3">
        <v>266</v>
      </c>
      <c r="D4575" s="3" t="s">
        <v>826</v>
      </c>
      <c r="E4575" s="3" t="s">
        <v>7620</v>
      </c>
      <c r="F4575" s="3" t="s">
        <v>7628</v>
      </c>
      <c r="G4575" s="3" t="s">
        <v>7609</v>
      </c>
    </row>
    <row r="4576" spans="1:7">
      <c r="A4576" s="2">
        <v>205</v>
      </c>
      <c r="B4576" s="2" t="s">
        <v>746</v>
      </c>
      <c r="C4576" s="2">
        <v>267</v>
      </c>
      <c r="D4576" s="2" t="s">
        <v>801</v>
      </c>
      <c r="E4576" s="2" t="s">
        <v>7620</v>
      </c>
      <c r="F4576" s="2" t="s">
        <v>7611</v>
      </c>
      <c r="G4576" s="2" t="s">
        <v>7622</v>
      </c>
    </row>
    <row r="4577" spans="1:7">
      <c r="A4577" s="3">
        <v>205</v>
      </c>
      <c r="B4577" s="3" t="s">
        <v>746</v>
      </c>
      <c r="C4577" s="3">
        <v>268</v>
      </c>
      <c r="D4577" s="3" t="s">
        <v>934</v>
      </c>
      <c r="E4577" s="3" t="s">
        <v>7620</v>
      </c>
      <c r="F4577" s="3" t="s">
        <v>7608</v>
      </c>
      <c r="G4577" s="3" t="s">
        <v>7625</v>
      </c>
    </row>
    <row r="4578" spans="1:7">
      <c r="A4578" s="2">
        <v>205</v>
      </c>
      <c r="B4578" s="2" t="s">
        <v>746</v>
      </c>
      <c r="C4578" s="2">
        <v>269</v>
      </c>
      <c r="D4578" s="2" t="s">
        <v>825</v>
      </c>
      <c r="E4578" s="2" t="s">
        <v>7620</v>
      </c>
      <c r="F4578" s="2" t="s">
        <v>7611</v>
      </c>
      <c r="G4578" s="2" t="s">
        <v>7621</v>
      </c>
    </row>
    <row r="4579" spans="1:7">
      <c r="A4579" s="3">
        <v>205</v>
      </c>
      <c r="B4579" s="3" t="s">
        <v>746</v>
      </c>
      <c r="C4579" s="3">
        <v>270</v>
      </c>
      <c r="D4579" s="3" t="s">
        <v>769</v>
      </c>
      <c r="E4579" s="3" t="s">
        <v>7620</v>
      </c>
      <c r="F4579" s="3" t="s">
        <v>7611</v>
      </c>
      <c r="G4579" s="3" t="s">
        <v>7622</v>
      </c>
    </row>
    <row r="4580" spans="1:7">
      <c r="A4580" s="2">
        <v>205</v>
      </c>
      <c r="B4580" s="2" t="s">
        <v>746</v>
      </c>
      <c r="C4580" s="2">
        <v>272</v>
      </c>
      <c r="D4580" s="2" t="s">
        <v>873</v>
      </c>
      <c r="E4580" s="2" t="s">
        <v>7620</v>
      </c>
      <c r="F4580" s="2" t="s">
        <v>7628</v>
      </c>
      <c r="G4580" s="2" t="s">
        <v>7609</v>
      </c>
    </row>
    <row r="4581" spans="1:7">
      <c r="A4581" s="3">
        <v>205</v>
      </c>
      <c r="B4581" s="3" t="s">
        <v>746</v>
      </c>
      <c r="C4581" s="3">
        <v>275</v>
      </c>
      <c r="D4581" s="3" t="s">
        <v>781</v>
      </c>
      <c r="E4581" s="3" t="s">
        <v>7620</v>
      </c>
      <c r="F4581" s="3" t="s">
        <v>7611</v>
      </c>
      <c r="G4581" s="3" t="s">
        <v>7622</v>
      </c>
    </row>
    <row r="4582" spans="1:7">
      <c r="A4582" s="2">
        <v>205</v>
      </c>
      <c r="B4582" s="2" t="s">
        <v>746</v>
      </c>
      <c r="C4582" s="2">
        <v>276</v>
      </c>
      <c r="D4582" s="2" t="s">
        <v>842</v>
      </c>
      <c r="E4582" s="2" t="s">
        <v>7620</v>
      </c>
      <c r="F4582" s="2" t="s">
        <v>7611</v>
      </c>
      <c r="G4582" s="2" t="s">
        <v>7622</v>
      </c>
    </row>
    <row r="4583" spans="1:7">
      <c r="A4583" s="3">
        <v>205</v>
      </c>
      <c r="B4583" s="3" t="s">
        <v>746</v>
      </c>
      <c r="C4583" s="3">
        <v>281</v>
      </c>
      <c r="D4583" s="3" t="s">
        <v>856</v>
      </c>
      <c r="E4583" s="3" t="s">
        <v>7620</v>
      </c>
      <c r="F4583" s="3" t="s">
        <v>7628</v>
      </c>
      <c r="G4583" s="3" t="s">
        <v>7633</v>
      </c>
    </row>
    <row r="4584" spans="1:7">
      <c r="A4584" s="2">
        <v>205</v>
      </c>
      <c r="B4584" s="2" t="s">
        <v>746</v>
      </c>
      <c r="C4584" s="2">
        <v>282</v>
      </c>
      <c r="D4584" s="2" t="s">
        <v>885</v>
      </c>
      <c r="E4584" s="2" t="s">
        <v>7620</v>
      </c>
      <c r="F4584" s="2" t="s">
        <v>7611</v>
      </c>
      <c r="G4584" s="2" t="s">
        <v>7621</v>
      </c>
    </row>
    <row r="4585" spans="1:7">
      <c r="A4585" s="3">
        <v>205</v>
      </c>
      <c r="B4585" s="3" t="s">
        <v>746</v>
      </c>
      <c r="C4585" s="3">
        <v>284</v>
      </c>
      <c r="D4585" s="3" t="s">
        <v>854</v>
      </c>
      <c r="E4585" s="3" t="s">
        <v>7620</v>
      </c>
      <c r="F4585" s="3" t="s">
        <v>7628</v>
      </c>
      <c r="G4585" s="3" t="s">
        <v>7609</v>
      </c>
    </row>
    <row r="4586" spans="1:7">
      <c r="A4586" s="2">
        <v>205</v>
      </c>
      <c r="B4586" s="2" t="s">
        <v>746</v>
      </c>
      <c r="C4586" s="2">
        <v>285</v>
      </c>
      <c r="D4586" s="2" t="s">
        <v>854</v>
      </c>
      <c r="E4586" s="2" t="s">
        <v>7620</v>
      </c>
      <c r="F4586" s="2" t="s">
        <v>7611</v>
      </c>
      <c r="G4586" s="2" t="s">
        <v>7622</v>
      </c>
    </row>
    <row r="4587" spans="1:7">
      <c r="A4587" s="3">
        <v>205</v>
      </c>
      <c r="B4587" s="3" t="s">
        <v>746</v>
      </c>
      <c r="C4587" s="3">
        <v>286</v>
      </c>
      <c r="D4587" s="3" t="s">
        <v>807</v>
      </c>
      <c r="E4587" s="3" t="s">
        <v>7620</v>
      </c>
      <c r="F4587" s="3" t="s">
        <v>7611</v>
      </c>
      <c r="G4587" s="3" t="s">
        <v>7625</v>
      </c>
    </row>
    <row r="4588" spans="1:7">
      <c r="A4588" s="2">
        <v>205</v>
      </c>
      <c r="B4588" s="2" t="s">
        <v>746</v>
      </c>
      <c r="C4588" s="2">
        <v>287</v>
      </c>
      <c r="D4588" s="2" t="s">
        <v>929</v>
      </c>
      <c r="E4588" s="2" t="s">
        <v>7620</v>
      </c>
      <c r="F4588" s="2" t="s">
        <v>7611</v>
      </c>
      <c r="G4588" s="2" t="s">
        <v>7621</v>
      </c>
    </row>
    <row r="4589" spans="1:7">
      <c r="A4589" s="3">
        <v>205</v>
      </c>
      <c r="B4589" s="3" t="s">
        <v>746</v>
      </c>
      <c r="C4589" s="3">
        <v>288</v>
      </c>
      <c r="D4589" s="3" t="s">
        <v>805</v>
      </c>
      <c r="E4589" s="3" t="s">
        <v>7620</v>
      </c>
      <c r="F4589" s="3" t="s">
        <v>7611</v>
      </c>
      <c r="G4589" s="3" t="s">
        <v>7622</v>
      </c>
    </row>
    <row r="4590" spans="1:7">
      <c r="A4590" s="2">
        <v>205</v>
      </c>
      <c r="B4590" s="2" t="s">
        <v>746</v>
      </c>
      <c r="C4590" s="2">
        <v>289</v>
      </c>
      <c r="D4590" s="2" t="s">
        <v>854</v>
      </c>
      <c r="E4590" s="2" t="s">
        <v>7620</v>
      </c>
      <c r="F4590" s="2" t="s">
        <v>7608</v>
      </c>
      <c r="G4590" s="2" t="s">
        <v>7625</v>
      </c>
    </row>
    <row r="4591" spans="1:7">
      <c r="A4591" s="3">
        <v>205</v>
      </c>
      <c r="B4591" s="3" t="s">
        <v>746</v>
      </c>
      <c r="C4591" s="3">
        <v>290</v>
      </c>
      <c r="D4591" s="3" t="s">
        <v>854</v>
      </c>
      <c r="E4591" s="3" t="s">
        <v>7620</v>
      </c>
      <c r="F4591" s="3" t="s">
        <v>7611</v>
      </c>
      <c r="G4591" s="3" t="s">
        <v>7625</v>
      </c>
    </row>
    <row r="4592" spans="1:7">
      <c r="A4592" s="2">
        <v>205</v>
      </c>
      <c r="B4592" s="2" t="s">
        <v>746</v>
      </c>
      <c r="C4592" s="2">
        <v>293</v>
      </c>
      <c r="D4592" s="2" t="s">
        <v>854</v>
      </c>
      <c r="E4592" s="2" t="s">
        <v>7620</v>
      </c>
      <c r="F4592" s="2" t="s">
        <v>7611</v>
      </c>
      <c r="G4592" s="2" t="s">
        <v>7621</v>
      </c>
    </row>
    <row r="4593" spans="1:7">
      <c r="A4593" s="3">
        <v>205</v>
      </c>
      <c r="B4593" s="3" t="s">
        <v>746</v>
      </c>
      <c r="C4593" s="3">
        <v>294</v>
      </c>
      <c r="D4593" s="3" t="s">
        <v>854</v>
      </c>
      <c r="E4593" s="3" t="s">
        <v>7620</v>
      </c>
      <c r="F4593" s="3" t="s">
        <v>7608</v>
      </c>
      <c r="G4593" s="3" t="s">
        <v>7625</v>
      </c>
    </row>
    <row r="4594" spans="1:7">
      <c r="A4594" s="2">
        <v>205</v>
      </c>
      <c r="B4594" s="2" t="s">
        <v>746</v>
      </c>
      <c r="C4594" s="2">
        <v>295</v>
      </c>
      <c r="D4594" s="2" t="s">
        <v>854</v>
      </c>
      <c r="E4594" s="2" t="s">
        <v>7620</v>
      </c>
      <c r="F4594" s="2" t="s">
        <v>7635</v>
      </c>
      <c r="G4594" s="2" t="s">
        <v>7622</v>
      </c>
    </row>
    <row r="4595" spans="1:7">
      <c r="A4595" s="3">
        <v>205</v>
      </c>
      <c r="B4595" s="3" t="s">
        <v>746</v>
      </c>
      <c r="C4595" s="3">
        <v>296</v>
      </c>
      <c r="D4595" s="3" t="s">
        <v>854</v>
      </c>
      <c r="E4595" s="3" t="s">
        <v>7620</v>
      </c>
      <c r="F4595" s="3" t="s">
        <v>7608</v>
      </c>
      <c r="G4595" s="3" t="s">
        <v>7625</v>
      </c>
    </row>
    <row r="4596" spans="1:7">
      <c r="A4596" s="2">
        <v>205</v>
      </c>
      <c r="B4596" s="2" t="s">
        <v>746</v>
      </c>
      <c r="C4596" s="2">
        <v>298</v>
      </c>
      <c r="D4596" s="2" t="s">
        <v>854</v>
      </c>
      <c r="E4596" s="2" t="s">
        <v>7620</v>
      </c>
      <c r="F4596" s="2" t="s">
        <v>7608</v>
      </c>
      <c r="G4596" s="2" t="s">
        <v>7625</v>
      </c>
    </row>
    <row r="4597" spans="1:7">
      <c r="A4597" s="3">
        <v>205</v>
      </c>
      <c r="B4597" s="3" t="s">
        <v>746</v>
      </c>
      <c r="C4597" s="3">
        <v>300</v>
      </c>
      <c r="D4597" s="3" t="s">
        <v>854</v>
      </c>
      <c r="E4597" s="3" t="s">
        <v>7620</v>
      </c>
      <c r="F4597" s="3" t="s">
        <v>7608</v>
      </c>
      <c r="G4597" s="3" t="s">
        <v>7625</v>
      </c>
    </row>
    <row r="4598" spans="1:7">
      <c r="A4598" s="2">
        <v>205</v>
      </c>
      <c r="B4598" s="2" t="s">
        <v>746</v>
      </c>
      <c r="C4598" s="2">
        <v>302</v>
      </c>
      <c r="D4598" s="2" t="s">
        <v>916</v>
      </c>
      <c r="E4598" s="2" t="s">
        <v>7620</v>
      </c>
      <c r="F4598" s="2" t="s">
        <v>7628</v>
      </c>
      <c r="G4598" s="2" t="s">
        <v>7633</v>
      </c>
    </row>
    <row r="4599" spans="1:7">
      <c r="A4599" s="3">
        <v>205</v>
      </c>
      <c r="B4599" s="3" t="s">
        <v>746</v>
      </c>
      <c r="C4599" s="3">
        <v>303</v>
      </c>
      <c r="D4599" s="3" t="s">
        <v>854</v>
      </c>
      <c r="E4599" s="3" t="s">
        <v>7620</v>
      </c>
      <c r="F4599" s="3" t="s">
        <v>7611</v>
      </c>
      <c r="G4599" s="3" t="s">
        <v>7622</v>
      </c>
    </row>
    <row r="4600" spans="1:7">
      <c r="A4600" s="2">
        <v>205</v>
      </c>
      <c r="B4600" s="2" t="s">
        <v>746</v>
      </c>
      <c r="C4600" s="2">
        <v>304</v>
      </c>
      <c r="D4600" s="2" t="s">
        <v>854</v>
      </c>
      <c r="E4600" s="2" t="s">
        <v>7620</v>
      </c>
      <c r="F4600" s="2" t="s">
        <v>7608</v>
      </c>
      <c r="G4600" s="2" t="s">
        <v>7625</v>
      </c>
    </row>
    <row r="4601" spans="1:7">
      <c r="A4601" s="3">
        <v>205</v>
      </c>
      <c r="B4601" s="3" t="s">
        <v>746</v>
      </c>
      <c r="C4601" s="3">
        <v>307</v>
      </c>
      <c r="D4601" s="3" t="s">
        <v>854</v>
      </c>
      <c r="E4601" s="3" t="s">
        <v>7620</v>
      </c>
      <c r="F4601" s="3" t="s">
        <v>7611</v>
      </c>
      <c r="G4601" s="3" t="s">
        <v>7621</v>
      </c>
    </row>
    <row r="4602" spans="1:7">
      <c r="A4602" s="2">
        <v>205</v>
      </c>
      <c r="B4602" s="2" t="s">
        <v>746</v>
      </c>
      <c r="C4602" s="2">
        <v>308</v>
      </c>
      <c r="D4602" s="2" t="s">
        <v>854</v>
      </c>
      <c r="E4602" s="2" t="s">
        <v>7620</v>
      </c>
      <c r="F4602" s="2" t="s">
        <v>7702</v>
      </c>
      <c r="G4602" s="2" t="s">
        <v>7621</v>
      </c>
    </row>
    <row r="4603" spans="1:7">
      <c r="A4603" s="3">
        <v>205</v>
      </c>
      <c r="B4603" s="3" t="s">
        <v>746</v>
      </c>
      <c r="C4603" s="3">
        <v>311</v>
      </c>
      <c r="D4603" s="3" t="s">
        <v>954</v>
      </c>
      <c r="E4603" s="3" t="s">
        <v>7635</v>
      </c>
      <c r="F4603" s="3" t="s">
        <v>7677</v>
      </c>
      <c r="G4603" s="3" t="s">
        <v>7609</v>
      </c>
    </row>
    <row r="4604" spans="1:7">
      <c r="A4604" s="2">
        <v>205</v>
      </c>
      <c r="B4604" s="2" t="s">
        <v>746</v>
      </c>
      <c r="C4604" s="2">
        <v>312</v>
      </c>
      <c r="D4604" s="2" t="s">
        <v>949</v>
      </c>
      <c r="E4604" s="2" t="s">
        <v>7635</v>
      </c>
      <c r="F4604" s="2" t="s">
        <v>7628</v>
      </c>
      <c r="G4604" s="2" t="s">
        <v>7633</v>
      </c>
    </row>
    <row r="4605" spans="1:7">
      <c r="A4605" s="3">
        <v>205</v>
      </c>
      <c r="B4605" s="3" t="s">
        <v>746</v>
      </c>
      <c r="C4605" s="3">
        <v>314</v>
      </c>
      <c r="D4605" s="3" t="s">
        <v>1050</v>
      </c>
      <c r="E4605" s="3" t="s">
        <v>7635</v>
      </c>
      <c r="F4605" s="3" t="s">
        <v>7635</v>
      </c>
      <c r="G4605" s="3" t="s">
        <v>7621</v>
      </c>
    </row>
    <row r="4606" spans="1:7">
      <c r="A4606" s="2">
        <v>205</v>
      </c>
      <c r="B4606" s="2" t="s">
        <v>746</v>
      </c>
      <c r="C4606" s="2">
        <v>317</v>
      </c>
      <c r="D4606" s="2" t="s">
        <v>1030</v>
      </c>
      <c r="E4606" s="2" t="s">
        <v>7620</v>
      </c>
      <c r="F4606" s="2" t="s">
        <v>7611</v>
      </c>
      <c r="G4606" s="2" t="s">
        <v>7621</v>
      </c>
    </row>
    <row r="4607" spans="1:7">
      <c r="A4607" s="3">
        <v>205</v>
      </c>
      <c r="B4607" s="3" t="s">
        <v>746</v>
      </c>
      <c r="C4607" s="3">
        <v>318</v>
      </c>
      <c r="D4607" s="3" t="s">
        <v>1032</v>
      </c>
      <c r="E4607" s="3" t="s">
        <v>7620</v>
      </c>
      <c r="F4607" s="3" t="s">
        <v>7611</v>
      </c>
      <c r="G4607" s="3" t="s">
        <v>7621</v>
      </c>
    </row>
    <row r="4608" spans="1:7">
      <c r="A4608" s="2">
        <v>205</v>
      </c>
      <c r="B4608" s="2" t="s">
        <v>746</v>
      </c>
      <c r="C4608" s="2">
        <v>319</v>
      </c>
      <c r="D4608" s="2" t="s">
        <v>1035</v>
      </c>
      <c r="E4608" s="2" t="s">
        <v>7635</v>
      </c>
      <c r="F4608" s="2" t="s">
        <v>7628</v>
      </c>
      <c r="G4608" s="2" t="s">
        <v>7633</v>
      </c>
    </row>
    <row r="4609" spans="1:7">
      <c r="A4609" s="3">
        <v>205</v>
      </c>
      <c r="B4609" s="3" t="s">
        <v>746</v>
      </c>
      <c r="C4609" s="3">
        <v>320</v>
      </c>
      <c r="D4609" s="3" t="s">
        <v>1039</v>
      </c>
      <c r="E4609" s="3" t="s">
        <v>7635</v>
      </c>
      <c r="F4609" s="3" t="s">
        <v>7677</v>
      </c>
      <c r="G4609" s="3" t="s">
        <v>7633</v>
      </c>
    </row>
    <row r="4610" spans="1:7">
      <c r="A4610" s="2">
        <v>205</v>
      </c>
      <c r="B4610" s="2" t="s">
        <v>746</v>
      </c>
      <c r="C4610" s="2">
        <v>321</v>
      </c>
      <c r="D4610" s="2" t="s">
        <v>1048</v>
      </c>
      <c r="E4610" s="2" t="s">
        <v>7620</v>
      </c>
      <c r="F4610" s="2" t="s">
        <v>7611</v>
      </c>
      <c r="G4610" s="2" t="s">
        <v>7621</v>
      </c>
    </row>
    <row r="4611" spans="1:7">
      <c r="A4611" s="3">
        <v>205</v>
      </c>
      <c r="B4611" s="3" t="s">
        <v>746</v>
      </c>
      <c r="C4611" s="3">
        <v>322</v>
      </c>
      <c r="D4611" s="3" t="s">
        <v>1012</v>
      </c>
      <c r="E4611" s="3" t="s">
        <v>7635</v>
      </c>
      <c r="F4611" s="3" t="s">
        <v>7635</v>
      </c>
      <c r="G4611" s="3" t="s">
        <v>7621</v>
      </c>
    </row>
    <row r="4612" spans="1:7">
      <c r="A4612" s="2">
        <v>205</v>
      </c>
      <c r="B4612" s="2" t="s">
        <v>746</v>
      </c>
      <c r="C4612" s="2">
        <v>323</v>
      </c>
      <c r="D4612" s="2" t="s">
        <v>1016</v>
      </c>
      <c r="E4612" s="2" t="s">
        <v>7620</v>
      </c>
      <c r="F4612" s="2" t="s">
        <v>7611</v>
      </c>
      <c r="G4612" s="2" t="s">
        <v>7622</v>
      </c>
    </row>
    <row r="4613" spans="1:7">
      <c r="A4613" s="3">
        <v>205</v>
      </c>
      <c r="B4613" s="3" t="s">
        <v>746</v>
      </c>
      <c r="C4613" s="3">
        <v>325</v>
      </c>
      <c r="D4613" s="3" t="s">
        <v>1020</v>
      </c>
      <c r="E4613" s="3" t="s">
        <v>7620</v>
      </c>
      <c r="F4613" s="3" t="s">
        <v>7611</v>
      </c>
      <c r="G4613" s="3" t="s">
        <v>7633</v>
      </c>
    </row>
    <row r="4614" spans="1:7">
      <c r="A4614" s="2">
        <v>205</v>
      </c>
      <c r="B4614" s="2" t="s">
        <v>746</v>
      </c>
      <c r="C4614" s="2">
        <v>326</v>
      </c>
      <c r="D4614" s="2" t="s">
        <v>1022</v>
      </c>
      <c r="E4614" s="2" t="s">
        <v>7620</v>
      </c>
      <c r="F4614" s="2" t="s">
        <v>7628</v>
      </c>
      <c r="G4614" s="2" t="s">
        <v>7617</v>
      </c>
    </row>
    <row r="4615" spans="1:7">
      <c r="A4615" s="3">
        <v>205</v>
      </c>
      <c r="B4615" s="3" t="s">
        <v>746</v>
      </c>
      <c r="C4615" s="3">
        <v>327</v>
      </c>
      <c r="D4615" s="3" t="s">
        <v>1025</v>
      </c>
      <c r="E4615" s="3" t="s">
        <v>7620</v>
      </c>
      <c r="F4615" s="3" t="s">
        <v>7628</v>
      </c>
      <c r="G4615" s="3" t="s">
        <v>7633</v>
      </c>
    </row>
    <row r="4616" spans="1:7">
      <c r="A4616" s="2">
        <v>205</v>
      </c>
      <c r="B4616" s="2" t="s">
        <v>746</v>
      </c>
      <c r="C4616" s="2">
        <v>328</v>
      </c>
      <c r="D4616" s="2" t="s">
        <v>1026</v>
      </c>
      <c r="E4616" s="2" t="s">
        <v>7620</v>
      </c>
      <c r="F4616" s="2" t="s">
        <v>7611</v>
      </c>
      <c r="G4616" s="2" t="s">
        <v>7622</v>
      </c>
    </row>
    <row r="4617" spans="1:7">
      <c r="A4617" s="3">
        <v>205</v>
      </c>
      <c r="B4617" s="3" t="s">
        <v>746</v>
      </c>
      <c r="C4617" s="3">
        <v>329</v>
      </c>
      <c r="D4617" s="3" t="s">
        <v>965</v>
      </c>
      <c r="E4617" s="3" t="s">
        <v>7620</v>
      </c>
      <c r="F4617" s="3" t="s">
        <v>7611</v>
      </c>
      <c r="G4617" s="3" t="s">
        <v>7622</v>
      </c>
    </row>
    <row r="4618" spans="1:7">
      <c r="A4618" s="2">
        <v>205</v>
      </c>
      <c r="B4618" s="2" t="s">
        <v>746</v>
      </c>
      <c r="C4618" s="2">
        <v>330</v>
      </c>
      <c r="D4618" s="2" t="s">
        <v>974</v>
      </c>
      <c r="E4618" s="2" t="s">
        <v>7620</v>
      </c>
      <c r="F4618" s="2" t="s">
        <v>7635</v>
      </c>
      <c r="G4618" s="2" t="s">
        <v>7622</v>
      </c>
    </row>
    <row r="4619" spans="1:7">
      <c r="A4619" s="3">
        <v>205</v>
      </c>
      <c r="B4619" s="3" t="s">
        <v>746</v>
      </c>
      <c r="C4619" s="3">
        <v>333</v>
      </c>
      <c r="D4619" s="3" t="s">
        <v>989</v>
      </c>
      <c r="E4619" s="3" t="s">
        <v>7620</v>
      </c>
      <c r="F4619" s="3" t="s">
        <v>7611</v>
      </c>
      <c r="G4619" s="3" t="s">
        <v>7622</v>
      </c>
    </row>
    <row r="4620" spans="1:7">
      <c r="A4620" s="2">
        <v>205</v>
      </c>
      <c r="B4620" s="2" t="s">
        <v>746</v>
      </c>
      <c r="C4620" s="2">
        <v>334</v>
      </c>
      <c r="D4620" s="2" t="s">
        <v>970</v>
      </c>
      <c r="E4620" s="2" t="s">
        <v>7620</v>
      </c>
      <c r="F4620" s="2" t="s">
        <v>7628</v>
      </c>
      <c r="G4620" s="2" t="s">
        <v>7633</v>
      </c>
    </row>
    <row r="4621" spans="1:7">
      <c r="A4621" s="3">
        <v>205</v>
      </c>
      <c r="B4621" s="3" t="s">
        <v>746</v>
      </c>
      <c r="C4621" s="3">
        <v>335</v>
      </c>
      <c r="D4621" s="3" t="s">
        <v>1057</v>
      </c>
      <c r="E4621" s="3" t="s">
        <v>7620</v>
      </c>
      <c r="F4621" s="3" t="s">
        <v>7611</v>
      </c>
      <c r="G4621" s="3" t="s">
        <v>7621</v>
      </c>
    </row>
    <row r="4622" spans="1:7">
      <c r="A4622" s="2">
        <v>205</v>
      </c>
      <c r="B4622" s="2" t="s">
        <v>746</v>
      </c>
      <c r="C4622" s="2">
        <v>336</v>
      </c>
      <c r="D4622" s="2" t="s">
        <v>992</v>
      </c>
      <c r="E4622" s="2" t="s">
        <v>7620</v>
      </c>
      <c r="F4622" s="2" t="s">
        <v>7611</v>
      </c>
      <c r="G4622" s="2" t="s">
        <v>7625</v>
      </c>
    </row>
    <row r="4623" spans="1:7">
      <c r="A4623" s="3">
        <v>205</v>
      </c>
      <c r="B4623" s="3" t="s">
        <v>746</v>
      </c>
      <c r="C4623" s="3">
        <v>337</v>
      </c>
      <c r="D4623" s="3" t="s">
        <v>1042</v>
      </c>
      <c r="E4623" s="3" t="s">
        <v>7620</v>
      </c>
      <c r="F4623" s="3" t="s">
        <v>7611</v>
      </c>
      <c r="G4623" s="3" t="s">
        <v>7621</v>
      </c>
    </row>
    <row r="4624" spans="1:7">
      <c r="A4624" s="2">
        <v>205</v>
      </c>
      <c r="B4624" s="2" t="s">
        <v>746</v>
      </c>
      <c r="C4624" s="2">
        <v>338</v>
      </c>
      <c r="D4624" s="2" t="s">
        <v>996</v>
      </c>
      <c r="E4624" s="2" t="s">
        <v>7620</v>
      </c>
      <c r="F4624" s="2" t="s">
        <v>7611</v>
      </c>
      <c r="G4624" s="2" t="s">
        <v>7621</v>
      </c>
    </row>
    <row r="4625" spans="1:7">
      <c r="A4625" s="3">
        <v>205</v>
      </c>
      <c r="B4625" s="3" t="s">
        <v>746</v>
      </c>
      <c r="C4625" s="3">
        <v>339</v>
      </c>
      <c r="D4625" s="3" t="s">
        <v>1058</v>
      </c>
      <c r="E4625" s="3" t="s">
        <v>7620</v>
      </c>
      <c r="F4625" s="3" t="s">
        <v>7611</v>
      </c>
      <c r="G4625" s="3" t="s">
        <v>7621</v>
      </c>
    </row>
    <row r="4626" spans="1:7">
      <c r="A4626" s="2">
        <v>205</v>
      </c>
      <c r="B4626" s="2" t="s">
        <v>746</v>
      </c>
      <c r="C4626" s="2">
        <v>341</v>
      </c>
      <c r="D4626" s="2" t="s">
        <v>1052</v>
      </c>
      <c r="E4626" s="2" t="s">
        <v>7620</v>
      </c>
      <c r="F4626" s="2" t="s">
        <v>7611</v>
      </c>
      <c r="G4626" s="2" t="s">
        <v>7621</v>
      </c>
    </row>
    <row r="4627" spans="1:7">
      <c r="A4627" s="3">
        <v>205</v>
      </c>
      <c r="B4627" s="3" t="s">
        <v>746</v>
      </c>
      <c r="C4627" s="3">
        <v>343</v>
      </c>
      <c r="D4627" s="3" t="s">
        <v>977</v>
      </c>
      <c r="E4627" s="3" t="s">
        <v>7694</v>
      </c>
      <c r="F4627" s="3" t="s">
        <v>7628</v>
      </c>
      <c r="G4627" s="3" t="s">
        <v>7634</v>
      </c>
    </row>
    <row r="4628" spans="1:7">
      <c r="A4628" s="2">
        <v>205</v>
      </c>
      <c r="B4628" s="2" t="s">
        <v>746</v>
      </c>
      <c r="C4628" s="2">
        <v>405</v>
      </c>
      <c r="D4628" s="2" t="s">
        <v>1110</v>
      </c>
      <c r="E4628" s="2" t="s">
        <v>7620</v>
      </c>
      <c r="F4628" s="2" t="s">
        <v>7611</v>
      </c>
      <c r="G4628" s="2" t="s">
        <v>7621</v>
      </c>
    </row>
    <row r="4629" spans="1:7">
      <c r="A4629" s="3">
        <v>205</v>
      </c>
      <c r="B4629" s="3" t="s">
        <v>746</v>
      </c>
      <c r="C4629" s="3">
        <v>406</v>
      </c>
      <c r="D4629" s="3" t="s">
        <v>1114</v>
      </c>
      <c r="E4629" s="3" t="s">
        <v>7620</v>
      </c>
      <c r="F4629" s="3" t="s">
        <v>7628</v>
      </c>
      <c r="G4629" s="3" t="s">
        <v>7609</v>
      </c>
    </row>
    <row r="4630" spans="1:7">
      <c r="A4630" s="2">
        <v>205</v>
      </c>
      <c r="B4630" s="2" t="s">
        <v>746</v>
      </c>
      <c r="C4630" s="2">
        <v>409</v>
      </c>
      <c r="D4630" s="2" t="s">
        <v>1126</v>
      </c>
      <c r="E4630" s="2" t="s">
        <v>7620</v>
      </c>
      <c r="F4630" s="2" t="s">
        <v>7611</v>
      </c>
      <c r="G4630" s="2" t="s">
        <v>7621</v>
      </c>
    </row>
    <row r="4631" spans="1:7">
      <c r="A4631" s="3">
        <v>205</v>
      </c>
      <c r="B4631" s="3" t="s">
        <v>746</v>
      </c>
      <c r="C4631" s="3">
        <v>410</v>
      </c>
      <c r="D4631" s="3" t="s">
        <v>1123</v>
      </c>
      <c r="E4631" s="3" t="s">
        <v>7620</v>
      </c>
      <c r="F4631" s="3" t="s">
        <v>7611</v>
      </c>
      <c r="G4631" s="3" t="s">
        <v>7625</v>
      </c>
    </row>
    <row r="4632" spans="1:7">
      <c r="A4632" s="2">
        <v>206</v>
      </c>
      <c r="B4632" s="2" t="s">
        <v>723</v>
      </c>
      <c r="C4632" s="2">
        <v>208</v>
      </c>
      <c r="D4632" s="2" t="s">
        <v>754</v>
      </c>
      <c r="E4632" s="2" t="s">
        <v>7635</v>
      </c>
      <c r="F4632" s="2" t="s">
        <v>7677</v>
      </c>
      <c r="G4632" s="2" t="s">
        <v>7622</v>
      </c>
    </row>
    <row r="4633" spans="1:7">
      <c r="A4633" s="3">
        <v>206</v>
      </c>
      <c r="B4633" s="3" t="s">
        <v>723</v>
      </c>
      <c r="C4633" s="3">
        <v>264</v>
      </c>
      <c r="D4633" s="3" t="s">
        <v>775</v>
      </c>
      <c r="E4633" s="3" t="s">
        <v>7635</v>
      </c>
      <c r="F4633" s="3" t="s">
        <v>7635</v>
      </c>
      <c r="G4633" s="3" t="s">
        <v>7625</v>
      </c>
    </row>
    <row r="4634" spans="1:7">
      <c r="A4634" s="2">
        <v>206</v>
      </c>
      <c r="B4634" s="2" t="s">
        <v>723</v>
      </c>
      <c r="C4634" s="2">
        <v>343</v>
      </c>
      <c r="D4634" s="2" t="s">
        <v>977</v>
      </c>
      <c r="E4634" s="2" t="s">
        <v>7635</v>
      </c>
      <c r="F4634" s="2" t="s">
        <v>7635</v>
      </c>
      <c r="G4634" s="2" t="s">
        <v>7625</v>
      </c>
    </row>
    <row r="4635" spans="1:7">
      <c r="A4635" s="3">
        <v>207</v>
      </c>
      <c r="B4635" s="3" t="s">
        <v>749</v>
      </c>
      <c r="C4635" s="3">
        <v>208</v>
      </c>
      <c r="D4635" s="3" t="s">
        <v>754</v>
      </c>
      <c r="E4635" s="3" t="s">
        <v>7694</v>
      </c>
      <c r="F4635" s="3" t="s">
        <v>7611</v>
      </c>
      <c r="G4635" s="3" t="s">
        <v>7617</v>
      </c>
    </row>
    <row r="4636" spans="1:7">
      <c r="A4636" s="2">
        <v>207</v>
      </c>
      <c r="B4636" s="2" t="s">
        <v>749</v>
      </c>
      <c r="C4636" s="2">
        <v>209</v>
      </c>
      <c r="D4636" s="2" t="s">
        <v>758</v>
      </c>
      <c r="E4636" s="2" t="s">
        <v>7618</v>
      </c>
      <c r="F4636" s="2" t="s">
        <v>7608</v>
      </c>
      <c r="G4636" s="2" t="s">
        <v>7609</v>
      </c>
    </row>
    <row r="4637" spans="1:7">
      <c r="A4637" s="3">
        <v>207</v>
      </c>
      <c r="B4637" s="3" t="s">
        <v>749</v>
      </c>
      <c r="C4637" s="3">
        <v>214</v>
      </c>
      <c r="D4637" s="3" t="s">
        <v>870</v>
      </c>
      <c r="E4637" s="3" t="s">
        <v>7620</v>
      </c>
      <c r="F4637" s="3" t="s">
        <v>7611</v>
      </c>
      <c r="G4637" s="3" t="s">
        <v>7633</v>
      </c>
    </row>
    <row r="4638" spans="1:7">
      <c r="A4638" s="2">
        <v>207</v>
      </c>
      <c r="B4638" s="2" t="s">
        <v>749</v>
      </c>
      <c r="C4638" s="2">
        <v>215</v>
      </c>
      <c r="D4638" s="2" t="s">
        <v>844</v>
      </c>
      <c r="E4638" s="2" t="s">
        <v>7749</v>
      </c>
      <c r="F4638" s="2" t="s">
        <v>7611</v>
      </c>
      <c r="G4638" s="2" t="s">
        <v>7639</v>
      </c>
    </row>
    <row r="4639" spans="1:7">
      <c r="A4639" s="3">
        <v>207</v>
      </c>
      <c r="B4639" s="3" t="s">
        <v>749</v>
      </c>
      <c r="C4639" s="3">
        <v>216</v>
      </c>
      <c r="D4639" s="3"/>
      <c r="E4639" s="3" t="s">
        <v>7630</v>
      </c>
      <c r="F4639" s="3" t="s">
        <v>7611</v>
      </c>
      <c r="G4639" s="3" t="s">
        <v>7636</v>
      </c>
    </row>
    <row r="4640" spans="1:7">
      <c r="A4640" s="2">
        <v>207</v>
      </c>
      <c r="B4640" s="2" t="s">
        <v>749</v>
      </c>
      <c r="C4640" s="2">
        <v>217</v>
      </c>
      <c r="D4640" s="2" t="s">
        <v>795</v>
      </c>
      <c r="E4640" s="2" t="s">
        <v>7623</v>
      </c>
      <c r="F4640" s="2" t="s">
        <v>7611</v>
      </c>
      <c r="G4640" s="2" t="s">
        <v>7639</v>
      </c>
    </row>
    <row r="4641" spans="1:7">
      <c r="A4641" s="3">
        <v>207</v>
      </c>
      <c r="B4641" s="3" t="s">
        <v>749</v>
      </c>
      <c r="C4641" s="3">
        <v>218</v>
      </c>
      <c r="D4641" s="3" t="s">
        <v>789</v>
      </c>
      <c r="E4641" s="3" t="s">
        <v>7749</v>
      </c>
      <c r="F4641" s="3" t="s">
        <v>7611</v>
      </c>
      <c r="G4641" s="3" t="s">
        <v>7639</v>
      </c>
    </row>
    <row r="4642" spans="1:7">
      <c r="A4642" s="2">
        <v>207</v>
      </c>
      <c r="B4642" s="2" t="s">
        <v>749</v>
      </c>
      <c r="C4642" s="2">
        <v>219</v>
      </c>
      <c r="D4642" s="2" t="s">
        <v>822</v>
      </c>
      <c r="E4642" s="2" t="s">
        <v>7623</v>
      </c>
      <c r="F4642" s="2" t="s">
        <v>7611</v>
      </c>
      <c r="G4642" s="2" t="s">
        <v>7624</v>
      </c>
    </row>
    <row r="4643" spans="1:7">
      <c r="A4643" s="3">
        <v>207</v>
      </c>
      <c r="B4643" s="3" t="s">
        <v>749</v>
      </c>
      <c r="C4643" s="3">
        <v>220</v>
      </c>
      <c r="D4643" s="3" t="s">
        <v>810</v>
      </c>
      <c r="E4643" s="3" t="s">
        <v>7623</v>
      </c>
      <c r="F4643" s="3" t="s">
        <v>7611</v>
      </c>
      <c r="G4643" s="3" t="s">
        <v>7639</v>
      </c>
    </row>
    <row r="4644" spans="1:7">
      <c r="A4644" s="2">
        <v>207</v>
      </c>
      <c r="B4644" s="2" t="s">
        <v>749</v>
      </c>
      <c r="C4644" s="2">
        <v>221</v>
      </c>
      <c r="D4644" s="2" t="s">
        <v>813</v>
      </c>
      <c r="E4644" s="2" t="s">
        <v>7623</v>
      </c>
      <c r="F4644" s="2" t="s">
        <v>7611</v>
      </c>
      <c r="G4644" s="2" t="s">
        <v>7639</v>
      </c>
    </row>
    <row r="4645" spans="1:7">
      <c r="A4645" s="3">
        <v>207</v>
      </c>
      <c r="B4645" s="3" t="s">
        <v>749</v>
      </c>
      <c r="C4645" s="3">
        <v>222</v>
      </c>
      <c r="D4645" s="3" t="s">
        <v>864</v>
      </c>
      <c r="E4645" s="3" t="s">
        <v>7640</v>
      </c>
      <c r="F4645" s="3" t="s">
        <v>7611</v>
      </c>
      <c r="G4645" s="3" t="s">
        <v>7636</v>
      </c>
    </row>
    <row r="4646" spans="1:7">
      <c r="A4646" s="2">
        <v>207</v>
      </c>
      <c r="B4646" s="2" t="s">
        <v>749</v>
      </c>
      <c r="C4646" s="2">
        <v>230</v>
      </c>
      <c r="D4646" s="2" t="s">
        <v>920</v>
      </c>
      <c r="E4646" s="2" t="s">
        <v>7620</v>
      </c>
      <c r="F4646" s="2" t="s">
        <v>7608</v>
      </c>
      <c r="G4646" s="2" t="s">
        <v>7621</v>
      </c>
    </row>
    <row r="4647" spans="1:7">
      <c r="A4647" s="3">
        <v>207</v>
      </c>
      <c r="B4647" s="3" t="s">
        <v>749</v>
      </c>
      <c r="C4647" s="3">
        <v>231</v>
      </c>
      <c r="D4647" s="3" t="s">
        <v>923</v>
      </c>
      <c r="E4647" s="3" t="s">
        <v>7618</v>
      </c>
      <c r="F4647" s="3" t="s">
        <v>7611</v>
      </c>
      <c r="G4647" s="3" t="s">
        <v>7619</v>
      </c>
    </row>
    <row r="4648" spans="1:7">
      <c r="A4648" s="2">
        <v>207</v>
      </c>
      <c r="B4648" s="2" t="s">
        <v>749</v>
      </c>
      <c r="C4648" s="2">
        <v>232</v>
      </c>
      <c r="D4648" s="2" t="s">
        <v>933</v>
      </c>
      <c r="E4648" s="2" t="s">
        <v>7618</v>
      </c>
      <c r="F4648" s="2" t="s">
        <v>7608</v>
      </c>
      <c r="G4648" s="2" t="s">
        <v>7609</v>
      </c>
    </row>
    <row r="4649" spans="1:7">
      <c r="A4649" s="3">
        <v>207</v>
      </c>
      <c r="B4649" s="3" t="s">
        <v>749</v>
      </c>
      <c r="C4649" s="3">
        <v>233</v>
      </c>
      <c r="D4649" s="3" t="s">
        <v>937</v>
      </c>
      <c r="E4649" s="3" t="s">
        <v>7620</v>
      </c>
      <c r="F4649" s="3" t="s">
        <v>7611</v>
      </c>
      <c r="G4649" s="3" t="s">
        <v>7625</v>
      </c>
    </row>
    <row r="4650" spans="1:7">
      <c r="A4650" s="2">
        <v>207</v>
      </c>
      <c r="B4650" s="2" t="s">
        <v>749</v>
      </c>
      <c r="C4650" s="2">
        <v>237</v>
      </c>
      <c r="D4650" s="2" t="s">
        <v>944</v>
      </c>
      <c r="E4650" s="2" t="s">
        <v>7620</v>
      </c>
      <c r="F4650" s="2" t="s">
        <v>7608</v>
      </c>
      <c r="G4650" s="2" t="s">
        <v>7625</v>
      </c>
    </row>
    <row r="4651" spans="1:7">
      <c r="A4651" s="3">
        <v>207</v>
      </c>
      <c r="B4651" s="3" t="s">
        <v>749</v>
      </c>
      <c r="C4651" s="3">
        <v>243</v>
      </c>
      <c r="D4651" s="3" t="s">
        <v>941</v>
      </c>
      <c r="E4651" s="3" t="s">
        <v>7618</v>
      </c>
      <c r="F4651" s="3" t="s">
        <v>7608</v>
      </c>
      <c r="G4651" s="3" t="s">
        <v>7609</v>
      </c>
    </row>
    <row r="4652" spans="1:7">
      <c r="A4652" s="2">
        <v>207</v>
      </c>
      <c r="B4652" s="2" t="s">
        <v>749</v>
      </c>
      <c r="C4652" s="2">
        <v>249</v>
      </c>
      <c r="D4652" s="2" t="s">
        <v>927</v>
      </c>
      <c r="E4652" s="2" t="s">
        <v>7620</v>
      </c>
      <c r="F4652" s="2" t="s">
        <v>7608</v>
      </c>
      <c r="G4652" s="2" t="s">
        <v>7625</v>
      </c>
    </row>
    <row r="4653" spans="1:7">
      <c r="A4653" s="3">
        <v>207</v>
      </c>
      <c r="B4653" s="3" t="s">
        <v>749</v>
      </c>
      <c r="C4653" s="3">
        <v>250</v>
      </c>
      <c r="D4653" s="3" t="s">
        <v>926</v>
      </c>
      <c r="E4653" s="3" t="s">
        <v>7620</v>
      </c>
      <c r="F4653" s="3" t="s">
        <v>7608</v>
      </c>
      <c r="G4653" s="3" t="s">
        <v>7625</v>
      </c>
    </row>
    <row r="4654" spans="1:7">
      <c r="A4654" s="2">
        <v>207</v>
      </c>
      <c r="B4654" s="2" t="s">
        <v>749</v>
      </c>
      <c r="C4654" s="2">
        <v>251</v>
      </c>
      <c r="D4654" s="2" t="s">
        <v>819</v>
      </c>
      <c r="E4654" s="2" t="s">
        <v>7640</v>
      </c>
      <c r="F4654" s="2" t="s">
        <v>7611</v>
      </c>
      <c r="G4654" s="2" t="s">
        <v>7617</v>
      </c>
    </row>
    <row r="4655" spans="1:7">
      <c r="A4655" s="3">
        <v>207</v>
      </c>
      <c r="B4655" s="3" t="s">
        <v>749</v>
      </c>
      <c r="C4655" s="3">
        <v>254</v>
      </c>
      <c r="D4655" s="3" t="s">
        <v>837</v>
      </c>
      <c r="E4655" s="3" t="s">
        <v>7630</v>
      </c>
      <c r="F4655" s="3" t="s">
        <v>7611</v>
      </c>
      <c r="G4655" s="3" t="s">
        <v>7636</v>
      </c>
    </row>
    <row r="4656" spans="1:7">
      <c r="A4656" s="2">
        <v>207</v>
      </c>
      <c r="B4656" s="2" t="s">
        <v>749</v>
      </c>
      <c r="C4656" s="2">
        <v>256</v>
      </c>
      <c r="D4656" s="2" t="s">
        <v>785</v>
      </c>
      <c r="E4656" s="2" t="s">
        <v>7623</v>
      </c>
      <c r="F4656" s="2" t="s">
        <v>7611</v>
      </c>
      <c r="G4656" s="2" t="s">
        <v>7639</v>
      </c>
    </row>
    <row r="4657" spans="1:7">
      <c r="A4657" s="3">
        <v>207</v>
      </c>
      <c r="B4657" s="3" t="s">
        <v>749</v>
      </c>
      <c r="C4657" s="3">
        <v>257</v>
      </c>
      <c r="D4657" s="3" t="s">
        <v>876</v>
      </c>
      <c r="E4657" s="3" t="s">
        <v>7640</v>
      </c>
      <c r="F4657" s="3" t="s">
        <v>7611</v>
      </c>
      <c r="G4657" s="3" t="s">
        <v>7617</v>
      </c>
    </row>
    <row r="4658" spans="1:7">
      <c r="A4658" s="2">
        <v>207</v>
      </c>
      <c r="B4658" s="2" t="s">
        <v>749</v>
      </c>
      <c r="C4658" s="2">
        <v>258</v>
      </c>
      <c r="D4658" s="2" t="s">
        <v>882</v>
      </c>
      <c r="E4658" s="2" t="s">
        <v>7618</v>
      </c>
      <c r="F4658" s="2" t="s">
        <v>7608</v>
      </c>
      <c r="G4658" s="2" t="s">
        <v>7617</v>
      </c>
    </row>
    <row r="4659" spans="1:7">
      <c r="A4659" s="3">
        <v>207</v>
      </c>
      <c r="B4659" s="3" t="s">
        <v>749</v>
      </c>
      <c r="C4659" s="3">
        <v>262</v>
      </c>
      <c r="D4659" s="3" t="s">
        <v>355</v>
      </c>
      <c r="E4659" s="3" t="s">
        <v>7630</v>
      </c>
      <c r="F4659" s="3" t="s">
        <v>7611</v>
      </c>
      <c r="G4659" s="3" t="s">
        <v>7636</v>
      </c>
    </row>
    <row r="4660" spans="1:7">
      <c r="A4660" s="2">
        <v>207</v>
      </c>
      <c r="B4660" s="2" t="s">
        <v>749</v>
      </c>
      <c r="C4660" s="2">
        <v>264</v>
      </c>
      <c r="D4660" s="2" t="s">
        <v>775</v>
      </c>
      <c r="E4660" s="2" t="s">
        <v>7693</v>
      </c>
      <c r="F4660" s="2" t="s">
        <v>7611</v>
      </c>
      <c r="G4660" s="2" t="s">
        <v>7639</v>
      </c>
    </row>
    <row r="4661" spans="1:7">
      <c r="A4661" s="3">
        <v>207</v>
      </c>
      <c r="B4661" s="3" t="s">
        <v>749</v>
      </c>
      <c r="C4661" s="3">
        <v>265</v>
      </c>
      <c r="D4661" s="3" t="s">
        <v>860</v>
      </c>
      <c r="E4661" s="3" t="s">
        <v>7620</v>
      </c>
      <c r="F4661" s="3" t="s">
        <v>7611</v>
      </c>
      <c r="G4661" s="3" t="s">
        <v>7621</v>
      </c>
    </row>
    <row r="4662" spans="1:7">
      <c r="A4662" s="2">
        <v>207</v>
      </c>
      <c r="B4662" s="2" t="s">
        <v>749</v>
      </c>
      <c r="C4662" s="2">
        <v>266</v>
      </c>
      <c r="D4662" s="2" t="s">
        <v>826</v>
      </c>
      <c r="E4662" s="2" t="s">
        <v>7623</v>
      </c>
      <c r="F4662" s="2" t="s">
        <v>7611</v>
      </c>
      <c r="G4662" s="2" t="s">
        <v>7624</v>
      </c>
    </row>
    <row r="4663" spans="1:7">
      <c r="A4663" s="3">
        <v>207</v>
      </c>
      <c r="B4663" s="3" t="s">
        <v>749</v>
      </c>
      <c r="C4663" s="3">
        <v>267</v>
      </c>
      <c r="D4663" s="3" t="s">
        <v>801</v>
      </c>
      <c r="E4663" s="3" t="s">
        <v>7618</v>
      </c>
      <c r="F4663" s="3" t="s">
        <v>7611</v>
      </c>
      <c r="G4663" s="3" t="s">
        <v>7636</v>
      </c>
    </row>
    <row r="4664" spans="1:7">
      <c r="A4664" s="2">
        <v>207</v>
      </c>
      <c r="B4664" s="2" t="s">
        <v>749</v>
      </c>
      <c r="C4664" s="2">
        <v>268</v>
      </c>
      <c r="D4664" s="2" t="s">
        <v>934</v>
      </c>
      <c r="E4664" s="2" t="s">
        <v>7620</v>
      </c>
      <c r="F4664" s="2" t="s">
        <v>7608</v>
      </c>
      <c r="G4664" s="2" t="s">
        <v>7625</v>
      </c>
    </row>
    <row r="4665" spans="1:7">
      <c r="A4665" s="3">
        <v>207</v>
      </c>
      <c r="B4665" s="3" t="s">
        <v>749</v>
      </c>
      <c r="C4665" s="3">
        <v>269</v>
      </c>
      <c r="D4665" s="3" t="s">
        <v>825</v>
      </c>
      <c r="E4665" s="3" t="s">
        <v>7618</v>
      </c>
      <c r="F4665" s="3" t="s">
        <v>7611</v>
      </c>
      <c r="G4665" s="3" t="s">
        <v>7617</v>
      </c>
    </row>
    <row r="4666" spans="1:7">
      <c r="A4666" s="2">
        <v>207</v>
      </c>
      <c r="B4666" s="2" t="s">
        <v>749</v>
      </c>
      <c r="C4666" s="2">
        <v>270</v>
      </c>
      <c r="D4666" s="2" t="s">
        <v>769</v>
      </c>
      <c r="E4666" s="2" t="s">
        <v>7640</v>
      </c>
      <c r="F4666" s="2" t="s">
        <v>7611</v>
      </c>
      <c r="G4666" s="2" t="s">
        <v>7619</v>
      </c>
    </row>
    <row r="4667" spans="1:7">
      <c r="A4667" s="3">
        <v>207</v>
      </c>
      <c r="B4667" s="3" t="s">
        <v>749</v>
      </c>
      <c r="C4667" s="3">
        <v>272</v>
      </c>
      <c r="D4667" s="3" t="s">
        <v>873</v>
      </c>
      <c r="E4667" s="3" t="s">
        <v>7623</v>
      </c>
      <c r="F4667" s="3" t="s">
        <v>7611</v>
      </c>
      <c r="G4667" s="3" t="s">
        <v>7632</v>
      </c>
    </row>
    <row r="4668" spans="1:7">
      <c r="A4668" s="2">
        <v>207</v>
      </c>
      <c r="B4668" s="2" t="s">
        <v>749</v>
      </c>
      <c r="C4668" s="2">
        <v>275</v>
      </c>
      <c r="D4668" s="2" t="s">
        <v>781</v>
      </c>
      <c r="E4668" s="2" t="s">
        <v>7749</v>
      </c>
      <c r="F4668" s="2" t="s">
        <v>7611</v>
      </c>
      <c r="G4668" s="2" t="s">
        <v>7624</v>
      </c>
    </row>
    <row r="4669" spans="1:7">
      <c r="A4669" s="3">
        <v>207</v>
      </c>
      <c r="B4669" s="3" t="s">
        <v>749</v>
      </c>
      <c r="C4669" s="3">
        <v>276</v>
      </c>
      <c r="D4669" s="3" t="s">
        <v>842</v>
      </c>
      <c r="E4669" s="3" t="s">
        <v>7618</v>
      </c>
      <c r="F4669" s="3" t="s">
        <v>7611</v>
      </c>
      <c r="G4669" s="3" t="s">
        <v>7636</v>
      </c>
    </row>
    <row r="4670" spans="1:7">
      <c r="A4670" s="2">
        <v>207</v>
      </c>
      <c r="B4670" s="2" t="s">
        <v>749</v>
      </c>
      <c r="C4670" s="2">
        <v>280</v>
      </c>
      <c r="D4670" s="2" t="s">
        <v>847</v>
      </c>
      <c r="E4670" s="2" t="s">
        <v>7645</v>
      </c>
      <c r="F4670" s="2" t="s">
        <v>7611</v>
      </c>
      <c r="G4670" s="2" t="s">
        <v>7621</v>
      </c>
    </row>
    <row r="4671" spans="1:7">
      <c r="A4671" s="3">
        <v>207</v>
      </c>
      <c r="B4671" s="3" t="s">
        <v>749</v>
      </c>
      <c r="C4671" s="3">
        <v>281</v>
      </c>
      <c r="D4671" s="3" t="s">
        <v>856</v>
      </c>
      <c r="E4671" s="3" t="s">
        <v>7623</v>
      </c>
      <c r="F4671" s="3" t="s">
        <v>7611</v>
      </c>
      <c r="G4671" s="3" t="s">
        <v>7624</v>
      </c>
    </row>
    <row r="4672" spans="1:7">
      <c r="A4672" s="2">
        <v>207</v>
      </c>
      <c r="B4672" s="2" t="s">
        <v>749</v>
      </c>
      <c r="C4672" s="2">
        <v>282</v>
      </c>
      <c r="D4672" s="2" t="s">
        <v>885</v>
      </c>
      <c r="E4672" s="2" t="s">
        <v>7749</v>
      </c>
      <c r="F4672" s="2" t="s">
        <v>7611</v>
      </c>
      <c r="G4672" s="2" t="s">
        <v>7639</v>
      </c>
    </row>
    <row r="4673" spans="1:7">
      <c r="A4673" s="3">
        <v>207</v>
      </c>
      <c r="B4673" s="3" t="s">
        <v>749</v>
      </c>
      <c r="C4673" s="3">
        <v>284</v>
      </c>
      <c r="D4673" s="3" t="s">
        <v>854</v>
      </c>
      <c r="E4673" s="3" t="s">
        <v>7618</v>
      </c>
      <c r="F4673" s="3" t="s">
        <v>7611</v>
      </c>
      <c r="G4673" s="3" t="s">
        <v>7619</v>
      </c>
    </row>
    <row r="4674" spans="1:7">
      <c r="A4674" s="2">
        <v>207</v>
      </c>
      <c r="B4674" s="2" t="s">
        <v>749</v>
      </c>
      <c r="C4674" s="2">
        <v>285</v>
      </c>
      <c r="D4674" s="2" t="s">
        <v>854</v>
      </c>
      <c r="E4674" s="2" t="s">
        <v>7620</v>
      </c>
      <c r="F4674" s="2" t="s">
        <v>7611</v>
      </c>
      <c r="G4674" s="2" t="s">
        <v>7622</v>
      </c>
    </row>
    <row r="4675" spans="1:7">
      <c r="A4675" s="3">
        <v>207</v>
      </c>
      <c r="B4675" s="3" t="s">
        <v>749</v>
      </c>
      <c r="C4675" s="3">
        <v>286</v>
      </c>
      <c r="D4675" s="3" t="s">
        <v>807</v>
      </c>
      <c r="E4675" s="3" t="s">
        <v>7620</v>
      </c>
      <c r="F4675" s="3" t="s">
        <v>7611</v>
      </c>
      <c r="G4675" s="3" t="s">
        <v>7625</v>
      </c>
    </row>
    <row r="4676" spans="1:7">
      <c r="A4676" s="2">
        <v>207</v>
      </c>
      <c r="B4676" s="2" t="s">
        <v>749</v>
      </c>
      <c r="C4676" s="2">
        <v>287</v>
      </c>
      <c r="D4676" s="2" t="s">
        <v>929</v>
      </c>
      <c r="E4676" s="2" t="s">
        <v>7749</v>
      </c>
      <c r="F4676" s="2" t="s">
        <v>7611</v>
      </c>
      <c r="G4676" s="2" t="s">
        <v>7639</v>
      </c>
    </row>
    <row r="4677" spans="1:7">
      <c r="A4677" s="3">
        <v>207</v>
      </c>
      <c r="B4677" s="3" t="s">
        <v>749</v>
      </c>
      <c r="C4677" s="3">
        <v>288</v>
      </c>
      <c r="D4677" s="3" t="s">
        <v>805</v>
      </c>
      <c r="E4677" s="3" t="s">
        <v>7618</v>
      </c>
      <c r="F4677" s="3" t="s">
        <v>7611</v>
      </c>
      <c r="G4677" s="3" t="s">
        <v>7619</v>
      </c>
    </row>
    <row r="4678" spans="1:7">
      <c r="A4678" s="2">
        <v>207</v>
      </c>
      <c r="B4678" s="2" t="s">
        <v>749</v>
      </c>
      <c r="C4678" s="2">
        <v>289</v>
      </c>
      <c r="D4678" s="2" t="s">
        <v>854</v>
      </c>
      <c r="E4678" s="2" t="s">
        <v>7620</v>
      </c>
      <c r="F4678" s="2" t="s">
        <v>7608</v>
      </c>
      <c r="G4678" s="2" t="s">
        <v>7625</v>
      </c>
    </row>
    <row r="4679" spans="1:7">
      <c r="A4679" s="3">
        <v>207</v>
      </c>
      <c r="B4679" s="3" t="s">
        <v>749</v>
      </c>
      <c r="C4679" s="3">
        <v>290</v>
      </c>
      <c r="D4679" s="3" t="s">
        <v>854</v>
      </c>
      <c r="E4679" s="3" t="s">
        <v>7620</v>
      </c>
      <c r="F4679" s="3" t="s">
        <v>7611</v>
      </c>
      <c r="G4679" s="3" t="s">
        <v>7621</v>
      </c>
    </row>
    <row r="4680" spans="1:7">
      <c r="A4680" s="2">
        <v>207</v>
      </c>
      <c r="B4680" s="2" t="s">
        <v>749</v>
      </c>
      <c r="C4680" s="2">
        <v>293</v>
      </c>
      <c r="D4680" s="2" t="s">
        <v>854</v>
      </c>
      <c r="E4680" s="2" t="s">
        <v>7618</v>
      </c>
      <c r="F4680" s="2" t="s">
        <v>7611</v>
      </c>
      <c r="G4680" s="2" t="s">
        <v>7617</v>
      </c>
    </row>
    <row r="4681" spans="1:7">
      <c r="A4681" s="3">
        <v>207</v>
      </c>
      <c r="B4681" s="3" t="s">
        <v>749</v>
      </c>
      <c r="C4681" s="3">
        <v>294</v>
      </c>
      <c r="D4681" s="3" t="s">
        <v>854</v>
      </c>
      <c r="E4681" s="3" t="s">
        <v>7618</v>
      </c>
      <c r="F4681" s="3" t="s">
        <v>7608</v>
      </c>
      <c r="G4681" s="3" t="s">
        <v>7609</v>
      </c>
    </row>
    <row r="4682" spans="1:7">
      <c r="A4682" s="2">
        <v>207</v>
      </c>
      <c r="B4682" s="2" t="s">
        <v>749</v>
      </c>
      <c r="C4682" s="2">
        <v>295</v>
      </c>
      <c r="D4682" s="2" t="s">
        <v>854</v>
      </c>
      <c r="E4682" s="2" t="s">
        <v>7620</v>
      </c>
      <c r="F4682" s="2" t="s">
        <v>7608</v>
      </c>
      <c r="G4682" s="2" t="s">
        <v>7625</v>
      </c>
    </row>
    <row r="4683" spans="1:7">
      <c r="A4683" s="3">
        <v>207</v>
      </c>
      <c r="B4683" s="3" t="s">
        <v>749</v>
      </c>
      <c r="C4683" s="3">
        <v>296</v>
      </c>
      <c r="D4683" s="3" t="s">
        <v>854</v>
      </c>
      <c r="E4683" s="3" t="s">
        <v>7620</v>
      </c>
      <c r="F4683" s="3" t="s">
        <v>7608</v>
      </c>
      <c r="G4683" s="3" t="s">
        <v>7625</v>
      </c>
    </row>
    <row r="4684" spans="1:7">
      <c r="A4684" s="2">
        <v>207</v>
      </c>
      <c r="B4684" s="2" t="s">
        <v>749</v>
      </c>
      <c r="C4684" s="2">
        <v>297</v>
      </c>
      <c r="D4684" s="2" t="s">
        <v>833</v>
      </c>
      <c r="E4684" s="2" t="s">
        <v>7618</v>
      </c>
      <c r="F4684" s="2" t="s">
        <v>7608</v>
      </c>
      <c r="G4684" s="2" t="s">
        <v>7609</v>
      </c>
    </row>
    <row r="4685" spans="1:7">
      <c r="A4685" s="3">
        <v>207</v>
      </c>
      <c r="B4685" s="3" t="s">
        <v>749</v>
      </c>
      <c r="C4685" s="3">
        <v>298</v>
      </c>
      <c r="D4685" s="3" t="s">
        <v>854</v>
      </c>
      <c r="E4685" s="3" t="s">
        <v>7620</v>
      </c>
      <c r="F4685" s="3" t="s">
        <v>7608</v>
      </c>
      <c r="G4685" s="3" t="s">
        <v>7625</v>
      </c>
    </row>
    <row r="4686" spans="1:7">
      <c r="A4686" s="2">
        <v>207</v>
      </c>
      <c r="B4686" s="2" t="s">
        <v>749</v>
      </c>
      <c r="C4686" s="2">
        <v>300</v>
      </c>
      <c r="D4686" s="2" t="s">
        <v>854</v>
      </c>
      <c r="E4686" s="2" t="s">
        <v>7640</v>
      </c>
      <c r="F4686" s="2" t="s">
        <v>7608</v>
      </c>
      <c r="G4686" s="2" t="s">
        <v>7609</v>
      </c>
    </row>
    <row r="4687" spans="1:7">
      <c r="A4687" s="3">
        <v>207</v>
      </c>
      <c r="B4687" s="3" t="s">
        <v>749</v>
      </c>
      <c r="C4687" s="3">
        <v>302</v>
      </c>
      <c r="D4687" s="3" t="s">
        <v>916</v>
      </c>
      <c r="E4687" s="3" t="s">
        <v>7620</v>
      </c>
      <c r="F4687" s="3" t="s">
        <v>7611</v>
      </c>
      <c r="G4687" s="3" t="s">
        <v>7621</v>
      </c>
    </row>
    <row r="4688" spans="1:7">
      <c r="A4688" s="2">
        <v>207</v>
      </c>
      <c r="B4688" s="2" t="s">
        <v>749</v>
      </c>
      <c r="C4688" s="2">
        <v>303</v>
      </c>
      <c r="D4688" s="2" t="s">
        <v>854</v>
      </c>
      <c r="E4688" s="2" t="s">
        <v>7620</v>
      </c>
      <c r="F4688" s="2" t="s">
        <v>7611</v>
      </c>
      <c r="G4688" s="2" t="s">
        <v>7622</v>
      </c>
    </row>
    <row r="4689" spans="1:7">
      <c r="A4689" s="3">
        <v>207</v>
      </c>
      <c r="B4689" s="3" t="s">
        <v>749</v>
      </c>
      <c r="C4689" s="3">
        <v>304</v>
      </c>
      <c r="D4689" s="3" t="s">
        <v>854</v>
      </c>
      <c r="E4689" s="3" t="s">
        <v>7620</v>
      </c>
      <c r="F4689" s="3" t="s">
        <v>7608</v>
      </c>
      <c r="G4689" s="3" t="s">
        <v>7625</v>
      </c>
    </row>
    <row r="4690" spans="1:7">
      <c r="A4690" s="2">
        <v>207</v>
      </c>
      <c r="B4690" s="2" t="s">
        <v>749</v>
      </c>
      <c r="C4690" s="2">
        <v>307</v>
      </c>
      <c r="D4690" s="2" t="s">
        <v>854</v>
      </c>
      <c r="E4690" s="2" t="s">
        <v>7620</v>
      </c>
      <c r="F4690" s="2" t="s">
        <v>7611</v>
      </c>
      <c r="G4690" s="2" t="s">
        <v>7621</v>
      </c>
    </row>
    <row r="4691" spans="1:7">
      <c r="A4691" s="3">
        <v>207</v>
      </c>
      <c r="B4691" s="3" t="s">
        <v>749</v>
      </c>
      <c r="C4691" s="3">
        <v>308</v>
      </c>
      <c r="D4691" s="3" t="s">
        <v>854</v>
      </c>
      <c r="E4691" s="3" t="s">
        <v>7618</v>
      </c>
      <c r="F4691" s="3" t="s">
        <v>7608</v>
      </c>
      <c r="G4691" s="3" t="s">
        <v>7633</v>
      </c>
    </row>
    <row r="4692" spans="1:7">
      <c r="A4692" s="2">
        <v>207</v>
      </c>
      <c r="B4692" s="2" t="s">
        <v>749</v>
      </c>
      <c r="C4692" s="2">
        <v>312</v>
      </c>
      <c r="D4692" s="2" t="s">
        <v>949</v>
      </c>
      <c r="E4692" s="2" t="s">
        <v>7635</v>
      </c>
      <c r="F4692" s="2" t="s">
        <v>7611</v>
      </c>
      <c r="G4692" s="2" t="s">
        <v>7625</v>
      </c>
    </row>
    <row r="4693" spans="1:7">
      <c r="A4693" s="3">
        <v>207</v>
      </c>
      <c r="B4693" s="3" t="s">
        <v>749</v>
      </c>
      <c r="C4693" s="3">
        <v>317</v>
      </c>
      <c r="D4693" s="3" t="s">
        <v>1030</v>
      </c>
      <c r="E4693" s="3" t="s">
        <v>7623</v>
      </c>
      <c r="F4693" s="3" t="s">
        <v>7611</v>
      </c>
      <c r="G4693" s="3" t="s">
        <v>7624</v>
      </c>
    </row>
    <row r="4694" spans="1:7">
      <c r="A4694" s="2">
        <v>207</v>
      </c>
      <c r="B4694" s="2" t="s">
        <v>749</v>
      </c>
      <c r="C4694" s="2">
        <v>318</v>
      </c>
      <c r="D4694" s="2" t="s">
        <v>1032</v>
      </c>
      <c r="E4694" s="2" t="s">
        <v>7618</v>
      </c>
      <c r="F4694" s="2" t="s">
        <v>7611</v>
      </c>
      <c r="G4694" s="2" t="s">
        <v>7617</v>
      </c>
    </row>
    <row r="4695" spans="1:7">
      <c r="A4695" s="3">
        <v>207</v>
      </c>
      <c r="B4695" s="3" t="s">
        <v>749</v>
      </c>
      <c r="C4695" s="3">
        <v>319</v>
      </c>
      <c r="D4695" s="3" t="s">
        <v>1035</v>
      </c>
      <c r="E4695" s="3" t="s">
        <v>7635</v>
      </c>
      <c r="F4695" s="3" t="s">
        <v>7611</v>
      </c>
      <c r="G4695" s="3" t="s">
        <v>7625</v>
      </c>
    </row>
    <row r="4696" spans="1:7">
      <c r="A4696" s="2">
        <v>207</v>
      </c>
      <c r="B4696" s="2" t="s">
        <v>749</v>
      </c>
      <c r="C4696" s="2">
        <v>321</v>
      </c>
      <c r="D4696" s="2" t="s">
        <v>1048</v>
      </c>
      <c r="E4696" s="2" t="s">
        <v>7618</v>
      </c>
      <c r="F4696" s="2" t="s">
        <v>7611</v>
      </c>
      <c r="G4696" s="2" t="s">
        <v>7636</v>
      </c>
    </row>
    <row r="4697" spans="1:7">
      <c r="A4697" s="3">
        <v>207</v>
      </c>
      <c r="B4697" s="3" t="s">
        <v>749</v>
      </c>
      <c r="C4697" s="3">
        <v>323</v>
      </c>
      <c r="D4697" s="3" t="s">
        <v>1016</v>
      </c>
      <c r="E4697" s="3" t="s">
        <v>7618</v>
      </c>
      <c r="F4697" s="3" t="s">
        <v>7611</v>
      </c>
      <c r="G4697" s="3" t="s">
        <v>7636</v>
      </c>
    </row>
    <row r="4698" spans="1:7">
      <c r="A4698" s="2">
        <v>207</v>
      </c>
      <c r="B4698" s="2" t="s">
        <v>749</v>
      </c>
      <c r="C4698" s="2">
        <v>325</v>
      </c>
      <c r="D4698" s="2" t="s">
        <v>1020</v>
      </c>
      <c r="E4698" s="2" t="s">
        <v>7618</v>
      </c>
      <c r="F4698" s="2" t="s">
        <v>7611</v>
      </c>
      <c r="G4698" s="2" t="s">
        <v>7636</v>
      </c>
    </row>
    <row r="4699" spans="1:7">
      <c r="A4699" s="3">
        <v>207</v>
      </c>
      <c r="B4699" s="3" t="s">
        <v>749</v>
      </c>
      <c r="C4699" s="3">
        <v>326</v>
      </c>
      <c r="D4699" s="3" t="s">
        <v>1022</v>
      </c>
      <c r="E4699" s="3" t="s">
        <v>7618</v>
      </c>
      <c r="F4699" s="3" t="s">
        <v>7611</v>
      </c>
      <c r="G4699" s="3" t="s">
        <v>7619</v>
      </c>
    </row>
    <row r="4700" spans="1:7">
      <c r="A4700" s="2">
        <v>207</v>
      </c>
      <c r="B4700" s="2" t="s">
        <v>749</v>
      </c>
      <c r="C4700" s="2">
        <v>327</v>
      </c>
      <c r="D4700" s="2" t="s">
        <v>1025</v>
      </c>
      <c r="E4700" s="2" t="s">
        <v>7618</v>
      </c>
      <c r="F4700" s="2" t="s">
        <v>7611</v>
      </c>
      <c r="G4700" s="2" t="s">
        <v>7617</v>
      </c>
    </row>
    <row r="4701" spans="1:7">
      <c r="A4701" s="3">
        <v>207</v>
      </c>
      <c r="B4701" s="3" t="s">
        <v>749</v>
      </c>
      <c r="C4701" s="3">
        <v>328</v>
      </c>
      <c r="D4701" s="3" t="s">
        <v>1026</v>
      </c>
      <c r="E4701" s="3" t="s">
        <v>7618</v>
      </c>
      <c r="F4701" s="3" t="s">
        <v>7611</v>
      </c>
      <c r="G4701" s="3" t="s">
        <v>7636</v>
      </c>
    </row>
    <row r="4702" spans="1:7">
      <c r="A4702" s="2">
        <v>207</v>
      </c>
      <c r="B4702" s="2" t="s">
        <v>749</v>
      </c>
      <c r="C4702" s="2">
        <v>329</v>
      </c>
      <c r="D4702" s="2" t="s">
        <v>965</v>
      </c>
      <c r="E4702" s="2" t="s">
        <v>7618</v>
      </c>
      <c r="F4702" s="2" t="s">
        <v>7611</v>
      </c>
      <c r="G4702" s="2" t="s">
        <v>7636</v>
      </c>
    </row>
    <row r="4703" spans="1:7">
      <c r="A4703" s="3">
        <v>207</v>
      </c>
      <c r="B4703" s="3" t="s">
        <v>749</v>
      </c>
      <c r="C4703" s="3">
        <v>330</v>
      </c>
      <c r="D4703" s="3" t="s">
        <v>974</v>
      </c>
      <c r="E4703" s="3" t="s">
        <v>7618</v>
      </c>
      <c r="F4703" s="3" t="s">
        <v>7608</v>
      </c>
      <c r="G4703" s="3" t="s">
        <v>7609</v>
      </c>
    </row>
    <row r="4704" spans="1:7">
      <c r="A4704" s="2">
        <v>207</v>
      </c>
      <c r="B4704" s="2" t="s">
        <v>749</v>
      </c>
      <c r="C4704" s="2">
        <v>332</v>
      </c>
      <c r="D4704" s="2" t="s">
        <v>986</v>
      </c>
      <c r="E4704" s="2" t="s">
        <v>7645</v>
      </c>
      <c r="F4704" s="2" t="s">
        <v>7611</v>
      </c>
      <c r="G4704" s="2" t="s">
        <v>7621</v>
      </c>
    </row>
    <row r="4705" spans="1:7">
      <c r="A4705" s="3">
        <v>207</v>
      </c>
      <c r="B4705" s="3" t="s">
        <v>749</v>
      </c>
      <c r="C4705" s="3">
        <v>333</v>
      </c>
      <c r="D4705" s="3" t="s">
        <v>989</v>
      </c>
      <c r="E4705" s="3" t="s">
        <v>7618</v>
      </c>
      <c r="F4705" s="3" t="s">
        <v>7611</v>
      </c>
      <c r="G4705" s="3" t="s">
        <v>7636</v>
      </c>
    </row>
    <row r="4706" spans="1:7">
      <c r="A4706" s="2">
        <v>207</v>
      </c>
      <c r="B4706" s="2" t="s">
        <v>749</v>
      </c>
      <c r="C4706" s="2">
        <v>334</v>
      </c>
      <c r="D4706" s="2" t="s">
        <v>970</v>
      </c>
      <c r="E4706" s="2" t="s">
        <v>7620</v>
      </c>
      <c r="F4706" s="2" t="s">
        <v>7611</v>
      </c>
      <c r="G4706" s="2" t="s">
        <v>7621</v>
      </c>
    </row>
    <row r="4707" spans="1:7">
      <c r="A4707" s="3">
        <v>207</v>
      </c>
      <c r="B4707" s="3" t="s">
        <v>749</v>
      </c>
      <c r="C4707" s="3">
        <v>335</v>
      </c>
      <c r="D4707" s="3" t="s">
        <v>1057</v>
      </c>
      <c r="E4707" s="3" t="s">
        <v>7620</v>
      </c>
      <c r="F4707" s="3" t="s">
        <v>7611</v>
      </c>
      <c r="G4707" s="3" t="s">
        <v>7622</v>
      </c>
    </row>
    <row r="4708" spans="1:7">
      <c r="A4708" s="2">
        <v>207</v>
      </c>
      <c r="B4708" s="2" t="s">
        <v>749</v>
      </c>
      <c r="C4708" s="2">
        <v>336</v>
      </c>
      <c r="D4708" s="2" t="s">
        <v>992</v>
      </c>
      <c r="E4708" s="2" t="s">
        <v>7620</v>
      </c>
      <c r="F4708" s="2" t="s">
        <v>7611</v>
      </c>
      <c r="G4708" s="2" t="s">
        <v>7625</v>
      </c>
    </row>
    <row r="4709" spans="1:7">
      <c r="A4709" s="3">
        <v>207</v>
      </c>
      <c r="B4709" s="3" t="s">
        <v>749</v>
      </c>
      <c r="C4709" s="3">
        <v>337</v>
      </c>
      <c r="D4709" s="3" t="s">
        <v>1042</v>
      </c>
      <c r="E4709" s="3" t="s">
        <v>7620</v>
      </c>
      <c r="F4709" s="3" t="s">
        <v>7611</v>
      </c>
      <c r="G4709" s="3" t="s">
        <v>7622</v>
      </c>
    </row>
    <row r="4710" spans="1:7">
      <c r="A4710" s="2">
        <v>207</v>
      </c>
      <c r="B4710" s="2" t="s">
        <v>749</v>
      </c>
      <c r="C4710" s="2">
        <v>338</v>
      </c>
      <c r="D4710" s="2" t="s">
        <v>996</v>
      </c>
      <c r="E4710" s="2" t="s">
        <v>7640</v>
      </c>
      <c r="F4710" s="2" t="s">
        <v>7611</v>
      </c>
      <c r="G4710" s="2" t="s">
        <v>7617</v>
      </c>
    </row>
    <row r="4711" spans="1:7">
      <c r="A4711" s="3">
        <v>207</v>
      </c>
      <c r="B4711" s="3" t="s">
        <v>749</v>
      </c>
      <c r="C4711" s="3">
        <v>339</v>
      </c>
      <c r="D4711" s="3" t="s">
        <v>1058</v>
      </c>
      <c r="E4711" s="3" t="s">
        <v>7620</v>
      </c>
      <c r="F4711" s="3" t="s">
        <v>7611</v>
      </c>
      <c r="G4711" s="3" t="s">
        <v>7621</v>
      </c>
    </row>
    <row r="4712" spans="1:7">
      <c r="A4712" s="2">
        <v>207</v>
      </c>
      <c r="B4712" s="2" t="s">
        <v>749</v>
      </c>
      <c r="C4712" s="2">
        <v>341</v>
      </c>
      <c r="D4712" s="2" t="s">
        <v>1052</v>
      </c>
      <c r="E4712" s="2" t="s">
        <v>7620</v>
      </c>
      <c r="F4712" s="2" t="s">
        <v>7611</v>
      </c>
      <c r="G4712" s="2" t="s">
        <v>7622</v>
      </c>
    </row>
    <row r="4713" spans="1:7">
      <c r="A4713" s="3">
        <v>207</v>
      </c>
      <c r="B4713" s="3" t="s">
        <v>749</v>
      </c>
      <c r="C4713" s="3">
        <v>343</v>
      </c>
      <c r="D4713" s="3" t="s">
        <v>977</v>
      </c>
      <c r="E4713" s="3" t="s">
        <v>7694</v>
      </c>
      <c r="F4713" s="3" t="s">
        <v>7611</v>
      </c>
      <c r="G4713" s="3" t="s">
        <v>7609</v>
      </c>
    </row>
    <row r="4714" spans="1:7">
      <c r="A4714" s="2">
        <v>207</v>
      </c>
      <c r="B4714" s="2" t="s">
        <v>749</v>
      </c>
      <c r="C4714" s="2">
        <v>402</v>
      </c>
      <c r="D4714" s="2" t="s">
        <v>1120</v>
      </c>
      <c r="E4714" s="2" t="s">
        <v>7645</v>
      </c>
      <c r="F4714" s="2" t="s">
        <v>7611</v>
      </c>
      <c r="G4714" s="2" t="s">
        <v>7622</v>
      </c>
    </row>
    <row r="4715" spans="1:7">
      <c r="A4715" s="3">
        <v>207</v>
      </c>
      <c r="B4715" s="3" t="s">
        <v>749</v>
      </c>
      <c r="C4715" s="3">
        <v>405</v>
      </c>
      <c r="D4715" s="3" t="s">
        <v>1110</v>
      </c>
      <c r="E4715" s="3" t="s">
        <v>7630</v>
      </c>
      <c r="F4715" s="3" t="s">
        <v>7611</v>
      </c>
      <c r="G4715" s="3" t="s">
        <v>7617</v>
      </c>
    </row>
    <row r="4716" spans="1:7">
      <c r="A4716" s="2">
        <v>207</v>
      </c>
      <c r="B4716" s="2" t="s">
        <v>749</v>
      </c>
      <c r="C4716" s="2">
        <v>406</v>
      </c>
      <c r="D4716" s="2" t="s">
        <v>1114</v>
      </c>
      <c r="E4716" s="2" t="s">
        <v>7623</v>
      </c>
      <c r="F4716" s="2" t="s">
        <v>7611</v>
      </c>
      <c r="G4716" s="2" t="s">
        <v>7624</v>
      </c>
    </row>
    <row r="4717" spans="1:7">
      <c r="A4717" s="3">
        <v>207</v>
      </c>
      <c r="B4717" s="3" t="s">
        <v>749</v>
      </c>
      <c r="C4717" s="3">
        <v>408</v>
      </c>
      <c r="D4717" s="3" t="s">
        <v>1131</v>
      </c>
      <c r="E4717" s="3" t="s">
        <v>7618</v>
      </c>
      <c r="F4717" s="3" t="s">
        <v>7608</v>
      </c>
      <c r="G4717" s="3" t="s">
        <v>7633</v>
      </c>
    </row>
    <row r="4718" spans="1:7">
      <c r="A4718" s="2">
        <v>207</v>
      </c>
      <c r="B4718" s="2" t="s">
        <v>749</v>
      </c>
      <c r="C4718" s="2">
        <v>409</v>
      </c>
      <c r="D4718" s="2" t="s">
        <v>1126</v>
      </c>
      <c r="E4718" s="2" t="s">
        <v>7618</v>
      </c>
      <c r="F4718" s="2" t="s">
        <v>7611</v>
      </c>
      <c r="G4718" s="2" t="s">
        <v>7617</v>
      </c>
    </row>
    <row r="4719" spans="1:7">
      <c r="A4719" s="3">
        <v>207</v>
      </c>
      <c r="B4719" s="3" t="s">
        <v>749</v>
      </c>
      <c r="C4719" s="3">
        <v>410</v>
      </c>
      <c r="D4719" s="3" t="s">
        <v>1123</v>
      </c>
      <c r="E4719" s="3" t="s">
        <v>7620</v>
      </c>
      <c r="F4719" s="3" t="s">
        <v>7611</v>
      </c>
      <c r="G4719" s="3" t="s">
        <v>7625</v>
      </c>
    </row>
    <row r="4720" spans="1:7">
      <c r="A4720" s="2">
        <v>208</v>
      </c>
      <c r="B4720" s="2" t="s">
        <v>754</v>
      </c>
      <c r="C4720" s="2">
        <v>209</v>
      </c>
      <c r="D4720" s="2" t="s">
        <v>758</v>
      </c>
      <c r="E4720" s="2" t="s">
        <v>7620</v>
      </c>
      <c r="F4720" s="2" t="s">
        <v>7677</v>
      </c>
      <c r="G4720" s="2" t="s">
        <v>7609</v>
      </c>
    </row>
    <row r="4721" spans="1:7">
      <c r="A4721" s="3">
        <v>208</v>
      </c>
      <c r="B4721" s="3" t="s">
        <v>754</v>
      </c>
      <c r="C4721" s="3">
        <v>214</v>
      </c>
      <c r="D4721" s="3" t="s">
        <v>870</v>
      </c>
      <c r="E4721" s="3" t="s">
        <v>7620</v>
      </c>
      <c r="F4721" s="3" t="s">
        <v>7611</v>
      </c>
      <c r="G4721" s="3" t="s">
        <v>7621</v>
      </c>
    </row>
    <row r="4722" spans="1:7">
      <c r="A4722" s="2">
        <v>208</v>
      </c>
      <c r="B4722" s="2" t="s">
        <v>754</v>
      </c>
      <c r="C4722" s="2">
        <v>215</v>
      </c>
      <c r="D4722" s="2" t="s">
        <v>844</v>
      </c>
      <c r="E4722" s="2" t="s">
        <v>7620</v>
      </c>
      <c r="F4722" s="2" t="s">
        <v>7611</v>
      </c>
      <c r="G4722" s="2" t="s">
        <v>7621</v>
      </c>
    </row>
    <row r="4723" spans="1:7">
      <c r="A4723" s="3">
        <v>208</v>
      </c>
      <c r="B4723" s="3" t="s">
        <v>754</v>
      </c>
      <c r="C4723" s="3">
        <v>216</v>
      </c>
      <c r="D4723" s="3"/>
      <c r="E4723" s="3" t="s">
        <v>7620</v>
      </c>
      <c r="F4723" s="3" t="s">
        <v>7611</v>
      </c>
      <c r="G4723" s="3" t="s">
        <v>7621</v>
      </c>
    </row>
    <row r="4724" spans="1:7">
      <c r="A4724" s="2">
        <v>208</v>
      </c>
      <c r="B4724" s="2" t="s">
        <v>754</v>
      </c>
      <c r="C4724" s="2">
        <v>217</v>
      </c>
      <c r="D4724" s="2" t="s">
        <v>795</v>
      </c>
      <c r="E4724" s="2" t="s">
        <v>7620</v>
      </c>
      <c r="F4724" s="2" t="s">
        <v>7611</v>
      </c>
      <c r="G4724" s="2" t="s">
        <v>7621</v>
      </c>
    </row>
    <row r="4725" spans="1:7">
      <c r="A4725" s="3">
        <v>208</v>
      </c>
      <c r="B4725" s="3" t="s">
        <v>754</v>
      </c>
      <c r="C4725" s="3">
        <v>218</v>
      </c>
      <c r="D4725" s="3" t="s">
        <v>789</v>
      </c>
      <c r="E4725" s="3" t="s">
        <v>7620</v>
      </c>
      <c r="F4725" s="3" t="s">
        <v>7611</v>
      </c>
      <c r="G4725" s="3" t="s">
        <v>7633</v>
      </c>
    </row>
    <row r="4726" spans="1:7">
      <c r="A4726" s="2">
        <v>208</v>
      </c>
      <c r="B4726" s="2" t="s">
        <v>754</v>
      </c>
      <c r="C4726" s="2">
        <v>219</v>
      </c>
      <c r="D4726" s="2" t="s">
        <v>822</v>
      </c>
      <c r="E4726" s="2" t="s">
        <v>7620</v>
      </c>
      <c r="F4726" s="2" t="s">
        <v>7628</v>
      </c>
      <c r="G4726" s="2" t="s">
        <v>7609</v>
      </c>
    </row>
    <row r="4727" spans="1:7">
      <c r="A4727" s="3">
        <v>208</v>
      </c>
      <c r="B4727" s="3" t="s">
        <v>754</v>
      </c>
      <c r="C4727" s="3">
        <v>220</v>
      </c>
      <c r="D4727" s="3" t="s">
        <v>810</v>
      </c>
      <c r="E4727" s="3" t="s">
        <v>7620</v>
      </c>
      <c r="F4727" s="3" t="s">
        <v>7628</v>
      </c>
      <c r="G4727" s="3" t="s">
        <v>7633</v>
      </c>
    </row>
    <row r="4728" spans="1:7">
      <c r="A4728" s="2">
        <v>208</v>
      </c>
      <c r="B4728" s="2" t="s">
        <v>754</v>
      </c>
      <c r="C4728" s="2">
        <v>221</v>
      </c>
      <c r="D4728" s="2" t="s">
        <v>813</v>
      </c>
      <c r="E4728" s="2" t="s">
        <v>7620</v>
      </c>
      <c r="F4728" s="2" t="s">
        <v>7611</v>
      </c>
      <c r="G4728" s="2" t="s">
        <v>7621</v>
      </c>
    </row>
    <row r="4729" spans="1:7">
      <c r="A4729" s="3">
        <v>208</v>
      </c>
      <c r="B4729" s="3" t="s">
        <v>754</v>
      </c>
      <c r="C4729" s="3">
        <v>222</v>
      </c>
      <c r="D4729" s="3" t="s">
        <v>864</v>
      </c>
      <c r="E4729" s="3" t="s">
        <v>7620</v>
      </c>
      <c r="F4729" s="3" t="s">
        <v>7611</v>
      </c>
      <c r="G4729" s="3" t="s">
        <v>7622</v>
      </c>
    </row>
    <row r="4730" spans="1:7">
      <c r="A4730" s="2">
        <v>208</v>
      </c>
      <c r="B4730" s="2" t="s">
        <v>754</v>
      </c>
      <c r="C4730" s="2">
        <v>227</v>
      </c>
      <c r="D4730" s="2" t="s">
        <v>938</v>
      </c>
      <c r="E4730" s="2" t="s">
        <v>7620</v>
      </c>
      <c r="F4730" s="2" t="s">
        <v>7608</v>
      </c>
      <c r="G4730" s="2" t="s">
        <v>7625</v>
      </c>
    </row>
    <row r="4731" spans="1:7">
      <c r="A4731" s="3">
        <v>208</v>
      </c>
      <c r="B4731" s="3" t="s">
        <v>754</v>
      </c>
      <c r="C4731" s="3">
        <v>231</v>
      </c>
      <c r="D4731" s="3" t="s">
        <v>923</v>
      </c>
      <c r="E4731" s="3" t="s">
        <v>7620</v>
      </c>
      <c r="F4731" s="3" t="s">
        <v>7611</v>
      </c>
      <c r="G4731" s="3" t="s">
        <v>7633</v>
      </c>
    </row>
    <row r="4732" spans="1:7">
      <c r="A4732" s="2">
        <v>208</v>
      </c>
      <c r="B4732" s="2" t="s">
        <v>754</v>
      </c>
      <c r="C4732" s="2">
        <v>232</v>
      </c>
      <c r="D4732" s="2" t="s">
        <v>933</v>
      </c>
      <c r="E4732" s="2" t="s">
        <v>7620</v>
      </c>
      <c r="F4732" s="2" t="s">
        <v>7608</v>
      </c>
      <c r="G4732" s="2" t="s">
        <v>7625</v>
      </c>
    </row>
    <row r="4733" spans="1:7">
      <c r="A4733" s="3">
        <v>208</v>
      </c>
      <c r="B4733" s="3" t="s">
        <v>754</v>
      </c>
      <c r="C4733" s="3">
        <v>233</v>
      </c>
      <c r="D4733" s="3" t="s">
        <v>937</v>
      </c>
      <c r="E4733" s="3" t="s">
        <v>7620</v>
      </c>
      <c r="F4733" s="3" t="s">
        <v>7611</v>
      </c>
      <c r="G4733" s="3" t="s">
        <v>7625</v>
      </c>
    </row>
    <row r="4734" spans="1:7">
      <c r="A4734" s="2">
        <v>208</v>
      </c>
      <c r="B4734" s="2" t="s">
        <v>754</v>
      </c>
      <c r="C4734" s="2">
        <v>237</v>
      </c>
      <c r="D4734" s="2" t="s">
        <v>944</v>
      </c>
      <c r="E4734" s="2" t="s">
        <v>7620</v>
      </c>
      <c r="F4734" s="2" t="s">
        <v>7608</v>
      </c>
      <c r="G4734" s="2" t="s">
        <v>7625</v>
      </c>
    </row>
    <row r="4735" spans="1:7">
      <c r="A4735" s="3">
        <v>208</v>
      </c>
      <c r="B4735" s="3" t="s">
        <v>754</v>
      </c>
      <c r="C4735" s="3">
        <v>243</v>
      </c>
      <c r="D4735" s="3" t="s">
        <v>941</v>
      </c>
      <c r="E4735" s="3" t="s">
        <v>7620</v>
      </c>
      <c r="F4735" s="3" t="s">
        <v>7608</v>
      </c>
      <c r="G4735" s="3" t="s">
        <v>7625</v>
      </c>
    </row>
    <row r="4736" spans="1:7">
      <c r="A4736" s="2">
        <v>208</v>
      </c>
      <c r="B4736" s="2" t="s">
        <v>754</v>
      </c>
      <c r="C4736" s="2">
        <v>246</v>
      </c>
      <c r="D4736" s="2" t="s">
        <v>897</v>
      </c>
      <c r="E4736" s="2" t="s">
        <v>7620</v>
      </c>
      <c r="F4736" s="2" t="s">
        <v>7702</v>
      </c>
      <c r="G4736" s="2" t="s">
        <v>7625</v>
      </c>
    </row>
    <row r="4737" spans="1:7">
      <c r="A4737" s="3">
        <v>208</v>
      </c>
      <c r="B4737" s="3" t="s">
        <v>754</v>
      </c>
      <c r="C4737" s="3">
        <v>251</v>
      </c>
      <c r="D4737" s="3" t="s">
        <v>819</v>
      </c>
      <c r="E4737" s="3" t="s">
        <v>7620</v>
      </c>
      <c r="F4737" s="3" t="s">
        <v>7611</v>
      </c>
      <c r="G4737" s="3" t="s">
        <v>7625</v>
      </c>
    </row>
    <row r="4738" spans="1:7">
      <c r="A4738" s="2">
        <v>208</v>
      </c>
      <c r="B4738" s="2" t="s">
        <v>754</v>
      </c>
      <c r="C4738" s="2">
        <v>254</v>
      </c>
      <c r="D4738" s="2" t="s">
        <v>837</v>
      </c>
      <c r="E4738" s="2" t="s">
        <v>7620</v>
      </c>
      <c r="F4738" s="2" t="s">
        <v>7611</v>
      </c>
      <c r="G4738" s="2" t="s">
        <v>7621</v>
      </c>
    </row>
    <row r="4739" spans="1:7">
      <c r="A4739" s="3">
        <v>208</v>
      </c>
      <c r="B4739" s="3" t="s">
        <v>754</v>
      </c>
      <c r="C4739" s="3">
        <v>256</v>
      </c>
      <c r="D4739" s="3" t="s">
        <v>785</v>
      </c>
      <c r="E4739" s="3" t="s">
        <v>7620</v>
      </c>
      <c r="F4739" s="3" t="s">
        <v>7611</v>
      </c>
      <c r="G4739" s="3" t="s">
        <v>7621</v>
      </c>
    </row>
    <row r="4740" spans="1:7">
      <c r="A4740" s="2">
        <v>208</v>
      </c>
      <c r="B4740" s="2" t="s">
        <v>754</v>
      </c>
      <c r="C4740" s="2">
        <v>257</v>
      </c>
      <c r="D4740" s="2" t="s">
        <v>876</v>
      </c>
      <c r="E4740" s="2" t="s">
        <v>7620</v>
      </c>
      <c r="F4740" s="2" t="s">
        <v>7611</v>
      </c>
      <c r="G4740" s="2" t="s">
        <v>7625</v>
      </c>
    </row>
    <row r="4741" spans="1:7">
      <c r="A4741" s="3">
        <v>208</v>
      </c>
      <c r="B4741" s="3" t="s">
        <v>754</v>
      </c>
      <c r="C4741" s="3">
        <v>258</v>
      </c>
      <c r="D4741" s="3" t="s">
        <v>882</v>
      </c>
      <c r="E4741" s="3" t="s">
        <v>7620</v>
      </c>
      <c r="F4741" s="3" t="s">
        <v>7608</v>
      </c>
      <c r="G4741" s="3" t="s">
        <v>7625</v>
      </c>
    </row>
    <row r="4742" spans="1:7">
      <c r="A4742" s="2">
        <v>208</v>
      </c>
      <c r="B4742" s="2" t="s">
        <v>754</v>
      </c>
      <c r="C4742" s="2">
        <v>262</v>
      </c>
      <c r="D4742" s="2" t="s">
        <v>355</v>
      </c>
      <c r="E4742" s="2" t="s">
        <v>7620</v>
      </c>
      <c r="F4742" s="2" t="s">
        <v>7611</v>
      </c>
      <c r="G4742" s="2" t="s">
        <v>7621</v>
      </c>
    </row>
    <row r="4743" spans="1:7">
      <c r="A4743" s="3">
        <v>208</v>
      </c>
      <c r="B4743" s="3" t="s">
        <v>754</v>
      </c>
      <c r="C4743" s="3">
        <v>263</v>
      </c>
      <c r="D4743" s="3" t="s">
        <v>793</v>
      </c>
      <c r="E4743" s="3" t="s">
        <v>7620</v>
      </c>
      <c r="F4743" s="3" t="s">
        <v>7608</v>
      </c>
      <c r="G4743" s="3" t="s">
        <v>7625</v>
      </c>
    </row>
    <row r="4744" spans="1:7">
      <c r="A4744" s="2">
        <v>208</v>
      </c>
      <c r="B4744" s="2" t="s">
        <v>754</v>
      </c>
      <c r="C4744" s="2">
        <v>264</v>
      </c>
      <c r="D4744" s="2" t="s">
        <v>775</v>
      </c>
      <c r="E4744" s="2" t="s">
        <v>7694</v>
      </c>
      <c r="F4744" s="2" t="s">
        <v>7628</v>
      </c>
      <c r="G4744" s="2" t="s">
        <v>7619</v>
      </c>
    </row>
    <row r="4745" spans="1:7">
      <c r="A4745" s="3">
        <v>208</v>
      </c>
      <c r="B4745" s="3" t="s">
        <v>754</v>
      </c>
      <c r="C4745" s="3">
        <v>265</v>
      </c>
      <c r="D4745" s="3" t="s">
        <v>860</v>
      </c>
      <c r="E4745" s="3" t="s">
        <v>7620</v>
      </c>
      <c r="F4745" s="3" t="s">
        <v>7611</v>
      </c>
      <c r="G4745" s="3" t="s">
        <v>7621</v>
      </c>
    </row>
    <row r="4746" spans="1:7">
      <c r="A4746" s="2">
        <v>208</v>
      </c>
      <c r="B4746" s="2" t="s">
        <v>754</v>
      </c>
      <c r="C4746" s="2">
        <v>266</v>
      </c>
      <c r="D4746" s="2" t="s">
        <v>826</v>
      </c>
      <c r="E4746" s="2" t="s">
        <v>7620</v>
      </c>
      <c r="F4746" s="2" t="s">
        <v>7628</v>
      </c>
      <c r="G4746" s="2" t="s">
        <v>7609</v>
      </c>
    </row>
    <row r="4747" spans="1:7">
      <c r="A4747" s="3">
        <v>208</v>
      </c>
      <c r="B4747" s="3" t="s">
        <v>754</v>
      </c>
      <c r="C4747" s="3">
        <v>267</v>
      </c>
      <c r="D4747" s="3" t="s">
        <v>801</v>
      </c>
      <c r="E4747" s="3" t="s">
        <v>7620</v>
      </c>
      <c r="F4747" s="3" t="s">
        <v>7611</v>
      </c>
      <c r="G4747" s="3" t="s">
        <v>7622</v>
      </c>
    </row>
    <row r="4748" spans="1:7">
      <c r="A4748" s="2">
        <v>208</v>
      </c>
      <c r="B4748" s="2" t="s">
        <v>754</v>
      </c>
      <c r="C4748" s="2">
        <v>268</v>
      </c>
      <c r="D4748" s="2" t="s">
        <v>934</v>
      </c>
      <c r="E4748" s="2" t="s">
        <v>7620</v>
      </c>
      <c r="F4748" s="2" t="s">
        <v>7608</v>
      </c>
      <c r="G4748" s="2" t="s">
        <v>7621</v>
      </c>
    </row>
    <row r="4749" spans="1:7">
      <c r="A4749" s="3">
        <v>208</v>
      </c>
      <c r="B4749" s="3" t="s">
        <v>754</v>
      </c>
      <c r="C4749" s="3">
        <v>269</v>
      </c>
      <c r="D4749" s="3" t="s">
        <v>825</v>
      </c>
      <c r="E4749" s="3" t="s">
        <v>7620</v>
      </c>
      <c r="F4749" s="3" t="s">
        <v>7611</v>
      </c>
      <c r="G4749" s="3" t="s">
        <v>7621</v>
      </c>
    </row>
    <row r="4750" spans="1:7">
      <c r="A4750" s="2">
        <v>208</v>
      </c>
      <c r="B4750" s="2" t="s">
        <v>754</v>
      </c>
      <c r="C4750" s="2">
        <v>270</v>
      </c>
      <c r="D4750" s="2" t="s">
        <v>769</v>
      </c>
      <c r="E4750" s="2" t="s">
        <v>7620</v>
      </c>
      <c r="F4750" s="2" t="s">
        <v>7611</v>
      </c>
      <c r="G4750" s="2" t="s">
        <v>7622</v>
      </c>
    </row>
    <row r="4751" spans="1:7">
      <c r="A4751" s="3">
        <v>208</v>
      </c>
      <c r="B4751" s="3" t="s">
        <v>754</v>
      </c>
      <c r="C4751" s="3">
        <v>272</v>
      </c>
      <c r="D4751" s="3" t="s">
        <v>873</v>
      </c>
      <c r="E4751" s="3" t="s">
        <v>7620</v>
      </c>
      <c r="F4751" s="3" t="s">
        <v>7628</v>
      </c>
      <c r="G4751" s="3" t="s">
        <v>7609</v>
      </c>
    </row>
    <row r="4752" spans="1:7">
      <c r="A4752" s="2">
        <v>208</v>
      </c>
      <c r="B4752" s="2" t="s">
        <v>754</v>
      </c>
      <c r="C4752" s="2">
        <v>273</v>
      </c>
      <c r="D4752" s="2" t="s">
        <v>816</v>
      </c>
      <c r="E4752" s="2" t="s">
        <v>7620</v>
      </c>
      <c r="F4752" s="2" t="s">
        <v>7608</v>
      </c>
      <c r="G4752" s="2" t="s">
        <v>7622</v>
      </c>
    </row>
    <row r="4753" spans="1:7">
      <c r="A4753" s="3">
        <v>208</v>
      </c>
      <c r="B4753" s="3" t="s">
        <v>754</v>
      </c>
      <c r="C4753" s="3">
        <v>275</v>
      </c>
      <c r="D4753" s="3" t="s">
        <v>781</v>
      </c>
      <c r="E4753" s="3" t="s">
        <v>7620</v>
      </c>
      <c r="F4753" s="3" t="s">
        <v>7611</v>
      </c>
      <c r="G4753" s="3" t="s">
        <v>7621</v>
      </c>
    </row>
    <row r="4754" spans="1:7">
      <c r="A4754" s="2">
        <v>208</v>
      </c>
      <c r="B4754" s="2" t="s">
        <v>754</v>
      </c>
      <c r="C4754" s="2">
        <v>276</v>
      </c>
      <c r="D4754" s="2" t="s">
        <v>842</v>
      </c>
      <c r="E4754" s="2" t="s">
        <v>7620</v>
      </c>
      <c r="F4754" s="2" t="s">
        <v>7611</v>
      </c>
      <c r="G4754" s="2" t="s">
        <v>7622</v>
      </c>
    </row>
    <row r="4755" spans="1:7">
      <c r="A4755" s="3">
        <v>208</v>
      </c>
      <c r="B4755" s="3" t="s">
        <v>754</v>
      </c>
      <c r="C4755" s="3">
        <v>281</v>
      </c>
      <c r="D4755" s="3" t="s">
        <v>856</v>
      </c>
      <c r="E4755" s="3" t="s">
        <v>7620</v>
      </c>
      <c r="F4755" s="3" t="s">
        <v>7628</v>
      </c>
      <c r="G4755" s="3" t="s">
        <v>7617</v>
      </c>
    </row>
    <row r="4756" spans="1:7">
      <c r="A4756" s="2">
        <v>208</v>
      </c>
      <c r="B4756" s="2" t="s">
        <v>754</v>
      </c>
      <c r="C4756" s="2">
        <v>282</v>
      </c>
      <c r="D4756" s="2" t="s">
        <v>885</v>
      </c>
      <c r="E4756" s="2" t="s">
        <v>7620</v>
      </c>
      <c r="F4756" s="2" t="s">
        <v>7611</v>
      </c>
      <c r="G4756" s="2" t="s">
        <v>7621</v>
      </c>
    </row>
    <row r="4757" spans="1:7">
      <c r="A4757" s="3">
        <v>208</v>
      </c>
      <c r="B4757" s="3" t="s">
        <v>754</v>
      </c>
      <c r="C4757" s="3">
        <v>284</v>
      </c>
      <c r="D4757" s="3" t="s">
        <v>854</v>
      </c>
      <c r="E4757" s="3" t="s">
        <v>7620</v>
      </c>
      <c r="F4757" s="3" t="s">
        <v>7628</v>
      </c>
      <c r="G4757" s="3" t="s">
        <v>7633</v>
      </c>
    </row>
    <row r="4758" spans="1:7">
      <c r="A4758" s="2">
        <v>208</v>
      </c>
      <c r="B4758" s="2" t="s">
        <v>754</v>
      </c>
      <c r="C4758" s="2">
        <v>285</v>
      </c>
      <c r="D4758" s="2" t="s">
        <v>854</v>
      </c>
      <c r="E4758" s="2" t="s">
        <v>7620</v>
      </c>
      <c r="F4758" s="2" t="s">
        <v>7611</v>
      </c>
      <c r="G4758" s="2" t="s">
        <v>7622</v>
      </c>
    </row>
    <row r="4759" spans="1:7">
      <c r="A4759" s="3">
        <v>208</v>
      </c>
      <c r="B4759" s="3" t="s">
        <v>754</v>
      </c>
      <c r="C4759" s="3">
        <v>286</v>
      </c>
      <c r="D4759" s="3" t="s">
        <v>807</v>
      </c>
      <c r="E4759" s="3" t="s">
        <v>7620</v>
      </c>
      <c r="F4759" s="3" t="s">
        <v>7611</v>
      </c>
      <c r="G4759" s="3" t="s">
        <v>7625</v>
      </c>
    </row>
    <row r="4760" spans="1:7">
      <c r="A4760" s="2">
        <v>208</v>
      </c>
      <c r="B4760" s="2" t="s">
        <v>754</v>
      </c>
      <c r="C4760" s="2">
        <v>287</v>
      </c>
      <c r="D4760" s="2" t="s">
        <v>929</v>
      </c>
      <c r="E4760" s="2" t="s">
        <v>7620</v>
      </c>
      <c r="F4760" s="2" t="s">
        <v>7611</v>
      </c>
      <c r="G4760" s="2" t="s">
        <v>7621</v>
      </c>
    </row>
    <row r="4761" spans="1:7">
      <c r="A4761" s="3">
        <v>208</v>
      </c>
      <c r="B4761" s="3" t="s">
        <v>754</v>
      </c>
      <c r="C4761" s="3">
        <v>288</v>
      </c>
      <c r="D4761" s="3" t="s">
        <v>805</v>
      </c>
      <c r="E4761" s="3" t="s">
        <v>7620</v>
      </c>
      <c r="F4761" s="3" t="s">
        <v>7611</v>
      </c>
      <c r="G4761" s="3" t="s">
        <v>7622</v>
      </c>
    </row>
    <row r="4762" spans="1:7">
      <c r="A4762" s="2">
        <v>208</v>
      </c>
      <c r="B4762" s="2" t="s">
        <v>754</v>
      </c>
      <c r="C4762" s="2">
        <v>289</v>
      </c>
      <c r="D4762" s="2" t="s">
        <v>854</v>
      </c>
      <c r="E4762" s="2" t="s">
        <v>7620</v>
      </c>
      <c r="F4762" s="2" t="s">
        <v>7608</v>
      </c>
      <c r="G4762" s="2" t="s">
        <v>7625</v>
      </c>
    </row>
    <row r="4763" spans="1:7">
      <c r="A4763" s="3">
        <v>208</v>
      </c>
      <c r="B4763" s="3" t="s">
        <v>754</v>
      </c>
      <c r="C4763" s="3">
        <v>290</v>
      </c>
      <c r="D4763" s="3" t="s">
        <v>854</v>
      </c>
      <c r="E4763" s="3" t="s">
        <v>7620</v>
      </c>
      <c r="F4763" s="3" t="s">
        <v>7611</v>
      </c>
      <c r="G4763" s="3" t="s">
        <v>7625</v>
      </c>
    </row>
    <row r="4764" spans="1:7">
      <c r="A4764" s="2">
        <v>208</v>
      </c>
      <c r="B4764" s="2" t="s">
        <v>754</v>
      </c>
      <c r="C4764" s="2">
        <v>293</v>
      </c>
      <c r="D4764" s="2" t="s">
        <v>854</v>
      </c>
      <c r="E4764" s="2" t="s">
        <v>7620</v>
      </c>
      <c r="F4764" s="2" t="s">
        <v>7611</v>
      </c>
      <c r="G4764" s="2" t="s">
        <v>7621</v>
      </c>
    </row>
    <row r="4765" spans="1:7">
      <c r="A4765" s="3">
        <v>208</v>
      </c>
      <c r="B4765" s="3" t="s">
        <v>754</v>
      </c>
      <c r="C4765" s="3">
        <v>294</v>
      </c>
      <c r="D4765" s="3" t="s">
        <v>854</v>
      </c>
      <c r="E4765" s="3" t="s">
        <v>7620</v>
      </c>
      <c r="F4765" s="3" t="s">
        <v>7608</v>
      </c>
      <c r="G4765" s="3" t="s">
        <v>7625</v>
      </c>
    </row>
    <row r="4766" spans="1:7">
      <c r="A4766" s="2">
        <v>208</v>
      </c>
      <c r="B4766" s="2" t="s">
        <v>754</v>
      </c>
      <c r="C4766" s="2">
        <v>295</v>
      </c>
      <c r="D4766" s="2" t="s">
        <v>854</v>
      </c>
      <c r="E4766" s="2" t="s">
        <v>7620</v>
      </c>
      <c r="F4766" s="2" t="s">
        <v>7635</v>
      </c>
      <c r="G4766" s="2" t="s">
        <v>7622</v>
      </c>
    </row>
    <row r="4767" spans="1:7">
      <c r="A4767" s="3">
        <v>208</v>
      </c>
      <c r="B4767" s="3" t="s">
        <v>754</v>
      </c>
      <c r="C4767" s="3">
        <v>296</v>
      </c>
      <c r="D4767" s="3" t="s">
        <v>854</v>
      </c>
      <c r="E4767" s="3" t="s">
        <v>7620</v>
      </c>
      <c r="F4767" s="3" t="s">
        <v>7608</v>
      </c>
      <c r="G4767" s="3" t="s">
        <v>7621</v>
      </c>
    </row>
    <row r="4768" spans="1:7">
      <c r="A4768" s="2">
        <v>208</v>
      </c>
      <c r="B4768" s="2" t="s">
        <v>754</v>
      </c>
      <c r="C4768" s="2">
        <v>302</v>
      </c>
      <c r="D4768" s="2" t="s">
        <v>916</v>
      </c>
      <c r="E4768" s="2" t="s">
        <v>7620</v>
      </c>
      <c r="F4768" s="2" t="s">
        <v>7628</v>
      </c>
      <c r="G4768" s="2" t="s">
        <v>7633</v>
      </c>
    </row>
    <row r="4769" spans="1:7">
      <c r="A4769" s="3">
        <v>208</v>
      </c>
      <c r="B4769" s="3" t="s">
        <v>754</v>
      </c>
      <c r="C4769" s="3">
        <v>303</v>
      </c>
      <c r="D4769" s="3" t="s">
        <v>854</v>
      </c>
      <c r="E4769" s="3" t="s">
        <v>7620</v>
      </c>
      <c r="F4769" s="3" t="s">
        <v>7611</v>
      </c>
      <c r="G4769" s="3" t="s">
        <v>7622</v>
      </c>
    </row>
    <row r="4770" spans="1:7">
      <c r="A4770" s="2">
        <v>208</v>
      </c>
      <c r="B4770" s="2" t="s">
        <v>754</v>
      </c>
      <c r="C4770" s="2">
        <v>304</v>
      </c>
      <c r="D4770" s="2" t="s">
        <v>854</v>
      </c>
      <c r="E4770" s="2" t="s">
        <v>7620</v>
      </c>
      <c r="F4770" s="2" t="s">
        <v>7608</v>
      </c>
      <c r="G4770" s="2" t="s">
        <v>7625</v>
      </c>
    </row>
    <row r="4771" spans="1:7">
      <c r="A4771" s="3">
        <v>208</v>
      </c>
      <c r="B4771" s="3" t="s">
        <v>754</v>
      </c>
      <c r="C4771" s="3">
        <v>305</v>
      </c>
      <c r="D4771" s="3" t="s">
        <v>854</v>
      </c>
      <c r="E4771" s="3" t="s">
        <v>7620</v>
      </c>
      <c r="F4771" s="3" t="s">
        <v>7608</v>
      </c>
      <c r="G4771" s="3" t="s">
        <v>7625</v>
      </c>
    </row>
    <row r="4772" spans="1:7">
      <c r="A4772" s="2">
        <v>208</v>
      </c>
      <c r="B4772" s="2" t="s">
        <v>754</v>
      </c>
      <c r="C4772" s="2">
        <v>307</v>
      </c>
      <c r="D4772" s="2" t="s">
        <v>854</v>
      </c>
      <c r="E4772" s="2" t="s">
        <v>7620</v>
      </c>
      <c r="F4772" s="2" t="s">
        <v>7611</v>
      </c>
      <c r="G4772" s="2" t="s">
        <v>7625</v>
      </c>
    </row>
    <row r="4773" spans="1:7">
      <c r="A4773" s="3">
        <v>208</v>
      </c>
      <c r="B4773" s="3" t="s">
        <v>754</v>
      </c>
      <c r="C4773" s="3">
        <v>308</v>
      </c>
      <c r="D4773" s="3" t="s">
        <v>854</v>
      </c>
      <c r="E4773" s="3" t="s">
        <v>7620</v>
      </c>
      <c r="F4773" s="3" t="s">
        <v>7702</v>
      </c>
      <c r="G4773" s="3" t="s">
        <v>7622</v>
      </c>
    </row>
    <row r="4774" spans="1:7">
      <c r="A4774" s="2">
        <v>208</v>
      </c>
      <c r="B4774" s="2" t="s">
        <v>754</v>
      </c>
      <c r="C4774" s="2">
        <v>311</v>
      </c>
      <c r="D4774" s="2" t="s">
        <v>954</v>
      </c>
      <c r="E4774" s="2" t="s">
        <v>7635</v>
      </c>
      <c r="F4774" s="2" t="s">
        <v>7677</v>
      </c>
      <c r="G4774" s="2" t="s">
        <v>7633</v>
      </c>
    </row>
    <row r="4775" spans="1:7">
      <c r="A4775" s="3">
        <v>208</v>
      </c>
      <c r="B4775" s="3" t="s">
        <v>754</v>
      </c>
      <c r="C4775" s="3">
        <v>312</v>
      </c>
      <c r="D4775" s="3" t="s">
        <v>949</v>
      </c>
      <c r="E4775" s="3" t="s">
        <v>7635</v>
      </c>
      <c r="F4775" s="3" t="s">
        <v>7628</v>
      </c>
      <c r="G4775" s="3" t="s">
        <v>7622</v>
      </c>
    </row>
    <row r="4776" spans="1:7">
      <c r="A4776" s="2">
        <v>208</v>
      </c>
      <c r="B4776" s="2" t="s">
        <v>754</v>
      </c>
      <c r="C4776" s="2">
        <v>314</v>
      </c>
      <c r="D4776" s="2" t="s">
        <v>1050</v>
      </c>
      <c r="E4776" s="2" t="s">
        <v>7635</v>
      </c>
      <c r="F4776" s="2" t="s">
        <v>7635</v>
      </c>
      <c r="G4776" s="2" t="s">
        <v>7625</v>
      </c>
    </row>
    <row r="4777" spans="1:7">
      <c r="A4777" s="3">
        <v>208</v>
      </c>
      <c r="B4777" s="3" t="s">
        <v>754</v>
      </c>
      <c r="C4777" s="3">
        <v>316</v>
      </c>
      <c r="D4777" s="3" t="s">
        <v>1028</v>
      </c>
      <c r="E4777" s="3" t="s">
        <v>7620</v>
      </c>
      <c r="F4777" s="3" t="s">
        <v>7608</v>
      </c>
      <c r="G4777" s="3" t="s">
        <v>7625</v>
      </c>
    </row>
    <row r="4778" spans="1:7">
      <c r="A4778" s="2">
        <v>208</v>
      </c>
      <c r="B4778" s="2" t="s">
        <v>754</v>
      </c>
      <c r="C4778" s="2">
        <v>317</v>
      </c>
      <c r="D4778" s="2" t="s">
        <v>1030</v>
      </c>
      <c r="E4778" s="2" t="s">
        <v>7620</v>
      </c>
      <c r="F4778" s="2" t="s">
        <v>7611</v>
      </c>
      <c r="G4778" s="2" t="s">
        <v>7622</v>
      </c>
    </row>
    <row r="4779" spans="1:7">
      <c r="A4779" s="3">
        <v>208</v>
      </c>
      <c r="B4779" s="3" t="s">
        <v>754</v>
      </c>
      <c r="C4779" s="3">
        <v>318</v>
      </c>
      <c r="D4779" s="3" t="s">
        <v>1032</v>
      </c>
      <c r="E4779" s="3" t="s">
        <v>7620</v>
      </c>
      <c r="F4779" s="3" t="s">
        <v>7611</v>
      </c>
      <c r="G4779" s="3" t="s">
        <v>7621</v>
      </c>
    </row>
    <row r="4780" spans="1:7">
      <c r="A4780" s="2">
        <v>208</v>
      </c>
      <c r="B4780" s="2" t="s">
        <v>754</v>
      </c>
      <c r="C4780" s="2">
        <v>319</v>
      </c>
      <c r="D4780" s="2" t="s">
        <v>1035</v>
      </c>
      <c r="E4780" s="2" t="s">
        <v>7635</v>
      </c>
      <c r="F4780" s="2" t="s">
        <v>7628</v>
      </c>
      <c r="G4780" s="2" t="s">
        <v>7622</v>
      </c>
    </row>
    <row r="4781" spans="1:7">
      <c r="A4781" s="3">
        <v>208</v>
      </c>
      <c r="B4781" s="3" t="s">
        <v>754</v>
      </c>
      <c r="C4781" s="3">
        <v>320</v>
      </c>
      <c r="D4781" s="3" t="s">
        <v>1039</v>
      </c>
      <c r="E4781" s="3" t="s">
        <v>7635</v>
      </c>
      <c r="F4781" s="3" t="s">
        <v>7677</v>
      </c>
      <c r="G4781" s="3" t="s">
        <v>7622</v>
      </c>
    </row>
    <row r="4782" spans="1:7">
      <c r="A4782" s="2">
        <v>208</v>
      </c>
      <c r="B4782" s="2" t="s">
        <v>754</v>
      </c>
      <c r="C4782" s="2">
        <v>321</v>
      </c>
      <c r="D4782" s="2" t="s">
        <v>1048</v>
      </c>
      <c r="E4782" s="2" t="s">
        <v>7620</v>
      </c>
      <c r="F4782" s="2" t="s">
        <v>7611</v>
      </c>
      <c r="G4782" s="2" t="s">
        <v>7622</v>
      </c>
    </row>
    <row r="4783" spans="1:7">
      <c r="A4783" s="3">
        <v>208</v>
      </c>
      <c r="B4783" s="3" t="s">
        <v>754</v>
      </c>
      <c r="C4783" s="3">
        <v>322</v>
      </c>
      <c r="D4783" s="3" t="s">
        <v>1012</v>
      </c>
      <c r="E4783" s="3" t="s">
        <v>7635</v>
      </c>
      <c r="F4783" s="3" t="s">
        <v>7635</v>
      </c>
      <c r="G4783" s="3" t="s">
        <v>7625</v>
      </c>
    </row>
    <row r="4784" spans="1:7">
      <c r="A4784" s="2">
        <v>208</v>
      </c>
      <c r="B4784" s="2" t="s">
        <v>754</v>
      </c>
      <c r="C4784" s="2">
        <v>323</v>
      </c>
      <c r="D4784" s="2" t="s">
        <v>1016</v>
      </c>
      <c r="E4784" s="2" t="s">
        <v>7620</v>
      </c>
      <c r="F4784" s="2" t="s">
        <v>7611</v>
      </c>
      <c r="G4784" s="2" t="s">
        <v>7609</v>
      </c>
    </row>
    <row r="4785" spans="1:7">
      <c r="A4785" s="3">
        <v>208</v>
      </c>
      <c r="B4785" s="3" t="s">
        <v>754</v>
      </c>
      <c r="C4785" s="3">
        <v>325</v>
      </c>
      <c r="D4785" s="3" t="s">
        <v>1020</v>
      </c>
      <c r="E4785" s="3" t="s">
        <v>7620</v>
      </c>
      <c r="F4785" s="3" t="s">
        <v>7611</v>
      </c>
      <c r="G4785" s="3" t="s">
        <v>7622</v>
      </c>
    </row>
    <row r="4786" spans="1:7">
      <c r="A4786" s="2">
        <v>208</v>
      </c>
      <c r="B4786" s="2" t="s">
        <v>754</v>
      </c>
      <c r="C4786" s="2">
        <v>326</v>
      </c>
      <c r="D4786" s="2" t="s">
        <v>1022</v>
      </c>
      <c r="E4786" s="2" t="s">
        <v>7620</v>
      </c>
      <c r="F4786" s="2" t="s">
        <v>7628</v>
      </c>
      <c r="G4786" s="2" t="s">
        <v>7633</v>
      </c>
    </row>
    <row r="4787" spans="1:7">
      <c r="A4787" s="3">
        <v>208</v>
      </c>
      <c r="B4787" s="3" t="s">
        <v>754</v>
      </c>
      <c r="C4787" s="3">
        <v>327</v>
      </c>
      <c r="D4787" s="3" t="s">
        <v>1025</v>
      </c>
      <c r="E4787" s="3" t="s">
        <v>7620</v>
      </c>
      <c r="F4787" s="3" t="s">
        <v>7628</v>
      </c>
      <c r="G4787" s="3" t="s">
        <v>7633</v>
      </c>
    </row>
    <row r="4788" spans="1:7">
      <c r="A4788" s="2">
        <v>208</v>
      </c>
      <c r="B4788" s="2" t="s">
        <v>754</v>
      </c>
      <c r="C4788" s="2">
        <v>328</v>
      </c>
      <c r="D4788" s="2" t="s">
        <v>1026</v>
      </c>
      <c r="E4788" s="2" t="s">
        <v>7620</v>
      </c>
      <c r="F4788" s="2" t="s">
        <v>7611</v>
      </c>
      <c r="G4788" s="2" t="s">
        <v>7633</v>
      </c>
    </row>
    <row r="4789" spans="1:7">
      <c r="A4789" s="3">
        <v>208</v>
      </c>
      <c r="B4789" s="3" t="s">
        <v>754</v>
      </c>
      <c r="C4789" s="3">
        <v>329</v>
      </c>
      <c r="D4789" s="3" t="s">
        <v>965</v>
      </c>
      <c r="E4789" s="3" t="s">
        <v>7620</v>
      </c>
      <c r="F4789" s="3" t="s">
        <v>7611</v>
      </c>
      <c r="G4789" s="3" t="s">
        <v>7621</v>
      </c>
    </row>
    <row r="4790" spans="1:7">
      <c r="A4790" s="2">
        <v>208</v>
      </c>
      <c r="B4790" s="2" t="s">
        <v>754</v>
      </c>
      <c r="C4790" s="2">
        <v>330</v>
      </c>
      <c r="D4790" s="2" t="s">
        <v>974</v>
      </c>
      <c r="E4790" s="2" t="s">
        <v>7620</v>
      </c>
      <c r="F4790" s="2" t="s">
        <v>7635</v>
      </c>
      <c r="G4790" s="2" t="s">
        <v>7622</v>
      </c>
    </row>
    <row r="4791" spans="1:7">
      <c r="A4791" s="3">
        <v>208</v>
      </c>
      <c r="B4791" s="3" t="s">
        <v>754</v>
      </c>
      <c r="C4791" s="3">
        <v>333</v>
      </c>
      <c r="D4791" s="3" t="s">
        <v>989</v>
      </c>
      <c r="E4791" s="3" t="s">
        <v>7620</v>
      </c>
      <c r="F4791" s="3" t="s">
        <v>7611</v>
      </c>
      <c r="G4791" s="3" t="s">
        <v>7622</v>
      </c>
    </row>
    <row r="4792" spans="1:7">
      <c r="A4792" s="2">
        <v>208</v>
      </c>
      <c r="B4792" s="2" t="s">
        <v>754</v>
      </c>
      <c r="C4792" s="2">
        <v>334</v>
      </c>
      <c r="D4792" s="2" t="s">
        <v>970</v>
      </c>
      <c r="E4792" s="2" t="s">
        <v>7620</v>
      </c>
      <c r="F4792" s="2" t="s">
        <v>7628</v>
      </c>
      <c r="G4792" s="2" t="s">
        <v>7633</v>
      </c>
    </row>
    <row r="4793" spans="1:7">
      <c r="A4793" s="3">
        <v>208</v>
      </c>
      <c r="B4793" s="3" t="s">
        <v>754</v>
      </c>
      <c r="C4793" s="3">
        <v>335</v>
      </c>
      <c r="D4793" s="3" t="s">
        <v>1057</v>
      </c>
      <c r="E4793" s="3" t="s">
        <v>7620</v>
      </c>
      <c r="F4793" s="3" t="s">
        <v>7611</v>
      </c>
      <c r="G4793" s="3" t="s">
        <v>7625</v>
      </c>
    </row>
    <row r="4794" spans="1:7">
      <c r="A4794" s="2">
        <v>208</v>
      </c>
      <c r="B4794" s="2" t="s">
        <v>754</v>
      </c>
      <c r="C4794" s="2">
        <v>336</v>
      </c>
      <c r="D4794" s="2" t="s">
        <v>992</v>
      </c>
      <c r="E4794" s="2" t="s">
        <v>7620</v>
      </c>
      <c r="F4794" s="2" t="s">
        <v>7611</v>
      </c>
      <c r="G4794" s="2" t="s">
        <v>7625</v>
      </c>
    </row>
    <row r="4795" spans="1:7">
      <c r="A4795" s="3">
        <v>208</v>
      </c>
      <c r="B4795" s="3" t="s">
        <v>754</v>
      </c>
      <c r="C4795" s="3">
        <v>337</v>
      </c>
      <c r="D4795" s="3" t="s">
        <v>1042</v>
      </c>
      <c r="E4795" s="3" t="s">
        <v>7620</v>
      </c>
      <c r="F4795" s="3" t="s">
        <v>7611</v>
      </c>
      <c r="G4795" s="3" t="s">
        <v>7621</v>
      </c>
    </row>
    <row r="4796" spans="1:7">
      <c r="A4796" s="2">
        <v>208</v>
      </c>
      <c r="B4796" s="2" t="s">
        <v>754</v>
      </c>
      <c r="C4796" s="2">
        <v>338</v>
      </c>
      <c r="D4796" s="2" t="s">
        <v>996</v>
      </c>
      <c r="E4796" s="2" t="s">
        <v>7620</v>
      </c>
      <c r="F4796" s="2" t="s">
        <v>7611</v>
      </c>
      <c r="G4796" s="2" t="s">
        <v>7621</v>
      </c>
    </row>
    <row r="4797" spans="1:7">
      <c r="A4797" s="3">
        <v>208</v>
      </c>
      <c r="B4797" s="3" t="s">
        <v>754</v>
      </c>
      <c r="C4797" s="3">
        <v>339</v>
      </c>
      <c r="D4797" s="3" t="s">
        <v>1058</v>
      </c>
      <c r="E4797" s="3" t="s">
        <v>7620</v>
      </c>
      <c r="F4797" s="3" t="s">
        <v>7611</v>
      </c>
      <c r="G4797" s="3" t="s">
        <v>7621</v>
      </c>
    </row>
    <row r="4798" spans="1:7">
      <c r="A4798" s="2">
        <v>208</v>
      </c>
      <c r="B4798" s="2" t="s">
        <v>754</v>
      </c>
      <c r="C4798" s="2">
        <v>340</v>
      </c>
      <c r="D4798" s="2" t="s">
        <v>1000</v>
      </c>
      <c r="E4798" s="2" t="s">
        <v>7620</v>
      </c>
      <c r="F4798" s="2" t="s">
        <v>7608</v>
      </c>
      <c r="G4798" s="2" t="s">
        <v>7625</v>
      </c>
    </row>
    <row r="4799" spans="1:7">
      <c r="A4799" s="3">
        <v>208</v>
      </c>
      <c r="B4799" s="3" t="s">
        <v>754</v>
      </c>
      <c r="C4799" s="3">
        <v>341</v>
      </c>
      <c r="D4799" s="3" t="s">
        <v>1052</v>
      </c>
      <c r="E4799" s="3" t="s">
        <v>7620</v>
      </c>
      <c r="F4799" s="3" t="s">
        <v>7611</v>
      </c>
      <c r="G4799" s="3" t="s">
        <v>7622</v>
      </c>
    </row>
    <row r="4800" spans="1:7">
      <c r="A4800" s="2">
        <v>208</v>
      </c>
      <c r="B4800" s="2" t="s">
        <v>754</v>
      </c>
      <c r="C4800" s="2">
        <v>343</v>
      </c>
      <c r="D4800" s="2" t="s">
        <v>977</v>
      </c>
      <c r="E4800" s="2" t="s">
        <v>7694</v>
      </c>
      <c r="F4800" s="2" t="s">
        <v>7628</v>
      </c>
      <c r="G4800" s="2" t="s">
        <v>7619</v>
      </c>
    </row>
    <row r="4801" spans="1:7">
      <c r="A4801" s="3">
        <v>208</v>
      </c>
      <c r="B4801" s="3" t="s">
        <v>754</v>
      </c>
      <c r="C4801" s="3">
        <v>405</v>
      </c>
      <c r="D4801" s="3" t="s">
        <v>1110</v>
      </c>
      <c r="E4801" s="3" t="s">
        <v>7620</v>
      </c>
      <c r="F4801" s="3" t="s">
        <v>7611</v>
      </c>
      <c r="G4801" s="3" t="s">
        <v>7621</v>
      </c>
    </row>
    <row r="4802" spans="1:7">
      <c r="A4802" s="2">
        <v>208</v>
      </c>
      <c r="B4802" s="2" t="s">
        <v>754</v>
      </c>
      <c r="C4802" s="2">
        <v>406</v>
      </c>
      <c r="D4802" s="2" t="s">
        <v>1114</v>
      </c>
      <c r="E4802" s="2" t="s">
        <v>7620</v>
      </c>
      <c r="F4802" s="2" t="s">
        <v>7628</v>
      </c>
      <c r="G4802" s="2" t="s">
        <v>7609</v>
      </c>
    </row>
    <row r="4803" spans="1:7">
      <c r="A4803" s="3">
        <v>208</v>
      </c>
      <c r="B4803" s="3" t="s">
        <v>754</v>
      </c>
      <c r="C4803" s="3">
        <v>409</v>
      </c>
      <c r="D4803" s="3" t="s">
        <v>1126</v>
      </c>
      <c r="E4803" s="3" t="s">
        <v>7620</v>
      </c>
      <c r="F4803" s="3" t="s">
        <v>7611</v>
      </c>
      <c r="G4803" s="3" t="s">
        <v>7622</v>
      </c>
    </row>
    <row r="4804" spans="1:7">
      <c r="A4804" s="2">
        <v>208</v>
      </c>
      <c r="B4804" s="2" t="s">
        <v>754</v>
      </c>
      <c r="C4804" s="2">
        <v>410</v>
      </c>
      <c r="D4804" s="2" t="s">
        <v>1123</v>
      </c>
      <c r="E4804" s="2" t="s">
        <v>7620</v>
      </c>
      <c r="F4804" s="2" t="s">
        <v>7611</v>
      </c>
      <c r="G4804" s="2" t="s">
        <v>7621</v>
      </c>
    </row>
    <row r="4805" spans="1:7">
      <c r="A4805" s="3">
        <v>209</v>
      </c>
      <c r="B4805" s="3" t="s">
        <v>758</v>
      </c>
      <c r="C4805" s="3">
        <v>214</v>
      </c>
      <c r="D4805" s="3" t="s">
        <v>870</v>
      </c>
      <c r="E4805" s="3" t="s">
        <v>7620</v>
      </c>
      <c r="F4805" s="3" t="s">
        <v>7608</v>
      </c>
      <c r="G4805" s="3" t="s">
        <v>7625</v>
      </c>
    </row>
    <row r="4806" spans="1:7">
      <c r="A4806" s="2">
        <v>209</v>
      </c>
      <c r="B4806" s="2" t="s">
        <v>758</v>
      </c>
      <c r="C4806" s="2">
        <v>215</v>
      </c>
      <c r="D4806" s="2" t="s">
        <v>844</v>
      </c>
      <c r="E4806" s="2" t="s">
        <v>7630</v>
      </c>
      <c r="F4806" s="2" t="s">
        <v>7650</v>
      </c>
      <c r="G4806" s="2" t="s">
        <v>7617</v>
      </c>
    </row>
    <row r="4807" spans="1:7">
      <c r="A4807" s="3">
        <v>209</v>
      </c>
      <c r="B4807" s="3" t="s">
        <v>758</v>
      </c>
      <c r="C4807" s="3">
        <v>216</v>
      </c>
      <c r="D4807" s="3"/>
      <c r="E4807" s="3" t="s">
        <v>7630</v>
      </c>
      <c r="F4807" s="3" t="s">
        <v>7608</v>
      </c>
      <c r="G4807" s="3" t="s">
        <v>7609</v>
      </c>
    </row>
    <row r="4808" spans="1:7">
      <c r="A4808" s="2">
        <v>209</v>
      </c>
      <c r="B4808" s="2" t="s">
        <v>758</v>
      </c>
      <c r="C4808" s="2">
        <v>217</v>
      </c>
      <c r="D4808" s="2" t="s">
        <v>795</v>
      </c>
      <c r="E4808" s="2" t="s">
        <v>7618</v>
      </c>
      <c r="F4808" s="2" t="s">
        <v>7650</v>
      </c>
      <c r="G4808" s="2" t="s">
        <v>7636</v>
      </c>
    </row>
    <row r="4809" spans="1:7">
      <c r="A4809" s="3">
        <v>209</v>
      </c>
      <c r="B4809" s="3" t="s">
        <v>758</v>
      </c>
      <c r="C4809" s="3">
        <v>218</v>
      </c>
      <c r="D4809" s="3" t="s">
        <v>789</v>
      </c>
      <c r="E4809" s="3" t="s">
        <v>7630</v>
      </c>
      <c r="F4809" s="3" t="s">
        <v>7608</v>
      </c>
      <c r="G4809" s="3" t="s">
        <v>7633</v>
      </c>
    </row>
    <row r="4810" spans="1:7">
      <c r="A4810" s="2">
        <v>209</v>
      </c>
      <c r="B4810" s="2" t="s">
        <v>758</v>
      </c>
      <c r="C4810" s="2">
        <v>219</v>
      </c>
      <c r="D4810" s="2" t="s">
        <v>822</v>
      </c>
      <c r="E4810" s="2" t="s">
        <v>7618</v>
      </c>
      <c r="F4810" s="2" t="s">
        <v>7652</v>
      </c>
      <c r="G4810" s="2" t="s">
        <v>7634</v>
      </c>
    </row>
    <row r="4811" spans="1:7">
      <c r="A4811" s="3">
        <v>209</v>
      </c>
      <c r="B4811" s="3" t="s">
        <v>758</v>
      </c>
      <c r="C4811" s="3">
        <v>220</v>
      </c>
      <c r="D4811" s="3" t="s">
        <v>810</v>
      </c>
      <c r="E4811" s="3" t="s">
        <v>7618</v>
      </c>
      <c r="F4811" s="3" t="s">
        <v>7652</v>
      </c>
      <c r="G4811" s="3" t="s">
        <v>7619</v>
      </c>
    </row>
    <row r="4812" spans="1:7">
      <c r="A4812" s="2">
        <v>209</v>
      </c>
      <c r="B4812" s="2" t="s">
        <v>758</v>
      </c>
      <c r="C4812" s="2">
        <v>221</v>
      </c>
      <c r="D4812" s="2" t="s">
        <v>813</v>
      </c>
      <c r="E4812" s="2" t="s">
        <v>7734</v>
      </c>
      <c r="F4812" s="2" t="s">
        <v>7650</v>
      </c>
      <c r="G4812" s="2" t="s">
        <v>7639</v>
      </c>
    </row>
    <row r="4813" spans="1:7">
      <c r="A4813" s="3">
        <v>209</v>
      </c>
      <c r="B4813" s="3" t="s">
        <v>758</v>
      </c>
      <c r="C4813" s="3">
        <v>222</v>
      </c>
      <c r="D4813" s="3" t="s">
        <v>864</v>
      </c>
      <c r="E4813" s="3" t="s">
        <v>7620</v>
      </c>
      <c r="F4813" s="3" t="s">
        <v>7608</v>
      </c>
      <c r="G4813" s="3" t="s">
        <v>7622</v>
      </c>
    </row>
    <row r="4814" spans="1:7">
      <c r="A4814" s="2">
        <v>209</v>
      </c>
      <c r="B4814" s="2" t="s">
        <v>758</v>
      </c>
      <c r="C4814" s="2">
        <v>230</v>
      </c>
      <c r="D4814" s="2" t="s">
        <v>920</v>
      </c>
      <c r="E4814" s="2" t="s">
        <v>7620</v>
      </c>
      <c r="F4814" s="2" t="s">
        <v>7650</v>
      </c>
      <c r="G4814" s="2" t="s">
        <v>7622</v>
      </c>
    </row>
    <row r="4815" spans="1:7">
      <c r="A4815" s="3">
        <v>209</v>
      </c>
      <c r="B4815" s="3" t="s">
        <v>758</v>
      </c>
      <c r="C4815" s="3">
        <v>231</v>
      </c>
      <c r="D4815" s="3" t="s">
        <v>923</v>
      </c>
      <c r="E4815" s="3" t="s">
        <v>7618</v>
      </c>
      <c r="F4815" s="3" t="s">
        <v>7608</v>
      </c>
      <c r="G4815" s="3" t="s">
        <v>7617</v>
      </c>
    </row>
    <row r="4816" spans="1:7">
      <c r="A4816" s="2">
        <v>209</v>
      </c>
      <c r="B4816" s="2" t="s">
        <v>758</v>
      </c>
      <c r="C4816" s="2">
        <v>232</v>
      </c>
      <c r="D4816" s="2" t="s">
        <v>933</v>
      </c>
      <c r="E4816" s="2" t="s">
        <v>7618</v>
      </c>
      <c r="F4816" s="2" t="s">
        <v>7608</v>
      </c>
      <c r="G4816" s="2" t="s">
        <v>7609</v>
      </c>
    </row>
    <row r="4817" spans="1:7">
      <c r="A4817" s="3">
        <v>209</v>
      </c>
      <c r="B4817" s="3" t="s">
        <v>758</v>
      </c>
      <c r="C4817" s="3">
        <v>237</v>
      </c>
      <c r="D4817" s="3" t="s">
        <v>944</v>
      </c>
      <c r="E4817" s="3" t="s">
        <v>7620</v>
      </c>
      <c r="F4817" s="3" t="s">
        <v>7608</v>
      </c>
      <c r="G4817" s="3" t="s">
        <v>7625</v>
      </c>
    </row>
    <row r="4818" spans="1:7">
      <c r="A4818" s="2">
        <v>209</v>
      </c>
      <c r="B4818" s="2" t="s">
        <v>758</v>
      </c>
      <c r="C4818" s="2">
        <v>243</v>
      </c>
      <c r="D4818" s="2" t="s">
        <v>941</v>
      </c>
      <c r="E4818" s="2" t="s">
        <v>7618</v>
      </c>
      <c r="F4818" s="2" t="s">
        <v>7608</v>
      </c>
      <c r="G4818" s="2" t="s">
        <v>7609</v>
      </c>
    </row>
    <row r="4819" spans="1:7">
      <c r="A4819" s="3">
        <v>209</v>
      </c>
      <c r="B4819" s="3" t="s">
        <v>758</v>
      </c>
      <c r="C4819" s="3">
        <v>246</v>
      </c>
      <c r="D4819" s="3" t="s">
        <v>897</v>
      </c>
      <c r="E4819" s="3" t="s">
        <v>7620</v>
      </c>
      <c r="F4819" s="3" t="s">
        <v>7702</v>
      </c>
      <c r="G4819" s="3" t="s">
        <v>7625</v>
      </c>
    </row>
    <row r="4820" spans="1:7">
      <c r="A4820" s="2">
        <v>209</v>
      </c>
      <c r="B4820" s="2" t="s">
        <v>758</v>
      </c>
      <c r="C4820" s="2">
        <v>250</v>
      </c>
      <c r="D4820" s="2" t="s">
        <v>926</v>
      </c>
      <c r="E4820" s="2" t="s">
        <v>7620</v>
      </c>
      <c r="F4820" s="2" t="s">
        <v>7608</v>
      </c>
      <c r="G4820" s="2" t="s">
        <v>7625</v>
      </c>
    </row>
    <row r="4821" spans="1:7">
      <c r="A4821" s="3">
        <v>209</v>
      </c>
      <c r="B4821" s="3" t="s">
        <v>758</v>
      </c>
      <c r="C4821" s="3">
        <v>254</v>
      </c>
      <c r="D4821" s="3" t="s">
        <v>837</v>
      </c>
      <c r="E4821" s="3" t="s">
        <v>7630</v>
      </c>
      <c r="F4821" s="3" t="s">
        <v>7650</v>
      </c>
      <c r="G4821" s="3" t="s">
        <v>7617</v>
      </c>
    </row>
    <row r="4822" spans="1:7">
      <c r="A4822" s="2">
        <v>209</v>
      </c>
      <c r="B4822" s="2" t="s">
        <v>758</v>
      </c>
      <c r="C4822" s="2">
        <v>256</v>
      </c>
      <c r="D4822" s="2" t="s">
        <v>785</v>
      </c>
      <c r="E4822" s="2" t="s">
        <v>7618</v>
      </c>
      <c r="F4822" s="2" t="s">
        <v>7608</v>
      </c>
      <c r="G4822" s="2" t="s">
        <v>7609</v>
      </c>
    </row>
    <row r="4823" spans="1:7">
      <c r="A4823" s="3">
        <v>209</v>
      </c>
      <c r="B4823" s="3" t="s">
        <v>758</v>
      </c>
      <c r="C4823" s="3">
        <v>258</v>
      </c>
      <c r="D4823" s="3" t="s">
        <v>882</v>
      </c>
      <c r="E4823" s="3" t="s">
        <v>7618</v>
      </c>
      <c r="F4823" s="3" t="s">
        <v>7608</v>
      </c>
      <c r="G4823" s="3" t="s">
        <v>7617</v>
      </c>
    </row>
    <row r="4824" spans="1:7">
      <c r="A4824" s="2">
        <v>209</v>
      </c>
      <c r="B4824" s="2" t="s">
        <v>758</v>
      </c>
      <c r="C4824" s="2">
        <v>262</v>
      </c>
      <c r="D4824" s="2" t="s">
        <v>355</v>
      </c>
      <c r="E4824" s="2" t="s">
        <v>7630</v>
      </c>
      <c r="F4824" s="2" t="s">
        <v>7608</v>
      </c>
      <c r="G4824" s="2" t="s">
        <v>7633</v>
      </c>
    </row>
    <row r="4825" spans="1:7">
      <c r="A4825" s="3">
        <v>209</v>
      </c>
      <c r="B4825" s="3" t="s">
        <v>758</v>
      </c>
      <c r="C4825" s="3">
        <v>264</v>
      </c>
      <c r="D4825" s="3" t="s">
        <v>775</v>
      </c>
      <c r="E4825" s="3" t="s">
        <v>7618</v>
      </c>
      <c r="F4825" s="3" t="s">
        <v>7652</v>
      </c>
      <c r="G4825" s="3" t="s">
        <v>7634</v>
      </c>
    </row>
    <row r="4826" spans="1:7">
      <c r="A4826" s="2">
        <v>209</v>
      </c>
      <c r="B4826" s="2" t="s">
        <v>758</v>
      </c>
      <c r="C4826" s="2">
        <v>266</v>
      </c>
      <c r="D4826" s="2" t="s">
        <v>826</v>
      </c>
      <c r="E4826" s="2" t="s">
        <v>7618</v>
      </c>
      <c r="F4826" s="2" t="s">
        <v>7652</v>
      </c>
      <c r="G4826" s="2" t="s">
        <v>7634</v>
      </c>
    </row>
    <row r="4827" spans="1:7">
      <c r="A4827" s="3">
        <v>209</v>
      </c>
      <c r="B4827" s="3" t="s">
        <v>758</v>
      </c>
      <c r="C4827" s="3">
        <v>267</v>
      </c>
      <c r="D4827" s="3" t="s">
        <v>801</v>
      </c>
      <c r="E4827" s="3" t="s">
        <v>7618</v>
      </c>
      <c r="F4827" s="3" t="s">
        <v>7650</v>
      </c>
      <c r="G4827" s="3" t="s">
        <v>7619</v>
      </c>
    </row>
    <row r="4828" spans="1:7">
      <c r="A4828" s="2">
        <v>209</v>
      </c>
      <c r="B4828" s="2" t="s">
        <v>758</v>
      </c>
      <c r="C4828" s="2">
        <v>268</v>
      </c>
      <c r="D4828" s="2" t="s">
        <v>934</v>
      </c>
      <c r="E4828" s="2" t="s">
        <v>7620</v>
      </c>
      <c r="F4828" s="2" t="s">
        <v>7608</v>
      </c>
      <c r="G4828" s="2" t="s">
        <v>7622</v>
      </c>
    </row>
    <row r="4829" spans="1:7">
      <c r="A4829" s="3">
        <v>209</v>
      </c>
      <c r="B4829" s="3" t="s">
        <v>758</v>
      </c>
      <c r="C4829" s="3">
        <v>269</v>
      </c>
      <c r="D4829" s="3" t="s">
        <v>825</v>
      </c>
      <c r="E4829" s="3" t="s">
        <v>7618</v>
      </c>
      <c r="F4829" s="3" t="s">
        <v>7650</v>
      </c>
      <c r="G4829" s="3" t="s">
        <v>7617</v>
      </c>
    </row>
    <row r="4830" spans="1:7">
      <c r="A4830" s="2">
        <v>209</v>
      </c>
      <c r="B4830" s="2" t="s">
        <v>758</v>
      </c>
      <c r="C4830" s="2">
        <v>270</v>
      </c>
      <c r="D4830" s="2" t="s">
        <v>769</v>
      </c>
      <c r="E4830" s="2" t="s">
        <v>7620</v>
      </c>
      <c r="F4830" s="2" t="s">
        <v>7608</v>
      </c>
      <c r="G4830" s="2" t="s">
        <v>7621</v>
      </c>
    </row>
    <row r="4831" spans="1:7">
      <c r="A4831" s="3">
        <v>209</v>
      </c>
      <c r="B4831" s="3" t="s">
        <v>758</v>
      </c>
      <c r="C4831" s="3">
        <v>272</v>
      </c>
      <c r="D4831" s="3" t="s">
        <v>873</v>
      </c>
      <c r="E4831" s="3" t="s">
        <v>7618</v>
      </c>
      <c r="F4831" s="3" t="s">
        <v>7635</v>
      </c>
      <c r="G4831" s="3" t="s">
        <v>7619</v>
      </c>
    </row>
    <row r="4832" spans="1:7">
      <c r="A4832" s="2">
        <v>209</v>
      </c>
      <c r="B4832" s="2" t="s">
        <v>758</v>
      </c>
      <c r="C4832" s="2">
        <v>273</v>
      </c>
      <c r="D4832" s="2" t="s">
        <v>816</v>
      </c>
      <c r="E4832" s="2" t="s">
        <v>7620</v>
      </c>
      <c r="F4832" s="2" t="s">
        <v>7650</v>
      </c>
      <c r="G4832" s="2" t="s">
        <v>7622</v>
      </c>
    </row>
    <row r="4833" spans="1:7">
      <c r="A4833" s="3">
        <v>209</v>
      </c>
      <c r="B4833" s="3" t="s">
        <v>758</v>
      </c>
      <c r="C4833" s="3">
        <v>275</v>
      </c>
      <c r="D4833" s="3" t="s">
        <v>781</v>
      </c>
      <c r="E4833" s="3" t="s">
        <v>7630</v>
      </c>
      <c r="F4833" s="3" t="s">
        <v>7650</v>
      </c>
      <c r="G4833" s="3" t="s">
        <v>7636</v>
      </c>
    </row>
    <row r="4834" spans="1:7">
      <c r="A4834" s="2">
        <v>209</v>
      </c>
      <c r="B4834" s="2" t="s">
        <v>758</v>
      </c>
      <c r="C4834" s="2">
        <v>276</v>
      </c>
      <c r="D4834" s="2" t="s">
        <v>842</v>
      </c>
      <c r="E4834" s="2" t="s">
        <v>7618</v>
      </c>
      <c r="F4834" s="2" t="s">
        <v>7608</v>
      </c>
      <c r="G4834" s="2" t="s">
        <v>7617</v>
      </c>
    </row>
    <row r="4835" spans="1:7">
      <c r="A4835" s="3">
        <v>209</v>
      </c>
      <c r="B4835" s="3" t="s">
        <v>758</v>
      </c>
      <c r="C4835" s="3">
        <v>277</v>
      </c>
      <c r="D4835" s="3" t="s">
        <v>796</v>
      </c>
      <c r="E4835" s="3" t="s">
        <v>7620</v>
      </c>
      <c r="F4835" s="3" t="s">
        <v>7650</v>
      </c>
      <c r="G4835" s="3" t="s">
        <v>7625</v>
      </c>
    </row>
    <row r="4836" spans="1:7">
      <c r="A4836" s="2">
        <v>209</v>
      </c>
      <c r="B4836" s="2" t="s">
        <v>758</v>
      </c>
      <c r="C4836" s="2">
        <v>280</v>
      </c>
      <c r="D4836" s="2" t="s">
        <v>847</v>
      </c>
      <c r="E4836" s="2" t="s">
        <v>7645</v>
      </c>
      <c r="F4836" s="2" t="s">
        <v>7608</v>
      </c>
      <c r="G4836" s="2" t="s">
        <v>7625</v>
      </c>
    </row>
    <row r="4837" spans="1:7">
      <c r="A4837" s="3">
        <v>209</v>
      </c>
      <c r="B4837" s="3" t="s">
        <v>758</v>
      </c>
      <c r="C4837" s="3">
        <v>281</v>
      </c>
      <c r="D4837" s="3" t="s">
        <v>856</v>
      </c>
      <c r="E4837" s="3" t="s">
        <v>7618</v>
      </c>
      <c r="F4837" s="3" t="s">
        <v>7652</v>
      </c>
      <c r="G4837" s="3" t="s">
        <v>7634</v>
      </c>
    </row>
    <row r="4838" spans="1:7">
      <c r="A4838" s="2">
        <v>209</v>
      </c>
      <c r="B4838" s="2" t="s">
        <v>758</v>
      </c>
      <c r="C4838" s="2">
        <v>282</v>
      </c>
      <c r="D4838" s="2" t="s">
        <v>885</v>
      </c>
      <c r="E4838" s="2" t="s">
        <v>7630</v>
      </c>
      <c r="F4838" s="2" t="s">
        <v>7650</v>
      </c>
      <c r="G4838" s="2" t="s">
        <v>7636</v>
      </c>
    </row>
    <row r="4839" spans="1:7">
      <c r="A4839" s="3">
        <v>209</v>
      </c>
      <c r="B4839" s="3" t="s">
        <v>758</v>
      </c>
      <c r="C4839" s="3">
        <v>284</v>
      </c>
      <c r="D4839" s="3" t="s">
        <v>854</v>
      </c>
      <c r="E4839" s="3" t="s">
        <v>7618</v>
      </c>
      <c r="F4839" s="3" t="s">
        <v>7635</v>
      </c>
      <c r="G4839" s="3" t="s">
        <v>7634</v>
      </c>
    </row>
    <row r="4840" spans="1:7">
      <c r="A4840" s="2">
        <v>209</v>
      </c>
      <c r="B4840" s="2" t="s">
        <v>758</v>
      </c>
      <c r="C4840" s="2">
        <v>285</v>
      </c>
      <c r="D4840" s="2" t="s">
        <v>854</v>
      </c>
      <c r="E4840" s="2" t="s">
        <v>7620</v>
      </c>
      <c r="F4840" s="2" t="s">
        <v>7608</v>
      </c>
      <c r="G4840" s="2" t="s">
        <v>7621</v>
      </c>
    </row>
    <row r="4841" spans="1:7">
      <c r="A4841" s="3">
        <v>209</v>
      </c>
      <c r="B4841" s="3" t="s">
        <v>758</v>
      </c>
      <c r="C4841" s="3">
        <v>286</v>
      </c>
      <c r="D4841" s="3" t="s">
        <v>807</v>
      </c>
      <c r="E4841" s="3" t="s">
        <v>7620</v>
      </c>
      <c r="F4841" s="3" t="s">
        <v>7650</v>
      </c>
      <c r="G4841" s="3" t="s">
        <v>7621</v>
      </c>
    </row>
    <row r="4842" spans="1:7">
      <c r="A4842" s="2">
        <v>209</v>
      </c>
      <c r="B4842" s="2" t="s">
        <v>758</v>
      </c>
      <c r="C4842" s="2">
        <v>287</v>
      </c>
      <c r="D4842" s="2" t="s">
        <v>929</v>
      </c>
      <c r="E4842" s="2" t="s">
        <v>7630</v>
      </c>
      <c r="F4842" s="2" t="s">
        <v>7608</v>
      </c>
      <c r="G4842" s="2" t="s">
        <v>7633</v>
      </c>
    </row>
    <row r="4843" spans="1:7">
      <c r="A4843" s="3">
        <v>209</v>
      </c>
      <c r="B4843" s="3" t="s">
        <v>758</v>
      </c>
      <c r="C4843" s="3">
        <v>288</v>
      </c>
      <c r="D4843" s="3" t="s">
        <v>805</v>
      </c>
      <c r="E4843" s="3" t="s">
        <v>7618</v>
      </c>
      <c r="F4843" s="3" t="s">
        <v>7608</v>
      </c>
      <c r="G4843" s="3" t="s">
        <v>7609</v>
      </c>
    </row>
    <row r="4844" spans="1:7">
      <c r="A4844" s="2">
        <v>209</v>
      </c>
      <c r="B4844" s="2" t="s">
        <v>758</v>
      </c>
      <c r="C4844" s="2">
        <v>289</v>
      </c>
      <c r="D4844" s="2" t="s">
        <v>854</v>
      </c>
      <c r="E4844" s="2" t="s">
        <v>7620</v>
      </c>
      <c r="F4844" s="2" t="s">
        <v>7608</v>
      </c>
      <c r="G4844" s="2" t="s">
        <v>7621</v>
      </c>
    </row>
    <row r="4845" spans="1:7">
      <c r="A4845" s="3">
        <v>209</v>
      </c>
      <c r="B4845" s="3" t="s">
        <v>758</v>
      </c>
      <c r="C4845" s="3">
        <v>293</v>
      </c>
      <c r="D4845" s="3" t="s">
        <v>854</v>
      </c>
      <c r="E4845" s="3" t="s">
        <v>7618</v>
      </c>
      <c r="F4845" s="3" t="s">
        <v>7608</v>
      </c>
      <c r="G4845" s="3" t="s">
        <v>7609</v>
      </c>
    </row>
    <row r="4846" spans="1:7">
      <c r="A4846" s="2">
        <v>209</v>
      </c>
      <c r="B4846" s="2" t="s">
        <v>758</v>
      </c>
      <c r="C4846" s="2">
        <v>294</v>
      </c>
      <c r="D4846" s="2" t="s">
        <v>854</v>
      </c>
      <c r="E4846" s="2" t="s">
        <v>7618</v>
      </c>
      <c r="F4846" s="2" t="s">
        <v>7608</v>
      </c>
      <c r="G4846" s="2" t="s">
        <v>7636</v>
      </c>
    </row>
    <row r="4847" spans="1:7">
      <c r="A4847" s="3">
        <v>209</v>
      </c>
      <c r="B4847" s="3" t="s">
        <v>758</v>
      </c>
      <c r="C4847" s="3">
        <v>295</v>
      </c>
      <c r="D4847" s="3" t="s">
        <v>854</v>
      </c>
      <c r="E4847" s="3" t="s">
        <v>7620</v>
      </c>
      <c r="F4847" s="3" t="s">
        <v>7635</v>
      </c>
      <c r="G4847" s="3" t="s">
        <v>7622</v>
      </c>
    </row>
    <row r="4848" spans="1:7">
      <c r="A4848" s="2">
        <v>209</v>
      </c>
      <c r="B4848" s="2" t="s">
        <v>758</v>
      </c>
      <c r="C4848" s="2">
        <v>296</v>
      </c>
      <c r="D4848" s="2" t="s">
        <v>854</v>
      </c>
      <c r="E4848" s="2" t="s">
        <v>7620</v>
      </c>
      <c r="F4848" s="2" t="s">
        <v>7608</v>
      </c>
      <c r="G4848" s="2" t="s">
        <v>7621</v>
      </c>
    </row>
    <row r="4849" spans="1:7">
      <c r="A4849" s="3">
        <v>209</v>
      </c>
      <c r="B4849" s="3" t="s">
        <v>758</v>
      </c>
      <c r="C4849" s="3">
        <v>297</v>
      </c>
      <c r="D4849" s="3" t="s">
        <v>833</v>
      </c>
      <c r="E4849" s="3" t="s">
        <v>7618</v>
      </c>
      <c r="F4849" s="3" t="s">
        <v>7608</v>
      </c>
      <c r="G4849" s="3" t="s">
        <v>7633</v>
      </c>
    </row>
    <row r="4850" spans="1:7">
      <c r="A4850" s="2">
        <v>209</v>
      </c>
      <c r="B4850" s="2" t="s">
        <v>758</v>
      </c>
      <c r="C4850" s="2">
        <v>298</v>
      </c>
      <c r="D4850" s="2" t="s">
        <v>854</v>
      </c>
      <c r="E4850" s="2" t="s">
        <v>7620</v>
      </c>
      <c r="F4850" s="2" t="s">
        <v>7608</v>
      </c>
      <c r="G4850" s="2" t="s">
        <v>7621</v>
      </c>
    </row>
    <row r="4851" spans="1:7">
      <c r="A4851" s="3">
        <v>209</v>
      </c>
      <c r="B4851" s="3" t="s">
        <v>758</v>
      </c>
      <c r="C4851" s="3">
        <v>300</v>
      </c>
      <c r="D4851" s="3" t="s">
        <v>854</v>
      </c>
      <c r="E4851" s="3" t="s">
        <v>7620</v>
      </c>
      <c r="F4851" s="3" t="s">
        <v>7608</v>
      </c>
      <c r="G4851" s="3" t="s">
        <v>7621</v>
      </c>
    </row>
    <row r="4852" spans="1:7">
      <c r="A4852" s="2">
        <v>209</v>
      </c>
      <c r="B4852" s="2" t="s">
        <v>758</v>
      </c>
      <c r="C4852" s="2">
        <v>301</v>
      </c>
      <c r="D4852" s="2" t="s">
        <v>850</v>
      </c>
      <c r="E4852" s="2" t="s">
        <v>7620</v>
      </c>
      <c r="F4852" s="2" t="s">
        <v>7650</v>
      </c>
      <c r="G4852" s="2" t="s">
        <v>7625</v>
      </c>
    </row>
    <row r="4853" spans="1:7">
      <c r="A4853" s="3">
        <v>209</v>
      </c>
      <c r="B4853" s="3" t="s">
        <v>758</v>
      </c>
      <c r="C4853" s="3">
        <v>302</v>
      </c>
      <c r="D4853" s="3" t="s">
        <v>916</v>
      </c>
      <c r="E4853" s="3" t="s">
        <v>7620</v>
      </c>
      <c r="F4853" s="3" t="s">
        <v>7635</v>
      </c>
      <c r="G4853" s="3" t="s">
        <v>7621</v>
      </c>
    </row>
    <row r="4854" spans="1:7">
      <c r="A4854" s="2">
        <v>209</v>
      </c>
      <c r="B4854" s="2" t="s">
        <v>758</v>
      </c>
      <c r="C4854" s="2">
        <v>303</v>
      </c>
      <c r="D4854" s="2" t="s">
        <v>854</v>
      </c>
      <c r="E4854" s="2" t="s">
        <v>7620</v>
      </c>
      <c r="F4854" s="2" t="s">
        <v>7608</v>
      </c>
      <c r="G4854" s="2" t="s">
        <v>7621</v>
      </c>
    </row>
    <row r="4855" spans="1:7">
      <c r="A4855" s="3">
        <v>209</v>
      </c>
      <c r="B4855" s="3" t="s">
        <v>758</v>
      </c>
      <c r="C4855" s="3">
        <v>304</v>
      </c>
      <c r="D4855" s="3" t="s">
        <v>854</v>
      </c>
      <c r="E4855" s="3" t="s">
        <v>7620</v>
      </c>
      <c r="F4855" s="3" t="s">
        <v>7608</v>
      </c>
      <c r="G4855" s="3" t="s">
        <v>7625</v>
      </c>
    </row>
    <row r="4856" spans="1:7">
      <c r="A4856" s="2">
        <v>209</v>
      </c>
      <c r="B4856" s="2" t="s">
        <v>758</v>
      </c>
      <c r="C4856" s="2">
        <v>308</v>
      </c>
      <c r="D4856" s="2" t="s">
        <v>854</v>
      </c>
      <c r="E4856" s="2" t="s">
        <v>7618</v>
      </c>
      <c r="F4856" s="2" t="s">
        <v>7702</v>
      </c>
      <c r="G4856" s="2" t="s">
        <v>7636</v>
      </c>
    </row>
    <row r="4857" spans="1:7">
      <c r="A4857" s="3">
        <v>209</v>
      </c>
      <c r="B4857" s="3" t="s">
        <v>758</v>
      </c>
      <c r="C4857" s="3">
        <v>312</v>
      </c>
      <c r="D4857" s="3" t="s">
        <v>949</v>
      </c>
      <c r="E4857" s="3" t="s">
        <v>7750</v>
      </c>
      <c r="F4857" s="3" t="s">
        <v>7652</v>
      </c>
      <c r="G4857" s="3" t="s">
        <v>7609</v>
      </c>
    </row>
    <row r="4858" spans="1:7">
      <c r="A4858" s="2">
        <v>209</v>
      </c>
      <c r="B4858" s="2" t="s">
        <v>758</v>
      </c>
      <c r="C4858" s="2">
        <v>316</v>
      </c>
      <c r="D4858" s="2" t="s">
        <v>1028</v>
      </c>
      <c r="E4858" s="2" t="s">
        <v>7729</v>
      </c>
      <c r="F4858" s="2" t="s">
        <v>7650</v>
      </c>
      <c r="G4858" s="2" t="s">
        <v>7617</v>
      </c>
    </row>
    <row r="4859" spans="1:7">
      <c r="A4859" s="3">
        <v>209</v>
      </c>
      <c r="B4859" s="3" t="s">
        <v>758</v>
      </c>
      <c r="C4859" s="3">
        <v>317</v>
      </c>
      <c r="D4859" s="3" t="s">
        <v>1030</v>
      </c>
      <c r="E4859" s="3" t="s">
        <v>7618</v>
      </c>
      <c r="F4859" s="3" t="s">
        <v>7608</v>
      </c>
      <c r="G4859" s="3" t="s">
        <v>7609</v>
      </c>
    </row>
    <row r="4860" spans="1:7">
      <c r="A4860" s="2">
        <v>209</v>
      </c>
      <c r="B4860" s="2" t="s">
        <v>758</v>
      </c>
      <c r="C4860" s="2">
        <v>318</v>
      </c>
      <c r="D4860" s="2" t="s">
        <v>1032</v>
      </c>
      <c r="E4860" s="2" t="s">
        <v>7618</v>
      </c>
      <c r="F4860" s="2" t="s">
        <v>7608</v>
      </c>
      <c r="G4860" s="2" t="s">
        <v>7633</v>
      </c>
    </row>
    <row r="4861" spans="1:7">
      <c r="A4861" s="3">
        <v>209</v>
      </c>
      <c r="B4861" s="3" t="s">
        <v>758</v>
      </c>
      <c r="C4861" s="3">
        <v>320</v>
      </c>
      <c r="D4861" s="3" t="s">
        <v>1039</v>
      </c>
      <c r="E4861" s="3" t="s">
        <v>7750</v>
      </c>
      <c r="F4861" s="3" t="s">
        <v>7678</v>
      </c>
      <c r="G4861" s="3" t="s">
        <v>7634</v>
      </c>
    </row>
    <row r="4862" spans="1:7">
      <c r="A4862" s="2">
        <v>209</v>
      </c>
      <c r="B4862" s="2" t="s">
        <v>758</v>
      </c>
      <c r="C4862" s="2">
        <v>321</v>
      </c>
      <c r="D4862" s="2" t="s">
        <v>1048</v>
      </c>
      <c r="E4862" s="2" t="s">
        <v>7618</v>
      </c>
      <c r="F4862" s="2" t="s">
        <v>7650</v>
      </c>
      <c r="G4862" s="2" t="s">
        <v>7617</v>
      </c>
    </row>
    <row r="4863" spans="1:7">
      <c r="A4863" s="3">
        <v>209</v>
      </c>
      <c r="B4863" s="3" t="s">
        <v>758</v>
      </c>
      <c r="C4863" s="3">
        <v>323</v>
      </c>
      <c r="D4863" s="3" t="s">
        <v>1016</v>
      </c>
      <c r="E4863" s="3" t="s">
        <v>7618</v>
      </c>
      <c r="F4863" s="3" t="s">
        <v>7650</v>
      </c>
      <c r="G4863" s="3" t="s">
        <v>7634</v>
      </c>
    </row>
    <row r="4864" spans="1:7">
      <c r="A4864" s="2">
        <v>209</v>
      </c>
      <c r="B4864" s="2" t="s">
        <v>758</v>
      </c>
      <c r="C4864" s="2">
        <v>325</v>
      </c>
      <c r="D4864" s="2" t="s">
        <v>1020</v>
      </c>
      <c r="E4864" s="2" t="s">
        <v>7618</v>
      </c>
      <c r="F4864" s="2" t="s">
        <v>7608</v>
      </c>
      <c r="G4864" s="2" t="s">
        <v>7617</v>
      </c>
    </row>
    <row r="4865" spans="1:7">
      <c r="A4865" s="3">
        <v>209</v>
      </c>
      <c r="B4865" s="3" t="s">
        <v>758</v>
      </c>
      <c r="C4865" s="3">
        <v>326</v>
      </c>
      <c r="D4865" s="3" t="s">
        <v>1022</v>
      </c>
      <c r="E4865" s="3" t="s">
        <v>7618</v>
      </c>
      <c r="F4865" s="3" t="s">
        <v>7635</v>
      </c>
      <c r="G4865" s="3" t="s">
        <v>7619</v>
      </c>
    </row>
    <row r="4866" spans="1:7">
      <c r="A4866" s="2">
        <v>209</v>
      </c>
      <c r="B4866" s="2" t="s">
        <v>758</v>
      </c>
      <c r="C4866" s="2">
        <v>327</v>
      </c>
      <c r="D4866" s="2" t="s">
        <v>1025</v>
      </c>
      <c r="E4866" s="2" t="s">
        <v>7618</v>
      </c>
      <c r="F4866" s="2" t="s">
        <v>7635</v>
      </c>
      <c r="G4866" s="2" t="s">
        <v>7619</v>
      </c>
    </row>
    <row r="4867" spans="1:7">
      <c r="A4867" s="3">
        <v>209</v>
      </c>
      <c r="B4867" s="3" t="s">
        <v>758</v>
      </c>
      <c r="C4867" s="3">
        <v>328</v>
      </c>
      <c r="D4867" s="3" t="s">
        <v>1026</v>
      </c>
      <c r="E4867" s="3" t="s">
        <v>7618</v>
      </c>
      <c r="F4867" s="3" t="s">
        <v>7650</v>
      </c>
      <c r="G4867" s="3" t="s">
        <v>7619</v>
      </c>
    </row>
    <row r="4868" spans="1:7">
      <c r="A4868" s="2">
        <v>209</v>
      </c>
      <c r="B4868" s="2" t="s">
        <v>758</v>
      </c>
      <c r="C4868" s="2">
        <v>329</v>
      </c>
      <c r="D4868" s="2" t="s">
        <v>965</v>
      </c>
      <c r="E4868" s="2" t="s">
        <v>7618</v>
      </c>
      <c r="F4868" s="2" t="s">
        <v>7650</v>
      </c>
      <c r="G4868" s="2" t="s">
        <v>7619</v>
      </c>
    </row>
    <row r="4869" spans="1:7">
      <c r="A4869" s="3">
        <v>209</v>
      </c>
      <c r="B4869" s="3" t="s">
        <v>758</v>
      </c>
      <c r="C4869" s="3">
        <v>330</v>
      </c>
      <c r="D4869" s="3" t="s">
        <v>974</v>
      </c>
      <c r="E4869" s="3" t="s">
        <v>7618</v>
      </c>
      <c r="F4869" s="3" t="s">
        <v>7652</v>
      </c>
      <c r="G4869" s="3" t="s">
        <v>7624</v>
      </c>
    </row>
    <row r="4870" spans="1:7">
      <c r="A4870" s="2">
        <v>209</v>
      </c>
      <c r="B4870" s="2" t="s">
        <v>758</v>
      </c>
      <c r="C4870" s="2">
        <v>331</v>
      </c>
      <c r="D4870" s="2" t="s">
        <v>982</v>
      </c>
      <c r="E4870" s="2" t="s">
        <v>7645</v>
      </c>
      <c r="F4870" s="2" t="s">
        <v>7608</v>
      </c>
      <c r="G4870" s="2" t="s">
        <v>7625</v>
      </c>
    </row>
    <row r="4871" spans="1:7">
      <c r="A4871" s="3">
        <v>209</v>
      </c>
      <c r="B4871" s="3" t="s">
        <v>758</v>
      </c>
      <c r="C4871" s="3">
        <v>333</v>
      </c>
      <c r="D4871" s="3" t="s">
        <v>989</v>
      </c>
      <c r="E4871" s="3" t="s">
        <v>7618</v>
      </c>
      <c r="F4871" s="3" t="s">
        <v>7650</v>
      </c>
      <c r="G4871" s="3" t="s">
        <v>7619</v>
      </c>
    </row>
    <row r="4872" spans="1:7">
      <c r="A4872" s="2">
        <v>209</v>
      </c>
      <c r="B4872" s="2" t="s">
        <v>758</v>
      </c>
      <c r="C4872" s="2">
        <v>334</v>
      </c>
      <c r="D4872" s="2" t="s">
        <v>970</v>
      </c>
      <c r="E4872" s="2" t="s">
        <v>7729</v>
      </c>
      <c r="F4872" s="2" t="s">
        <v>7652</v>
      </c>
      <c r="G4872" s="2" t="s">
        <v>7634</v>
      </c>
    </row>
    <row r="4873" spans="1:7">
      <c r="A4873" s="3">
        <v>209</v>
      </c>
      <c r="B4873" s="3" t="s">
        <v>758</v>
      </c>
      <c r="C4873" s="3">
        <v>337</v>
      </c>
      <c r="D4873" s="3" t="s">
        <v>1042</v>
      </c>
      <c r="E4873" s="3" t="s">
        <v>7620</v>
      </c>
      <c r="F4873" s="3" t="s">
        <v>7650</v>
      </c>
      <c r="G4873" s="3" t="s">
        <v>7621</v>
      </c>
    </row>
    <row r="4874" spans="1:7">
      <c r="A4874" s="2">
        <v>209</v>
      </c>
      <c r="B4874" s="2" t="s">
        <v>758</v>
      </c>
      <c r="C4874" s="2">
        <v>338</v>
      </c>
      <c r="D4874" s="2" t="s">
        <v>996</v>
      </c>
      <c r="E4874" s="2" t="s">
        <v>7620</v>
      </c>
      <c r="F4874" s="2" t="s">
        <v>7650</v>
      </c>
      <c r="G4874" s="2" t="s">
        <v>7621</v>
      </c>
    </row>
    <row r="4875" spans="1:7">
      <c r="A4875" s="3">
        <v>209</v>
      </c>
      <c r="B4875" s="3" t="s">
        <v>758</v>
      </c>
      <c r="C4875" s="3">
        <v>340</v>
      </c>
      <c r="D4875" s="3" t="s">
        <v>1000</v>
      </c>
      <c r="E4875" s="3" t="s">
        <v>7620</v>
      </c>
      <c r="F4875" s="3" t="s">
        <v>7650</v>
      </c>
      <c r="G4875" s="3" t="s">
        <v>7622</v>
      </c>
    </row>
    <row r="4876" spans="1:7">
      <c r="A4876" s="2">
        <v>209</v>
      </c>
      <c r="B4876" s="2" t="s">
        <v>758</v>
      </c>
      <c r="C4876" s="2">
        <v>341</v>
      </c>
      <c r="D4876" s="2" t="s">
        <v>1052</v>
      </c>
      <c r="E4876" s="2" t="s">
        <v>7738</v>
      </c>
      <c r="F4876" s="2" t="s">
        <v>7650</v>
      </c>
      <c r="G4876" s="2" t="s">
        <v>7617</v>
      </c>
    </row>
    <row r="4877" spans="1:7">
      <c r="A4877" s="3">
        <v>209</v>
      </c>
      <c r="B4877" s="3" t="s">
        <v>758</v>
      </c>
      <c r="C4877" s="3">
        <v>343</v>
      </c>
      <c r="D4877" s="3" t="s">
        <v>977</v>
      </c>
      <c r="E4877" s="3" t="s">
        <v>7620</v>
      </c>
      <c r="F4877" s="3" t="s">
        <v>7652</v>
      </c>
      <c r="G4877" s="3" t="s">
        <v>7609</v>
      </c>
    </row>
    <row r="4878" spans="1:7">
      <c r="A4878" s="2">
        <v>209</v>
      </c>
      <c r="B4878" s="2" t="s">
        <v>758</v>
      </c>
      <c r="C4878" s="2">
        <v>402</v>
      </c>
      <c r="D4878" s="2" t="s">
        <v>1120</v>
      </c>
      <c r="E4878" s="2" t="s">
        <v>7645</v>
      </c>
      <c r="F4878" s="2" t="s">
        <v>7650</v>
      </c>
      <c r="G4878" s="2" t="s">
        <v>7622</v>
      </c>
    </row>
    <row r="4879" spans="1:7">
      <c r="A4879" s="3">
        <v>209</v>
      </c>
      <c r="B4879" s="3" t="s">
        <v>758</v>
      </c>
      <c r="C4879" s="3">
        <v>405</v>
      </c>
      <c r="D4879" s="3" t="s">
        <v>1110</v>
      </c>
      <c r="E4879" s="3" t="s">
        <v>7630</v>
      </c>
      <c r="F4879" s="3" t="s">
        <v>7608</v>
      </c>
      <c r="G4879" s="3" t="s">
        <v>7617</v>
      </c>
    </row>
    <row r="4880" spans="1:7">
      <c r="A4880" s="2">
        <v>209</v>
      </c>
      <c r="B4880" s="2" t="s">
        <v>758</v>
      </c>
      <c r="C4880" s="2">
        <v>406</v>
      </c>
      <c r="D4880" s="2" t="s">
        <v>1114</v>
      </c>
      <c r="E4880" s="2" t="s">
        <v>7618</v>
      </c>
      <c r="F4880" s="2" t="s">
        <v>7635</v>
      </c>
      <c r="G4880" s="2" t="s">
        <v>7634</v>
      </c>
    </row>
    <row r="4881" spans="1:7">
      <c r="A4881" s="3">
        <v>209</v>
      </c>
      <c r="B4881" s="3" t="s">
        <v>758</v>
      </c>
      <c r="C4881" s="3">
        <v>408</v>
      </c>
      <c r="D4881" s="3" t="s">
        <v>1131</v>
      </c>
      <c r="E4881" s="3" t="s">
        <v>7618</v>
      </c>
      <c r="F4881" s="3" t="s">
        <v>7608</v>
      </c>
      <c r="G4881" s="3" t="s">
        <v>7633</v>
      </c>
    </row>
    <row r="4882" spans="1:7">
      <c r="A4882" s="2">
        <v>209</v>
      </c>
      <c r="B4882" s="2" t="s">
        <v>758</v>
      </c>
      <c r="C4882" s="2">
        <v>409</v>
      </c>
      <c r="D4882" s="2" t="s">
        <v>1126</v>
      </c>
      <c r="E4882" s="2" t="s">
        <v>7618</v>
      </c>
      <c r="F4882" s="2" t="s">
        <v>7608</v>
      </c>
      <c r="G4882" s="2" t="s">
        <v>7633</v>
      </c>
    </row>
    <row r="4883" spans="1:7">
      <c r="A4883" s="3">
        <v>214</v>
      </c>
      <c r="B4883" s="3" t="s">
        <v>870</v>
      </c>
      <c r="C4883" s="3">
        <v>221</v>
      </c>
      <c r="D4883" s="3" t="s">
        <v>813</v>
      </c>
      <c r="E4883" s="3" t="s">
        <v>7620</v>
      </c>
      <c r="F4883" s="3" t="s">
        <v>7611</v>
      </c>
      <c r="G4883" s="3" t="s">
        <v>7621</v>
      </c>
    </row>
    <row r="4884" spans="1:7">
      <c r="A4884" s="2">
        <v>214</v>
      </c>
      <c r="B4884" s="2" t="s">
        <v>870</v>
      </c>
      <c r="C4884" s="2">
        <v>264</v>
      </c>
      <c r="D4884" s="2" t="s">
        <v>775</v>
      </c>
      <c r="E4884" s="2" t="s">
        <v>7620</v>
      </c>
      <c r="F4884" s="2" t="s">
        <v>7611</v>
      </c>
      <c r="G4884" s="2" t="s">
        <v>7621</v>
      </c>
    </row>
    <row r="4885" spans="1:7">
      <c r="A4885" s="3">
        <v>214</v>
      </c>
      <c r="B4885" s="3" t="s">
        <v>870</v>
      </c>
      <c r="C4885" s="3">
        <v>341</v>
      </c>
      <c r="D4885" s="3" t="s">
        <v>1052</v>
      </c>
      <c r="E4885" s="3" t="s">
        <v>7620</v>
      </c>
      <c r="F4885" s="3" t="s">
        <v>7611</v>
      </c>
      <c r="G4885" s="3" t="s">
        <v>7622</v>
      </c>
    </row>
    <row r="4886" spans="1:7">
      <c r="A4886" s="2">
        <v>214</v>
      </c>
      <c r="B4886" s="2" t="s">
        <v>870</v>
      </c>
      <c r="C4886" s="2">
        <v>343</v>
      </c>
      <c r="D4886" s="2" t="s">
        <v>977</v>
      </c>
      <c r="E4886" s="2" t="s">
        <v>7620</v>
      </c>
      <c r="F4886" s="2" t="s">
        <v>7611</v>
      </c>
      <c r="G4886" s="2" t="s">
        <v>7625</v>
      </c>
    </row>
    <row r="4887" spans="1:7">
      <c r="A4887" s="3">
        <v>215</v>
      </c>
      <c r="B4887" s="3" t="s">
        <v>844</v>
      </c>
      <c r="C4887" s="3">
        <v>221</v>
      </c>
      <c r="D4887" s="3" t="s">
        <v>813</v>
      </c>
      <c r="E4887" s="3" t="s">
        <v>7627</v>
      </c>
      <c r="F4887" s="3" t="s">
        <v>7649</v>
      </c>
      <c r="G4887" s="3" t="s">
        <v>7642</v>
      </c>
    </row>
    <row r="4888" spans="1:7">
      <c r="A4888" s="2">
        <v>215</v>
      </c>
      <c r="B4888" s="2" t="s">
        <v>844</v>
      </c>
      <c r="C4888" s="2">
        <v>264</v>
      </c>
      <c r="D4888" s="2" t="s">
        <v>775</v>
      </c>
      <c r="E4888" s="2" t="s">
        <v>7618</v>
      </c>
      <c r="F4888" s="2" t="s">
        <v>7649</v>
      </c>
      <c r="G4888" s="2" t="s">
        <v>7634</v>
      </c>
    </row>
    <row r="4889" spans="1:7">
      <c r="A4889" s="3">
        <v>215</v>
      </c>
      <c r="B4889" s="3" t="s">
        <v>844</v>
      </c>
      <c r="C4889" s="3">
        <v>341</v>
      </c>
      <c r="D4889" s="3" t="s">
        <v>1052</v>
      </c>
      <c r="E4889" s="3" t="s">
        <v>7620</v>
      </c>
      <c r="F4889" s="3" t="s">
        <v>7649</v>
      </c>
      <c r="G4889" s="3" t="s">
        <v>7609</v>
      </c>
    </row>
    <row r="4890" spans="1:7">
      <c r="A4890" s="2">
        <v>215</v>
      </c>
      <c r="B4890" s="2" t="s">
        <v>844</v>
      </c>
      <c r="C4890" s="2">
        <v>343</v>
      </c>
      <c r="D4890" s="2" t="s">
        <v>977</v>
      </c>
      <c r="E4890" s="2" t="s">
        <v>7620</v>
      </c>
      <c r="F4890" s="2" t="s">
        <v>7649</v>
      </c>
      <c r="G4890" s="2" t="s">
        <v>7622</v>
      </c>
    </row>
    <row r="4891" spans="1:7">
      <c r="A4891" s="3">
        <v>216</v>
      </c>
      <c r="B4891" s="3"/>
      <c r="C4891" s="3">
        <v>221</v>
      </c>
      <c r="D4891" s="3" t="s">
        <v>813</v>
      </c>
      <c r="E4891" s="3" t="s">
        <v>7610</v>
      </c>
      <c r="F4891" s="3" t="s">
        <v>7611</v>
      </c>
      <c r="G4891" s="3" t="s">
        <v>7644</v>
      </c>
    </row>
    <row r="4892" spans="1:7">
      <c r="A4892" s="2">
        <v>216</v>
      </c>
      <c r="B4892" s="2"/>
      <c r="C4892" s="2">
        <v>264</v>
      </c>
      <c r="D4892" s="2" t="s">
        <v>775</v>
      </c>
      <c r="E4892" s="2" t="s">
        <v>7630</v>
      </c>
      <c r="F4892" s="2" t="s">
        <v>7611</v>
      </c>
      <c r="G4892" s="2" t="s">
        <v>7617</v>
      </c>
    </row>
    <row r="4893" spans="1:7">
      <c r="A4893" s="3">
        <v>216</v>
      </c>
      <c r="B4893" s="3"/>
      <c r="C4893" s="3">
        <v>341</v>
      </c>
      <c r="D4893" s="3" t="s">
        <v>1052</v>
      </c>
      <c r="E4893" s="3" t="s">
        <v>7620</v>
      </c>
      <c r="F4893" s="3" t="s">
        <v>7611</v>
      </c>
      <c r="G4893" s="3" t="s">
        <v>7621</v>
      </c>
    </row>
    <row r="4894" spans="1:7">
      <c r="A4894" s="2">
        <v>216</v>
      </c>
      <c r="B4894" s="2"/>
      <c r="C4894" s="2">
        <v>343</v>
      </c>
      <c r="D4894" s="2" t="s">
        <v>977</v>
      </c>
      <c r="E4894" s="2" t="s">
        <v>7620</v>
      </c>
      <c r="F4894" s="2" t="s">
        <v>7611</v>
      </c>
      <c r="G4894" s="2" t="s">
        <v>7625</v>
      </c>
    </row>
    <row r="4895" spans="1:7">
      <c r="A4895" s="3">
        <v>217</v>
      </c>
      <c r="B4895" s="3" t="s">
        <v>795</v>
      </c>
      <c r="C4895" s="3">
        <v>221</v>
      </c>
      <c r="D4895" s="3" t="s">
        <v>813</v>
      </c>
      <c r="E4895" s="3" t="s">
        <v>7613</v>
      </c>
      <c r="F4895" s="3" t="s">
        <v>7649</v>
      </c>
      <c r="G4895" s="3" t="s">
        <v>7614</v>
      </c>
    </row>
    <row r="4896" spans="1:7">
      <c r="A4896" s="2">
        <v>217</v>
      </c>
      <c r="B4896" s="2" t="s">
        <v>795</v>
      </c>
      <c r="C4896" s="2">
        <v>264</v>
      </c>
      <c r="D4896" s="2" t="s">
        <v>775</v>
      </c>
      <c r="E4896" s="2" t="s">
        <v>7618</v>
      </c>
      <c r="F4896" s="2" t="s">
        <v>7649</v>
      </c>
      <c r="G4896" s="2" t="s">
        <v>7619</v>
      </c>
    </row>
    <row r="4897" spans="1:7">
      <c r="A4897" s="3">
        <v>217</v>
      </c>
      <c r="B4897" s="3" t="s">
        <v>795</v>
      </c>
      <c r="C4897" s="3">
        <v>341</v>
      </c>
      <c r="D4897" s="3" t="s">
        <v>1052</v>
      </c>
      <c r="E4897" s="3" t="s">
        <v>7620</v>
      </c>
      <c r="F4897" s="3" t="s">
        <v>7649</v>
      </c>
      <c r="G4897" s="3" t="s">
        <v>7633</v>
      </c>
    </row>
    <row r="4898" spans="1:7">
      <c r="A4898" s="2">
        <v>217</v>
      </c>
      <c r="B4898" s="2" t="s">
        <v>795</v>
      </c>
      <c r="C4898" s="2">
        <v>343</v>
      </c>
      <c r="D4898" s="2" t="s">
        <v>977</v>
      </c>
      <c r="E4898" s="2" t="s">
        <v>7620</v>
      </c>
      <c r="F4898" s="2" t="s">
        <v>7649</v>
      </c>
      <c r="G4898" s="2" t="s">
        <v>7622</v>
      </c>
    </row>
    <row r="4899" spans="1:7">
      <c r="A4899" s="3">
        <v>218</v>
      </c>
      <c r="B4899" s="3" t="s">
        <v>789</v>
      </c>
      <c r="C4899" s="3">
        <v>221</v>
      </c>
      <c r="D4899" s="3" t="s">
        <v>813</v>
      </c>
      <c r="E4899" s="3" t="s">
        <v>7627</v>
      </c>
      <c r="F4899" s="3" t="s">
        <v>7611</v>
      </c>
      <c r="G4899" s="3" t="s">
        <v>7637</v>
      </c>
    </row>
    <row r="4900" spans="1:7">
      <c r="A4900" s="2">
        <v>218</v>
      </c>
      <c r="B4900" s="2" t="s">
        <v>789</v>
      </c>
      <c r="C4900" s="2">
        <v>264</v>
      </c>
      <c r="D4900" s="2" t="s">
        <v>775</v>
      </c>
      <c r="E4900" s="2" t="s">
        <v>7618</v>
      </c>
      <c r="F4900" s="2" t="s">
        <v>7611</v>
      </c>
      <c r="G4900" s="2" t="s">
        <v>7617</v>
      </c>
    </row>
    <row r="4901" spans="1:7">
      <c r="A4901" s="3">
        <v>218</v>
      </c>
      <c r="B4901" s="3" t="s">
        <v>789</v>
      </c>
      <c r="C4901" s="3">
        <v>341</v>
      </c>
      <c r="D4901" s="3" t="s">
        <v>1052</v>
      </c>
      <c r="E4901" s="3" t="s">
        <v>7620</v>
      </c>
      <c r="F4901" s="3" t="s">
        <v>7611</v>
      </c>
      <c r="G4901" s="3" t="s">
        <v>7622</v>
      </c>
    </row>
    <row r="4902" spans="1:7">
      <c r="A4902" s="2">
        <v>218</v>
      </c>
      <c r="B4902" s="2" t="s">
        <v>789</v>
      </c>
      <c r="C4902" s="2">
        <v>343</v>
      </c>
      <c r="D4902" s="2" t="s">
        <v>977</v>
      </c>
      <c r="E4902" s="2" t="s">
        <v>7620</v>
      </c>
      <c r="F4902" s="2" t="s">
        <v>7611</v>
      </c>
      <c r="G4902" s="2" t="s">
        <v>7625</v>
      </c>
    </row>
    <row r="4903" spans="1:7">
      <c r="A4903" s="3">
        <v>219</v>
      </c>
      <c r="B4903" s="3" t="s">
        <v>822</v>
      </c>
      <c r="C4903" s="3">
        <v>221</v>
      </c>
      <c r="D4903" s="3" t="s">
        <v>813</v>
      </c>
      <c r="E4903" s="3" t="s">
        <v>7658</v>
      </c>
      <c r="F4903" s="3" t="s">
        <v>7649</v>
      </c>
      <c r="G4903" s="3" t="s">
        <v>7670</v>
      </c>
    </row>
    <row r="4904" spans="1:7">
      <c r="A4904" s="2">
        <v>219</v>
      </c>
      <c r="B4904" s="2" t="s">
        <v>822</v>
      </c>
      <c r="C4904" s="2">
        <v>264</v>
      </c>
      <c r="D4904" s="2" t="s">
        <v>775</v>
      </c>
      <c r="E4904" s="2" t="s">
        <v>7716</v>
      </c>
      <c r="F4904" s="2" t="s">
        <v>7659</v>
      </c>
      <c r="G4904" s="2" t="s">
        <v>7641</v>
      </c>
    </row>
    <row r="4905" spans="1:7">
      <c r="A4905" s="3">
        <v>219</v>
      </c>
      <c r="B4905" s="3" t="s">
        <v>822</v>
      </c>
      <c r="C4905" s="3">
        <v>312</v>
      </c>
      <c r="D4905" s="3" t="s">
        <v>949</v>
      </c>
      <c r="E4905" s="3" t="s">
        <v>7608</v>
      </c>
      <c r="F4905" s="3" t="s">
        <v>7659</v>
      </c>
      <c r="G4905" s="3" t="s">
        <v>7625</v>
      </c>
    </row>
    <row r="4906" spans="1:7">
      <c r="A4906" s="2">
        <v>219</v>
      </c>
      <c r="B4906" s="2" t="s">
        <v>822</v>
      </c>
      <c r="C4906" s="2">
        <v>341</v>
      </c>
      <c r="D4906" s="2" t="s">
        <v>1052</v>
      </c>
      <c r="E4906" s="2" t="s">
        <v>7655</v>
      </c>
      <c r="F4906" s="2" t="s">
        <v>7649</v>
      </c>
      <c r="G4906" s="2" t="s">
        <v>7634</v>
      </c>
    </row>
    <row r="4907" spans="1:7">
      <c r="A4907" s="3">
        <v>219</v>
      </c>
      <c r="B4907" s="3" t="s">
        <v>822</v>
      </c>
      <c r="C4907" s="3">
        <v>343</v>
      </c>
      <c r="D4907" s="3" t="s">
        <v>977</v>
      </c>
      <c r="E4907" s="3" t="s">
        <v>7620</v>
      </c>
      <c r="F4907" s="3" t="s">
        <v>7659</v>
      </c>
      <c r="G4907" s="3" t="s">
        <v>7609</v>
      </c>
    </row>
    <row r="4908" spans="1:7">
      <c r="A4908" s="2">
        <v>220</v>
      </c>
      <c r="B4908" s="2" t="s">
        <v>810</v>
      </c>
      <c r="C4908" s="2">
        <v>221</v>
      </c>
      <c r="D4908" s="2" t="s">
        <v>813</v>
      </c>
      <c r="E4908" s="2" t="s">
        <v>7658</v>
      </c>
      <c r="F4908" s="2" t="s">
        <v>7649</v>
      </c>
      <c r="G4908" s="2" t="s">
        <v>7637</v>
      </c>
    </row>
    <row r="4909" spans="1:7">
      <c r="A4909" s="3">
        <v>220</v>
      </c>
      <c r="B4909" s="3" t="s">
        <v>810</v>
      </c>
      <c r="C4909" s="3">
        <v>264</v>
      </c>
      <c r="D4909" s="3" t="s">
        <v>775</v>
      </c>
      <c r="E4909" s="3" t="s">
        <v>7716</v>
      </c>
      <c r="F4909" s="3" t="s">
        <v>7659</v>
      </c>
      <c r="G4909" s="3" t="s">
        <v>7644</v>
      </c>
    </row>
    <row r="4910" spans="1:7">
      <c r="A4910" s="2">
        <v>220</v>
      </c>
      <c r="B4910" s="2" t="s">
        <v>810</v>
      </c>
      <c r="C4910" s="2">
        <v>312</v>
      </c>
      <c r="D4910" s="2" t="s">
        <v>949</v>
      </c>
      <c r="E4910" s="2" t="s">
        <v>7608</v>
      </c>
      <c r="F4910" s="2" t="s">
        <v>7659</v>
      </c>
      <c r="G4910" s="2" t="s">
        <v>7625</v>
      </c>
    </row>
    <row r="4911" spans="1:7">
      <c r="A4911" s="3">
        <v>220</v>
      </c>
      <c r="B4911" s="3" t="s">
        <v>810</v>
      </c>
      <c r="C4911" s="3">
        <v>341</v>
      </c>
      <c r="D4911" s="3" t="s">
        <v>1052</v>
      </c>
      <c r="E4911" s="3" t="s">
        <v>7655</v>
      </c>
      <c r="F4911" s="3" t="s">
        <v>7649</v>
      </c>
      <c r="G4911" s="3" t="s">
        <v>7619</v>
      </c>
    </row>
    <row r="4912" spans="1:7">
      <c r="A4912" s="2">
        <v>220</v>
      </c>
      <c r="B4912" s="2" t="s">
        <v>810</v>
      </c>
      <c r="C4912" s="2">
        <v>343</v>
      </c>
      <c r="D4912" s="2" t="s">
        <v>977</v>
      </c>
      <c r="E4912" s="2" t="s">
        <v>7620</v>
      </c>
      <c r="F4912" s="2" t="s">
        <v>7659</v>
      </c>
      <c r="G4912" s="2" t="s">
        <v>7609</v>
      </c>
    </row>
    <row r="4913" spans="1:7">
      <c r="A4913" s="3">
        <v>221</v>
      </c>
      <c r="B4913" s="3" t="s">
        <v>813</v>
      </c>
      <c r="C4913" s="3">
        <v>222</v>
      </c>
      <c r="D4913" s="3" t="s">
        <v>864</v>
      </c>
      <c r="E4913" s="3" t="s">
        <v>7669</v>
      </c>
      <c r="F4913" s="3" t="s">
        <v>7611</v>
      </c>
      <c r="G4913" s="3" t="s">
        <v>7637</v>
      </c>
    </row>
    <row r="4914" spans="1:7">
      <c r="A4914" s="2">
        <v>221</v>
      </c>
      <c r="B4914" s="2" t="s">
        <v>813</v>
      </c>
      <c r="C4914" s="2">
        <v>230</v>
      </c>
      <c r="D4914" s="2" t="s">
        <v>920</v>
      </c>
      <c r="E4914" s="2" t="s">
        <v>7620</v>
      </c>
      <c r="F4914" s="2" t="s">
        <v>7650</v>
      </c>
      <c r="G4914" s="2" t="s">
        <v>7621</v>
      </c>
    </row>
    <row r="4915" spans="1:7">
      <c r="A4915" s="3">
        <v>221</v>
      </c>
      <c r="B4915" s="3" t="s">
        <v>813</v>
      </c>
      <c r="C4915" s="3">
        <v>231</v>
      </c>
      <c r="D4915" s="3" t="s">
        <v>923</v>
      </c>
      <c r="E4915" s="3" t="s">
        <v>7618</v>
      </c>
      <c r="F4915" s="3" t="s">
        <v>7611</v>
      </c>
      <c r="G4915" s="3" t="s">
        <v>7617</v>
      </c>
    </row>
    <row r="4916" spans="1:7">
      <c r="A4916" s="2">
        <v>221</v>
      </c>
      <c r="B4916" s="2" t="s">
        <v>813</v>
      </c>
      <c r="C4916" s="2">
        <v>232</v>
      </c>
      <c r="D4916" s="2" t="s">
        <v>933</v>
      </c>
      <c r="E4916" s="2" t="s">
        <v>7618</v>
      </c>
      <c r="F4916" s="2" t="s">
        <v>7608</v>
      </c>
      <c r="G4916" s="2" t="s">
        <v>7633</v>
      </c>
    </row>
    <row r="4917" spans="1:7">
      <c r="A4917" s="3">
        <v>221</v>
      </c>
      <c r="B4917" s="3" t="s">
        <v>813</v>
      </c>
      <c r="C4917" s="3">
        <v>233</v>
      </c>
      <c r="D4917" s="3" t="s">
        <v>937</v>
      </c>
      <c r="E4917" s="3" t="s">
        <v>7620</v>
      </c>
      <c r="F4917" s="3" t="s">
        <v>7611</v>
      </c>
      <c r="G4917" s="3" t="s">
        <v>7625</v>
      </c>
    </row>
    <row r="4918" spans="1:7">
      <c r="A4918" s="2">
        <v>221</v>
      </c>
      <c r="B4918" s="2" t="s">
        <v>813</v>
      </c>
      <c r="C4918" s="2">
        <v>243</v>
      </c>
      <c r="D4918" s="2" t="s">
        <v>941</v>
      </c>
      <c r="E4918" s="2" t="s">
        <v>7618</v>
      </c>
      <c r="F4918" s="2" t="s">
        <v>7608</v>
      </c>
      <c r="G4918" s="2" t="s">
        <v>7633</v>
      </c>
    </row>
    <row r="4919" spans="1:7">
      <c r="A4919" s="3">
        <v>221</v>
      </c>
      <c r="B4919" s="3" t="s">
        <v>813</v>
      </c>
      <c r="C4919" s="3">
        <v>251</v>
      </c>
      <c r="D4919" s="3" t="s">
        <v>819</v>
      </c>
      <c r="E4919" s="3" t="s">
        <v>7640</v>
      </c>
      <c r="F4919" s="3" t="s">
        <v>7611</v>
      </c>
      <c r="G4919" s="3" t="s">
        <v>7609</v>
      </c>
    </row>
    <row r="4920" spans="1:7">
      <c r="A4920" s="2">
        <v>221</v>
      </c>
      <c r="B4920" s="2" t="s">
        <v>813</v>
      </c>
      <c r="C4920" s="2">
        <v>254</v>
      </c>
      <c r="D4920" s="2" t="s">
        <v>837</v>
      </c>
      <c r="E4920" s="2" t="s">
        <v>7610</v>
      </c>
      <c r="F4920" s="2" t="s">
        <v>7649</v>
      </c>
      <c r="G4920" s="2" t="s">
        <v>7612</v>
      </c>
    </row>
    <row r="4921" spans="1:7">
      <c r="A4921" s="3">
        <v>221</v>
      </c>
      <c r="B4921" s="3" t="s">
        <v>813</v>
      </c>
      <c r="C4921" s="3">
        <v>256</v>
      </c>
      <c r="D4921" s="3" t="s">
        <v>785</v>
      </c>
      <c r="E4921" s="3" t="s">
        <v>7623</v>
      </c>
      <c r="F4921" s="3" t="s">
        <v>7611</v>
      </c>
      <c r="G4921" s="3" t="s">
        <v>7639</v>
      </c>
    </row>
    <row r="4922" spans="1:7">
      <c r="A4922" s="2">
        <v>221</v>
      </c>
      <c r="B4922" s="2" t="s">
        <v>813</v>
      </c>
      <c r="C4922" s="2">
        <v>257</v>
      </c>
      <c r="D4922" s="2" t="s">
        <v>876</v>
      </c>
      <c r="E4922" s="2" t="s">
        <v>7640</v>
      </c>
      <c r="F4922" s="2" t="s">
        <v>7611</v>
      </c>
      <c r="G4922" s="2" t="s">
        <v>7609</v>
      </c>
    </row>
    <row r="4923" spans="1:7">
      <c r="A4923" s="3">
        <v>221</v>
      </c>
      <c r="B4923" s="3" t="s">
        <v>813</v>
      </c>
      <c r="C4923" s="3">
        <v>258</v>
      </c>
      <c r="D4923" s="3" t="s">
        <v>882</v>
      </c>
      <c r="E4923" s="3" t="s">
        <v>7618</v>
      </c>
      <c r="F4923" s="3" t="s">
        <v>7608</v>
      </c>
      <c r="G4923" s="3" t="s">
        <v>7633</v>
      </c>
    </row>
    <row r="4924" spans="1:7">
      <c r="A4924" s="2">
        <v>221</v>
      </c>
      <c r="B4924" s="2" t="s">
        <v>813</v>
      </c>
      <c r="C4924" s="2">
        <v>262</v>
      </c>
      <c r="D4924" s="2" t="s">
        <v>355</v>
      </c>
      <c r="E4924" s="2" t="s">
        <v>7610</v>
      </c>
      <c r="F4924" s="2" t="s">
        <v>7611</v>
      </c>
      <c r="G4924" s="2" t="s">
        <v>7644</v>
      </c>
    </row>
    <row r="4925" spans="1:7">
      <c r="A4925" s="3">
        <v>221</v>
      </c>
      <c r="B4925" s="3" t="s">
        <v>813</v>
      </c>
      <c r="C4925" s="3">
        <v>264</v>
      </c>
      <c r="D4925" s="3" t="s">
        <v>775</v>
      </c>
      <c r="E4925" s="3" t="s">
        <v>7618</v>
      </c>
      <c r="F4925" s="3" t="s">
        <v>7649</v>
      </c>
      <c r="G4925" s="3" t="s">
        <v>7619</v>
      </c>
    </row>
    <row r="4926" spans="1:7">
      <c r="A4926" s="2">
        <v>221</v>
      </c>
      <c r="B4926" s="2" t="s">
        <v>813</v>
      </c>
      <c r="C4926" s="2">
        <v>265</v>
      </c>
      <c r="D4926" s="2" t="s">
        <v>860</v>
      </c>
      <c r="E4926" s="2" t="s">
        <v>7620</v>
      </c>
      <c r="F4926" s="2" t="s">
        <v>7611</v>
      </c>
      <c r="G4926" s="2" t="s">
        <v>7621</v>
      </c>
    </row>
    <row r="4927" spans="1:7">
      <c r="A4927" s="3">
        <v>221</v>
      </c>
      <c r="B4927" s="3" t="s">
        <v>813</v>
      </c>
      <c r="C4927" s="3">
        <v>266</v>
      </c>
      <c r="D4927" s="3" t="s">
        <v>826</v>
      </c>
      <c r="E4927" s="3" t="s">
        <v>7658</v>
      </c>
      <c r="F4927" s="3" t="s">
        <v>7649</v>
      </c>
      <c r="G4927" s="3" t="s">
        <v>7670</v>
      </c>
    </row>
    <row r="4928" spans="1:7">
      <c r="A4928" s="2">
        <v>221</v>
      </c>
      <c r="B4928" s="2" t="s">
        <v>813</v>
      </c>
      <c r="C4928" s="2">
        <v>267</v>
      </c>
      <c r="D4928" s="2" t="s">
        <v>801</v>
      </c>
      <c r="E4928" s="2" t="s">
        <v>7618</v>
      </c>
      <c r="F4928" s="2" t="s">
        <v>7649</v>
      </c>
      <c r="G4928" s="2" t="s">
        <v>7634</v>
      </c>
    </row>
    <row r="4929" spans="1:7">
      <c r="A4929" s="3">
        <v>221</v>
      </c>
      <c r="B4929" s="3" t="s">
        <v>813</v>
      </c>
      <c r="C4929" s="3">
        <v>269</v>
      </c>
      <c r="D4929" s="3" t="s">
        <v>825</v>
      </c>
      <c r="E4929" s="3" t="s">
        <v>7618</v>
      </c>
      <c r="F4929" s="3" t="s">
        <v>7649</v>
      </c>
      <c r="G4929" s="3" t="s">
        <v>7619</v>
      </c>
    </row>
    <row r="4930" spans="1:7">
      <c r="A4930" s="2">
        <v>221</v>
      </c>
      <c r="B4930" s="2" t="s">
        <v>813</v>
      </c>
      <c r="C4930" s="2">
        <v>270</v>
      </c>
      <c r="D4930" s="2" t="s">
        <v>769</v>
      </c>
      <c r="E4930" s="2" t="s">
        <v>7640</v>
      </c>
      <c r="F4930" s="2" t="s">
        <v>7611</v>
      </c>
      <c r="G4930" s="2" t="s">
        <v>7617</v>
      </c>
    </row>
    <row r="4931" spans="1:7">
      <c r="A4931" s="3">
        <v>221</v>
      </c>
      <c r="B4931" s="3" t="s">
        <v>813</v>
      </c>
      <c r="C4931" s="3">
        <v>272</v>
      </c>
      <c r="D4931" s="3" t="s">
        <v>873</v>
      </c>
      <c r="E4931" s="3" t="s">
        <v>7623</v>
      </c>
      <c r="F4931" s="3" t="s">
        <v>7611</v>
      </c>
      <c r="G4931" s="3" t="s">
        <v>7639</v>
      </c>
    </row>
    <row r="4932" spans="1:7">
      <c r="A4932" s="2">
        <v>221</v>
      </c>
      <c r="B4932" s="2" t="s">
        <v>813</v>
      </c>
      <c r="C4932" s="2">
        <v>273</v>
      </c>
      <c r="D4932" s="2" t="s">
        <v>816</v>
      </c>
      <c r="E4932" s="2" t="s">
        <v>7620</v>
      </c>
      <c r="F4932" s="2" t="s">
        <v>7650</v>
      </c>
      <c r="G4932" s="2" t="s">
        <v>7621</v>
      </c>
    </row>
    <row r="4933" spans="1:7">
      <c r="A4933" s="3">
        <v>221</v>
      </c>
      <c r="B4933" s="3" t="s">
        <v>813</v>
      </c>
      <c r="C4933" s="3">
        <v>275</v>
      </c>
      <c r="D4933" s="3" t="s">
        <v>781</v>
      </c>
      <c r="E4933" s="3" t="s">
        <v>7627</v>
      </c>
      <c r="F4933" s="3" t="s">
        <v>7649</v>
      </c>
      <c r="G4933" s="3" t="s">
        <v>7642</v>
      </c>
    </row>
    <row r="4934" spans="1:7">
      <c r="A4934" s="2">
        <v>221</v>
      </c>
      <c r="B4934" s="2" t="s">
        <v>813</v>
      </c>
      <c r="C4934" s="2">
        <v>276</v>
      </c>
      <c r="D4934" s="2" t="s">
        <v>842</v>
      </c>
      <c r="E4934" s="2" t="s">
        <v>7618</v>
      </c>
      <c r="F4934" s="2" t="s">
        <v>7611</v>
      </c>
      <c r="G4934" s="2" t="s">
        <v>7619</v>
      </c>
    </row>
    <row r="4935" spans="1:7">
      <c r="A4935" s="3">
        <v>221</v>
      </c>
      <c r="B4935" s="3" t="s">
        <v>813</v>
      </c>
      <c r="C4935" s="3">
        <v>277</v>
      </c>
      <c r="D4935" s="3" t="s">
        <v>796</v>
      </c>
      <c r="E4935" s="3" t="s">
        <v>7620</v>
      </c>
      <c r="F4935" s="3" t="s">
        <v>7650</v>
      </c>
      <c r="G4935" s="3" t="s">
        <v>7625</v>
      </c>
    </row>
    <row r="4936" spans="1:7">
      <c r="A4936" s="2">
        <v>221</v>
      </c>
      <c r="B4936" s="2" t="s">
        <v>813</v>
      </c>
      <c r="C4936" s="2">
        <v>280</v>
      </c>
      <c r="D4936" s="2" t="s">
        <v>847</v>
      </c>
      <c r="E4936" s="2" t="s">
        <v>7645</v>
      </c>
      <c r="F4936" s="2" t="s">
        <v>7611</v>
      </c>
      <c r="G4936" s="2" t="s">
        <v>7621</v>
      </c>
    </row>
    <row r="4937" spans="1:7">
      <c r="A4937" s="3">
        <v>221</v>
      </c>
      <c r="B4937" s="3" t="s">
        <v>813</v>
      </c>
      <c r="C4937" s="3">
        <v>281</v>
      </c>
      <c r="D4937" s="3" t="s">
        <v>856</v>
      </c>
      <c r="E4937" s="3" t="s">
        <v>7623</v>
      </c>
      <c r="F4937" s="3" t="s">
        <v>7649</v>
      </c>
      <c r="G4937" s="3" t="s">
        <v>7632</v>
      </c>
    </row>
    <row r="4938" spans="1:7">
      <c r="A4938" s="2">
        <v>221</v>
      </c>
      <c r="B4938" s="2" t="s">
        <v>813</v>
      </c>
      <c r="C4938" s="2">
        <v>282</v>
      </c>
      <c r="D4938" s="2" t="s">
        <v>885</v>
      </c>
      <c r="E4938" s="2" t="s">
        <v>7627</v>
      </c>
      <c r="F4938" s="2" t="s">
        <v>7649</v>
      </c>
      <c r="G4938" s="2" t="s">
        <v>7642</v>
      </c>
    </row>
    <row r="4939" spans="1:7">
      <c r="A4939" s="3">
        <v>221</v>
      </c>
      <c r="B4939" s="3" t="s">
        <v>813</v>
      </c>
      <c r="C4939" s="3">
        <v>284</v>
      </c>
      <c r="D4939" s="3" t="s">
        <v>854</v>
      </c>
      <c r="E4939" s="3" t="s">
        <v>7618</v>
      </c>
      <c r="F4939" s="3" t="s">
        <v>7611</v>
      </c>
      <c r="G4939" s="3" t="s">
        <v>7636</v>
      </c>
    </row>
    <row r="4940" spans="1:7">
      <c r="A4940" s="2">
        <v>221</v>
      </c>
      <c r="B4940" s="2" t="s">
        <v>813</v>
      </c>
      <c r="C4940" s="2">
        <v>285</v>
      </c>
      <c r="D4940" s="2" t="s">
        <v>854</v>
      </c>
      <c r="E4940" s="2" t="s">
        <v>7620</v>
      </c>
      <c r="F4940" s="2" t="s">
        <v>7611</v>
      </c>
      <c r="G4940" s="2" t="s">
        <v>7621</v>
      </c>
    </row>
    <row r="4941" spans="1:7">
      <c r="A4941" s="3">
        <v>221</v>
      </c>
      <c r="B4941" s="3" t="s">
        <v>813</v>
      </c>
      <c r="C4941" s="3">
        <v>286</v>
      </c>
      <c r="D4941" s="3" t="s">
        <v>807</v>
      </c>
      <c r="E4941" s="3" t="s">
        <v>7620</v>
      </c>
      <c r="F4941" s="3" t="s">
        <v>7649</v>
      </c>
      <c r="G4941" s="3" t="s">
        <v>7633</v>
      </c>
    </row>
    <row r="4942" spans="1:7">
      <c r="A4942" s="2">
        <v>221</v>
      </c>
      <c r="B4942" s="2" t="s">
        <v>813</v>
      </c>
      <c r="C4942" s="2">
        <v>287</v>
      </c>
      <c r="D4942" s="2" t="s">
        <v>929</v>
      </c>
      <c r="E4942" s="2" t="s">
        <v>7627</v>
      </c>
      <c r="F4942" s="2" t="s">
        <v>7611</v>
      </c>
      <c r="G4942" s="2" t="s">
        <v>7637</v>
      </c>
    </row>
    <row r="4943" spans="1:7">
      <c r="A4943" s="3">
        <v>221</v>
      </c>
      <c r="B4943" s="3" t="s">
        <v>813</v>
      </c>
      <c r="C4943" s="3">
        <v>288</v>
      </c>
      <c r="D4943" s="3" t="s">
        <v>805</v>
      </c>
      <c r="E4943" s="3" t="s">
        <v>7618</v>
      </c>
      <c r="F4943" s="3" t="s">
        <v>7611</v>
      </c>
      <c r="G4943" s="3" t="s">
        <v>7617</v>
      </c>
    </row>
    <row r="4944" spans="1:7">
      <c r="A4944" s="2">
        <v>221</v>
      </c>
      <c r="B4944" s="2" t="s">
        <v>813</v>
      </c>
      <c r="C4944" s="2">
        <v>290</v>
      </c>
      <c r="D4944" s="2" t="s">
        <v>854</v>
      </c>
      <c r="E4944" s="2" t="s">
        <v>7620</v>
      </c>
      <c r="F4944" s="2" t="s">
        <v>7611</v>
      </c>
      <c r="G4944" s="2" t="s">
        <v>7625</v>
      </c>
    </row>
    <row r="4945" spans="1:7">
      <c r="A4945" s="3">
        <v>221</v>
      </c>
      <c r="B4945" s="3" t="s">
        <v>813</v>
      </c>
      <c r="C4945" s="3">
        <v>293</v>
      </c>
      <c r="D4945" s="3" t="s">
        <v>854</v>
      </c>
      <c r="E4945" s="3" t="s">
        <v>7618</v>
      </c>
      <c r="F4945" s="3" t="s">
        <v>7611</v>
      </c>
      <c r="G4945" s="3" t="s">
        <v>7617</v>
      </c>
    </row>
    <row r="4946" spans="1:7">
      <c r="A4946" s="2">
        <v>221</v>
      </c>
      <c r="B4946" s="2" t="s">
        <v>813</v>
      </c>
      <c r="C4946" s="2">
        <v>294</v>
      </c>
      <c r="D4946" s="2" t="s">
        <v>854</v>
      </c>
      <c r="E4946" s="2" t="s">
        <v>7618</v>
      </c>
      <c r="F4946" s="2" t="s">
        <v>7608</v>
      </c>
      <c r="G4946" s="2" t="s">
        <v>7617</v>
      </c>
    </row>
    <row r="4947" spans="1:7">
      <c r="A4947" s="3">
        <v>221</v>
      </c>
      <c r="B4947" s="3" t="s">
        <v>813</v>
      </c>
      <c r="C4947" s="3">
        <v>297</v>
      </c>
      <c r="D4947" s="3" t="s">
        <v>833</v>
      </c>
      <c r="E4947" s="3" t="s">
        <v>7618</v>
      </c>
      <c r="F4947" s="3" t="s">
        <v>7608</v>
      </c>
      <c r="G4947" s="3" t="s">
        <v>7633</v>
      </c>
    </row>
    <row r="4948" spans="1:7">
      <c r="A4948" s="2">
        <v>221</v>
      </c>
      <c r="B4948" s="2" t="s">
        <v>813</v>
      </c>
      <c r="C4948" s="2">
        <v>300</v>
      </c>
      <c r="D4948" s="2" t="s">
        <v>854</v>
      </c>
      <c r="E4948" s="2" t="s">
        <v>7640</v>
      </c>
      <c r="F4948" s="2" t="s">
        <v>7608</v>
      </c>
      <c r="G4948" s="2" t="s">
        <v>7633</v>
      </c>
    </row>
    <row r="4949" spans="1:7">
      <c r="A4949" s="3">
        <v>221</v>
      </c>
      <c r="B4949" s="3" t="s">
        <v>813</v>
      </c>
      <c r="C4949" s="3">
        <v>301</v>
      </c>
      <c r="D4949" s="3" t="s">
        <v>850</v>
      </c>
      <c r="E4949" s="3" t="s">
        <v>7620</v>
      </c>
      <c r="F4949" s="3" t="s">
        <v>7650</v>
      </c>
      <c r="G4949" s="3" t="s">
        <v>7621</v>
      </c>
    </row>
    <row r="4950" spans="1:7">
      <c r="A4950" s="2">
        <v>221</v>
      </c>
      <c r="B4950" s="2" t="s">
        <v>813</v>
      </c>
      <c r="C4950" s="2">
        <v>302</v>
      </c>
      <c r="D4950" s="2" t="s">
        <v>916</v>
      </c>
      <c r="E4950" s="2" t="s">
        <v>7620</v>
      </c>
      <c r="F4950" s="2" t="s">
        <v>7611</v>
      </c>
      <c r="G4950" s="2" t="s">
        <v>7621</v>
      </c>
    </row>
    <row r="4951" spans="1:7">
      <c r="A4951" s="3">
        <v>221</v>
      </c>
      <c r="B4951" s="3" t="s">
        <v>813</v>
      </c>
      <c r="C4951" s="3">
        <v>303</v>
      </c>
      <c r="D4951" s="3" t="s">
        <v>854</v>
      </c>
      <c r="E4951" s="3" t="s">
        <v>7620</v>
      </c>
      <c r="F4951" s="3" t="s">
        <v>7611</v>
      </c>
      <c r="G4951" s="3" t="s">
        <v>7621</v>
      </c>
    </row>
    <row r="4952" spans="1:7">
      <c r="A4952" s="2">
        <v>221</v>
      </c>
      <c r="B4952" s="2" t="s">
        <v>813</v>
      </c>
      <c r="C4952" s="2">
        <v>305</v>
      </c>
      <c r="D4952" s="2" t="s">
        <v>854</v>
      </c>
      <c r="E4952" s="2" t="s">
        <v>7620</v>
      </c>
      <c r="F4952" s="2" t="s">
        <v>7608</v>
      </c>
      <c r="G4952" s="2" t="s">
        <v>7621</v>
      </c>
    </row>
    <row r="4953" spans="1:7">
      <c r="A4953" s="3">
        <v>221</v>
      </c>
      <c r="B4953" s="3" t="s">
        <v>813</v>
      </c>
      <c r="C4953" s="3">
        <v>307</v>
      </c>
      <c r="D4953" s="3" t="s">
        <v>854</v>
      </c>
      <c r="E4953" s="3" t="s">
        <v>7620</v>
      </c>
      <c r="F4953" s="3" t="s">
        <v>7611</v>
      </c>
      <c r="G4953" s="3" t="s">
        <v>7625</v>
      </c>
    </row>
    <row r="4954" spans="1:7">
      <c r="A4954" s="2">
        <v>221</v>
      </c>
      <c r="B4954" s="2" t="s">
        <v>813</v>
      </c>
      <c r="C4954" s="2">
        <v>308</v>
      </c>
      <c r="D4954" s="2" t="s">
        <v>854</v>
      </c>
      <c r="E4954" s="2" t="s">
        <v>7618</v>
      </c>
      <c r="F4954" s="2" t="s">
        <v>7608</v>
      </c>
      <c r="G4954" s="2" t="s">
        <v>7633</v>
      </c>
    </row>
    <row r="4955" spans="1:7">
      <c r="A4955" s="3">
        <v>221</v>
      </c>
      <c r="B4955" s="3" t="s">
        <v>813</v>
      </c>
      <c r="C4955" s="3">
        <v>312</v>
      </c>
      <c r="D4955" s="3" t="s">
        <v>949</v>
      </c>
      <c r="E4955" s="3" t="s">
        <v>7750</v>
      </c>
      <c r="F4955" s="3" t="s">
        <v>7649</v>
      </c>
      <c r="G4955" s="3" t="s">
        <v>7633</v>
      </c>
    </row>
    <row r="4956" spans="1:7">
      <c r="A4956" s="2">
        <v>221</v>
      </c>
      <c r="B4956" s="2" t="s">
        <v>813</v>
      </c>
      <c r="C4956" s="2">
        <v>316</v>
      </c>
      <c r="D4956" s="2" t="s">
        <v>1028</v>
      </c>
      <c r="E4956" s="2" t="s">
        <v>7620</v>
      </c>
      <c r="F4956" s="2" t="s">
        <v>7650</v>
      </c>
      <c r="G4956" s="2" t="s">
        <v>7625</v>
      </c>
    </row>
    <row r="4957" spans="1:7">
      <c r="A4957" s="3">
        <v>221</v>
      </c>
      <c r="B4957" s="3" t="s">
        <v>813</v>
      </c>
      <c r="C4957" s="3">
        <v>317</v>
      </c>
      <c r="D4957" s="3" t="s">
        <v>1030</v>
      </c>
      <c r="E4957" s="3" t="s">
        <v>7623</v>
      </c>
      <c r="F4957" s="3" t="s">
        <v>7611</v>
      </c>
      <c r="G4957" s="3" t="s">
        <v>7632</v>
      </c>
    </row>
    <row r="4958" spans="1:7">
      <c r="A4958" s="2">
        <v>221</v>
      </c>
      <c r="B4958" s="2" t="s">
        <v>813</v>
      </c>
      <c r="C4958" s="2">
        <v>318</v>
      </c>
      <c r="D4958" s="2" t="s">
        <v>1032</v>
      </c>
      <c r="E4958" s="2" t="s">
        <v>7618</v>
      </c>
      <c r="F4958" s="2" t="s">
        <v>7611</v>
      </c>
      <c r="G4958" s="2" t="s">
        <v>7639</v>
      </c>
    </row>
    <row r="4959" spans="1:7">
      <c r="A4959" s="3">
        <v>221</v>
      </c>
      <c r="B4959" s="3" t="s">
        <v>813</v>
      </c>
      <c r="C4959" s="3">
        <v>320</v>
      </c>
      <c r="D4959" s="3" t="s">
        <v>1039</v>
      </c>
      <c r="E4959" s="3" t="s">
        <v>7750</v>
      </c>
      <c r="F4959" s="3" t="s">
        <v>7650</v>
      </c>
      <c r="G4959" s="3" t="s">
        <v>7621</v>
      </c>
    </row>
    <row r="4960" spans="1:7">
      <c r="A4960" s="2">
        <v>221</v>
      </c>
      <c r="B4960" s="2" t="s">
        <v>813</v>
      </c>
      <c r="C4960" s="2">
        <v>321</v>
      </c>
      <c r="D4960" s="2" t="s">
        <v>1048</v>
      </c>
      <c r="E4960" s="2" t="s">
        <v>7618</v>
      </c>
      <c r="F4960" s="2" t="s">
        <v>7649</v>
      </c>
      <c r="G4960" s="2" t="s">
        <v>7619</v>
      </c>
    </row>
    <row r="4961" spans="1:7">
      <c r="A4961" s="3">
        <v>221</v>
      </c>
      <c r="B4961" s="3" t="s">
        <v>813</v>
      </c>
      <c r="C4961" s="3">
        <v>323</v>
      </c>
      <c r="D4961" s="3" t="s">
        <v>1016</v>
      </c>
      <c r="E4961" s="3" t="s">
        <v>7618</v>
      </c>
      <c r="F4961" s="3" t="s">
        <v>7649</v>
      </c>
      <c r="G4961" s="3" t="s">
        <v>7639</v>
      </c>
    </row>
    <row r="4962" spans="1:7">
      <c r="A4962" s="2">
        <v>221</v>
      </c>
      <c r="B4962" s="2" t="s">
        <v>813</v>
      </c>
      <c r="C4962" s="2">
        <v>325</v>
      </c>
      <c r="D4962" s="2" t="s">
        <v>1020</v>
      </c>
      <c r="E4962" s="2" t="s">
        <v>7618</v>
      </c>
      <c r="F4962" s="2" t="s">
        <v>7611</v>
      </c>
      <c r="G4962" s="2" t="s">
        <v>7617</v>
      </c>
    </row>
    <row r="4963" spans="1:7">
      <c r="A4963" s="3">
        <v>221</v>
      </c>
      <c r="B4963" s="3" t="s">
        <v>813</v>
      </c>
      <c r="C4963" s="3">
        <v>326</v>
      </c>
      <c r="D4963" s="3" t="s">
        <v>1022</v>
      </c>
      <c r="E4963" s="3" t="s">
        <v>7618</v>
      </c>
      <c r="F4963" s="3" t="s">
        <v>7611</v>
      </c>
      <c r="G4963" s="3" t="s">
        <v>7617</v>
      </c>
    </row>
    <row r="4964" spans="1:7">
      <c r="A4964" s="2">
        <v>221</v>
      </c>
      <c r="B4964" s="2" t="s">
        <v>813</v>
      </c>
      <c r="C4964" s="2">
        <v>327</v>
      </c>
      <c r="D4964" s="2" t="s">
        <v>1025</v>
      </c>
      <c r="E4964" s="2" t="s">
        <v>7618</v>
      </c>
      <c r="F4964" s="2" t="s">
        <v>7611</v>
      </c>
      <c r="G4964" s="2" t="s">
        <v>7619</v>
      </c>
    </row>
    <row r="4965" spans="1:7">
      <c r="A4965" s="3">
        <v>221</v>
      </c>
      <c r="B4965" s="3" t="s">
        <v>813</v>
      </c>
      <c r="C4965" s="3">
        <v>328</v>
      </c>
      <c r="D4965" s="3" t="s">
        <v>1026</v>
      </c>
      <c r="E4965" s="3" t="s">
        <v>7618</v>
      </c>
      <c r="F4965" s="3" t="s">
        <v>7649</v>
      </c>
      <c r="G4965" s="3" t="s">
        <v>7619</v>
      </c>
    </row>
    <row r="4966" spans="1:7">
      <c r="A4966" s="2">
        <v>221</v>
      </c>
      <c r="B4966" s="2" t="s">
        <v>813</v>
      </c>
      <c r="C4966" s="2">
        <v>329</v>
      </c>
      <c r="D4966" s="2" t="s">
        <v>965</v>
      </c>
      <c r="E4966" s="2" t="s">
        <v>7618</v>
      </c>
      <c r="F4966" s="2" t="s">
        <v>7649</v>
      </c>
      <c r="G4966" s="2" t="s">
        <v>7619</v>
      </c>
    </row>
    <row r="4967" spans="1:7">
      <c r="A4967" s="3">
        <v>221</v>
      </c>
      <c r="B4967" s="3" t="s">
        <v>813</v>
      </c>
      <c r="C4967" s="3">
        <v>330</v>
      </c>
      <c r="D4967" s="3" t="s">
        <v>974</v>
      </c>
      <c r="E4967" s="3" t="s">
        <v>7618</v>
      </c>
      <c r="F4967" s="3" t="s">
        <v>7650</v>
      </c>
      <c r="G4967" s="3" t="s">
        <v>7617</v>
      </c>
    </row>
    <row r="4968" spans="1:7">
      <c r="A4968" s="2">
        <v>221</v>
      </c>
      <c r="B4968" s="2" t="s">
        <v>813</v>
      </c>
      <c r="C4968" s="2">
        <v>331</v>
      </c>
      <c r="D4968" s="2" t="s">
        <v>982</v>
      </c>
      <c r="E4968" s="2" t="s">
        <v>7645</v>
      </c>
      <c r="F4968" s="2" t="s">
        <v>7608</v>
      </c>
      <c r="G4968" s="2" t="s">
        <v>7625</v>
      </c>
    </row>
    <row r="4969" spans="1:7">
      <c r="A4969" s="3">
        <v>221</v>
      </c>
      <c r="B4969" s="3" t="s">
        <v>813</v>
      </c>
      <c r="C4969" s="3">
        <v>332</v>
      </c>
      <c r="D4969" s="3" t="s">
        <v>986</v>
      </c>
      <c r="E4969" s="3" t="s">
        <v>7645</v>
      </c>
      <c r="F4969" s="3" t="s">
        <v>7611</v>
      </c>
      <c r="G4969" s="3" t="s">
        <v>7633</v>
      </c>
    </row>
    <row r="4970" spans="1:7">
      <c r="A4970" s="2">
        <v>221</v>
      </c>
      <c r="B4970" s="2" t="s">
        <v>813</v>
      </c>
      <c r="C4970" s="2">
        <v>333</v>
      </c>
      <c r="D4970" s="2" t="s">
        <v>989</v>
      </c>
      <c r="E4970" s="2" t="s">
        <v>7618</v>
      </c>
      <c r="F4970" s="2" t="s">
        <v>7649</v>
      </c>
      <c r="G4970" s="2" t="s">
        <v>7619</v>
      </c>
    </row>
    <row r="4971" spans="1:7">
      <c r="A4971" s="3">
        <v>221</v>
      </c>
      <c r="B4971" s="3" t="s">
        <v>813</v>
      </c>
      <c r="C4971" s="3">
        <v>334</v>
      </c>
      <c r="D4971" s="3" t="s">
        <v>970</v>
      </c>
      <c r="E4971" s="3" t="s">
        <v>7620</v>
      </c>
      <c r="F4971" s="3" t="s">
        <v>7649</v>
      </c>
      <c r="G4971" s="3" t="s">
        <v>7622</v>
      </c>
    </row>
    <row r="4972" spans="1:7">
      <c r="A4972" s="2">
        <v>221</v>
      </c>
      <c r="B4972" s="2" t="s">
        <v>813</v>
      </c>
      <c r="C4972" s="2">
        <v>335</v>
      </c>
      <c r="D4972" s="2" t="s">
        <v>1057</v>
      </c>
      <c r="E4972" s="2" t="s">
        <v>7620</v>
      </c>
      <c r="F4972" s="2" t="s">
        <v>7611</v>
      </c>
      <c r="G4972" s="2" t="s">
        <v>7625</v>
      </c>
    </row>
    <row r="4973" spans="1:7">
      <c r="A4973" s="3">
        <v>221</v>
      </c>
      <c r="B4973" s="3" t="s">
        <v>813</v>
      </c>
      <c r="C4973" s="3">
        <v>336</v>
      </c>
      <c r="D4973" s="3" t="s">
        <v>992</v>
      </c>
      <c r="E4973" s="3" t="s">
        <v>7620</v>
      </c>
      <c r="F4973" s="3" t="s">
        <v>7611</v>
      </c>
      <c r="G4973" s="3" t="s">
        <v>7625</v>
      </c>
    </row>
    <row r="4974" spans="1:7">
      <c r="A4974" s="2">
        <v>221</v>
      </c>
      <c r="B4974" s="2" t="s">
        <v>813</v>
      </c>
      <c r="C4974" s="2">
        <v>337</v>
      </c>
      <c r="D4974" s="2" t="s">
        <v>1042</v>
      </c>
      <c r="E4974" s="2" t="s">
        <v>7620</v>
      </c>
      <c r="F4974" s="2" t="s">
        <v>7649</v>
      </c>
      <c r="G4974" s="2" t="s">
        <v>7633</v>
      </c>
    </row>
    <row r="4975" spans="1:7">
      <c r="A4975" s="3">
        <v>221</v>
      </c>
      <c r="B4975" s="3" t="s">
        <v>813</v>
      </c>
      <c r="C4975" s="3">
        <v>338</v>
      </c>
      <c r="D4975" s="3" t="s">
        <v>996</v>
      </c>
      <c r="E4975" s="3" t="s">
        <v>7640</v>
      </c>
      <c r="F4975" s="3" t="s">
        <v>7649</v>
      </c>
      <c r="G4975" s="3" t="s">
        <v>7636</v>
      </c>
    </row>
    <row r="4976" spans="1:7">
      <c r="A4976" s="2">
        <v>221</v>
      </c>
      <c r="B4976" s="2" t="s">
        <v>813</v>
      </c>
      <c r="C4976" s="2">
        <v>339</v>
      </c>
      <c r="D4976" s="2" t="s">
        <v>1058</v>
      </c>
      <c r="E4976" s="2" t="s">
        <v>7620</v>
      </c>
      <c r="F4976" s="2" t="s">
        <v>7611</v>
      </c>
      <c r="G4976" s="2" t="s">
        <v>7621</v>
      </c>
    </row>
    <row r="4977" spans="1:7">
      <c r="A4977" s="3">
        <v>221</v>
      </c>
      <c r="B4977" s="3" t="s">
        <v>813</v>
      </c>
      <c r="C4977" s="3">
        <v>340</v>
      </c>
      <c r="D4977" s="3" t="s">
        <v>1000</v>
      </c>
      <c r="E4977" s="3" t="s">
        <v>7620</v>
      </c>
      <c r="F4977" s="3" t="s">
        <v>7650</v>
      </c>
      <c r="G4977" s="3" t="s">
        <v>7625</v>
      </c>
    </row>
    <row r="4978" spans="1:7">
      <c r="A4978" s="2">
        <v>221</v>
      </c>
      <c r="B4978" s="2" t="s">
        <v>813</v>
      </c>
      <c r="C4978" s="2">
        <v>341</v>
      </c>
      <c r="D4978" s="2" t="s">
        <v>1052</v>
      </c>
      <c r="E4978" s="2" t="s">
        <v>7738</v>
      </c>
      <c r="F4978" s="2" t="s">
        <v>7649</v>
      </c>
      <c r="G4978" s="2" t="s">
        <v>7634</v>
      </c>
    </row>
    <row r="4979" spans="1:7">
      <c r="A4979" s="3">
        <v>221</v>
      </c>
      <c r="B4979" s="3" t="s">
        <v>813</v>
      </c>
      <c r="C4979" s="3">
        <v>343</v>
      </c>
      <c r="D4979" s="3" t="s">
        <v>977</v>
      </c>
      <c r="E4979" s="3" t="s">
        <v>7620</v>
      </c>
      <c r="F4979" s="3" t="s">
        <v>7649</v>
      </c>
      <c r="G4979" s="3" t="s">
        <v>7622</v>
      </c>
    </row>
    <row r="4980" spans="1:7">
      <c r="A4980" s="2">
        <v>221</v>
      </c>
      <c r="B4980" s="2" t="s">
        <v>813</v>
      </c>
      <c r="C4980" s="2">
        <v>402</v>
      </c>
      <c r="D4980" s="2" t="s">
        <v>1120</v>
      </c>
      <c r="E4980" s="2" t="s">
        <v>7645</v>
      </c>
      <c r="F4980" s="2" t="s">
        <v>7649</v>
      </c>
      <c r="G4980" s="2" t="s">
        <v>7633</v>
      </c>
    </row>
    <row r="4981" spans="1:7">
      <c r="A4981" s="3">
        <v>221</v>
      </c>
      <c r="B4981" s="3" t="s">
        <v>813</v>
      </c>
      <c r="C4981" s="3">
        <v>405</v>
      </c>
      <c r="D4981" s="3" t="s">
        <v>1110</v>
      </c>
      <c r="E4981" s="3" t="s">
        <v>7610</v>
      </c>
      <c r="F4981" s="3" t="s">
        <v>7611</v>
      </c>
      <c r="G4981" s="3" t="s">
        <v>7624</v>
      </c>
    </row>
    <row r="4982" spans="1:7">
      <c r="A4982" s="2">
        <v>221</v>
      </c>
      <c r="B4982" s="2" t="s">
        <v>813</v>
      </c>
      <c r="C4982" s="2">
        <v>406</v>
      </c>
      <c r="D4982" s="2" t="s">
        <v>1114</v>
      </c>
      <c r="E4982" s="2" t="s">
        <v>7658</v>
      </c>
      <c r="F4982" s="2" t="s">
        <v>7611</v>
      </c>
      <c r="G4982" s="2" t="s">
        <v>7642</v>
      </c>
    </row>
    <row r="4983" spans="1:7">
      <c r="A4983" s="3">
        <v>221</v>
      </c>
      <c r="B4983" s="3" t="s">
        <v>813</v>
      </c>
      <c r="C4983" s="3">
        <v>408</v>
      </c>
      <c r="D4983" s="3" t="s">
        <v>1131</v>
      </c>
      <c r="E4983" s="3" t="s">
        <v>7697</v>
      </c>
      <c r="F4983" s="3" t="s">
        <v>7608</v>
      </c>
      <c r="G4983" s="3" t="s">
        <v>7639</v>
      </c>
    </row>
    <row r="4984" spans="1:7">
      <c r="A4984" s="2">
        <v>221</v>
      </c>
      <c r="B4984" s="2" t="s">
        <v>813</v>
      </c>
      <c r="C4984" s="2">
        <v>409</v>
      </c>
      <c r="D4984" s="2" t="s">
        <v>1126</v>
      </c>
      <c r="E4984" s="2" t="s">
        <v>7618</v>
      </c>
      <c r="F4984" s="2" t="s">
        <v>7611</v>
      </c>
      <c r="G4984" s="2" t="s">
        <v>7636</v>
      </c>
    </row>
    <row r="4985" spans="1:7">
      <c r="A4985" s="3">
        <v>221</v>
      </c>
      <c r="B4985" s="3" t="s">
        <v>813</v>
      </c>
      <c r="C4985" s="3">
        <v>410</v>
      </c>
      <c r="D4985" s="3" t="s">
        <v>1123</v>
      </c>
      <c r="E4985" s="3" t="s">
        <v>7620</v>
      </c>
      <c r="F4985" s="3" t="s">
        <v>7611</v>
      </c>
      <c r="G4985" s="3" t="s">
        <v>7625</v>
      </c>
    </row>
    <row r="4986" spans="1:7">
      <c r="A4986" s="2">
        <v>222</v>
      </c>
      <c r="B4986" s="2" t="s">
        <v>864</v>
      </c>
      <c r="C4986" s="2">
        <v>264</v>
      </c>
      <c r="D4986" s="2" t="s">
        <v>775</v>
      </c>
      <c r="E4986" s="2" t="s">
        <v>7620</v>
      </c>
      <c r="F4986" s="2" t="s">
        <v>7611</v>
      </c>
      <c r="G4986" s="2" t="s">
        <v>7621</v>
      </c>
    </row>
    <row r="4987" spans="1:7">
      <c r="A4987" s="3">
        <v>222</v>
      </c>
      <c r="B4987" s="3" t="s">
        <v>864</v>
      </c>
      <c r="C4987" s="3">
        <v>341</v>
      </c>
      <c r="D4987" s="3" t="s">
        <v>1052</v>
      </c>
      <c r="E4987" s="3" t="s">
        <v>7620</v>
      </c>
      <c r="F4987" s="3" t="s">
        <v>7611</v>
      </c>
      <c r="G4987" s="3" t="s">
        <v>7621</v>
      </c>
    </row>
    <row r="4988" spans="1:7">
      <c r="A4988" s="2">
        <v>222</v>
      </c>
      <c r="B4988" s="2" t="s">
        <v>864</v>
      </c>
      <c r="C4988" s="2">
        <v>343</v>
      </c>
      <c r="D4988" s="2" t="s">
        <v>977</v>
      </c>
      <c r="E4988" s="2" t="s">
        <v>7620</v>
      </c>
      <c r="F4988" s="2" t="s">
        <v>7611</v>
      </c>
      <c r="G4988" s="2" t="s">
        <v>7621</v>
      </c>
    </row>
    <row r="4989" spans="1:7">
      <c r="A4989" s="3">
        <v>230</v>
      </c>
      <c r="B4989" s="3" t="s">
        <v>920</v>
      </c>
      <c r="C4989" s="3">
        <v>264</v>
      </c>
      <c r="D4989" s="3" t="s">
        <v>775</v>
      </c>
      <c r="E4989" s="3" t="s">
        <v>7620</v>
      </c>
      <c r="F4989" s="3" t="s">
        <v>7650</v>
      </c>
      <c r="G4989" s="3" t="s">
        <v>7621</v>
      </c>
    </row>
    <row r="4990" spans="1:7">
      <c r="A4990" s="2">
        <v>230</v>
      </c>
      <c r="B4990" s="2" t="s">
        <v>920</v>
      </c>
      <c r="C4990" s="2">
        <v>341</v>
      </c>
      <c r="D4990" s="2" t="s">
        <v>1052</v>
      </c>
      <c r="E4990" s="2" t="s">
        <v>7620</v>
      </c>
      <c r="F4990" s="2" t="s">
        <v>7650</v>
      </c>
      <c r="G4990" s="2" t="s">
        <v>7622</v>
      </c>
    </row>
    <row r="4991" spans="1:7">
      <c r="A4991" s="3">
        <v>230</v>
      </c>
      <c r="B4991" s="3" t="s">
        <v>920</v>
      </c>
      <c r="C4991" s="3">
        <v>343</v>
      </c>
      <c r="D4991" s="3" t="s">
        <v>977</v>
      </c>
      <c r="E4991" s="3" t="s">
        <v>7620</v>
      </c>
      <c r="F4991" s="3" t="s">
        <v>7650</v>
      </c>
      <c r="G4991" s="3" t="s">
        <v>7625</v>
      </c>
    </row>
    <row r="4992" spans="1:7">
      <c r="A4992" s="2">
        <v>231</v>
      </c>
      <c r="B4992" s="2" t="s">
        <v>923</v>
      </c>
      <c r="C4992" s="2">
        <v>264</v>
      </c>
      <c r="D4992" s="2" t="s">
        <v>775</v>
      </c>
      <c r="E4992" s="2" t="s">
        <v>7618</v>
      </c>
      <c r="F4992" s="2" t="s">
        <v>7611</v>
      </c>
      <c r="G4992" s="2" t="s">
        <v>7617</v>
      </c>
    </row>
    <row r="4993" spans="1:7">
      <c r="A4993" s="3">
        <v>231</v>
      </c>
      <c r="B4993" s="3" t="s">
        <v>923</v>
      </c>
      <c r="C4993" s="3">
        <v>341</v>
      </c>
      <c r="D4993" s="3" t="s">
        <v>1052</v>
      </c>
      <c r="E4993" s="3" t="s">
        <v>7620</v>
      </c>
      <c r="F4993" s="3" t="s">
        <v>7611</v>
      </c>
      <c r="G4993" s="3" t="s">
        <v>7633</v>
      </c>
    </row>
    <row r="4994" spans="1:7">
      <c r="A4994" s="2">
        <v>231</v>
      </c>
      <c r="B4994" s="2" t="s">
        <v>923</v>
      </c>
      <c r="C4994" s="2">
        <v>343</v>
      </c>
      <c r="D4994" s="2" t="s">
        <v>977</v>
      </c>
      <c r="E4994" s="2" t="s">
        <v>7620</v>
      </c>
      <c r="F4994" s="2" t="s">
        <v>7611</v>
      </c>
      <c r="G4994" s="2" t="s">
        <v>7625</v>
      </c>
    </row>
    <row r="4995" spans="1:7">
      <c r="A4995" s="3">
        <v>232</v>
      </c>
      <c r="B4995" s="3" t="s">
        <v>933</v>
      </c>
      <c r="C4995" s="3">
        <v>264</v>
      </c>
      <c r="D4995" s="3" t="s">
        <v>775</v>
      </c>
      <c r="E4995" s="3" t="s">
        <v>7618</v>
      </c>
      <c r="F4995" s="3" t="s">
        <v>7608</v>
      </c>
      <c r="G4995" s="3" t="s">
        <v>7633</v>
      </c>
    </row>
    <row r="4996" spans="1:7">
      <c r="A4996" s="2">
        <v>233</v>
      </c>
      <c r="B4996" s="2" t="s">
        <v>937</v>
      </c>
      <c r="C4996" s="2">
        <v>264</v>
      </c>
      <c r="D4996" s="2" t="s">
        <v>775</v>
      </c>
      <c r="E4996" s="2" t="s">
        <v>7620</v>
      </c>
      <c r="F4996" s="2" t="s">
        <v>7611</v>
      </c>
      <c r="G4996" s="2" t="s">
        <v>7625</v>
      </c>
    </row>
    <row r="4997" spans="1:7">
      <c r="A4997" s="3">
        <v>233</v>
      </c>
      <c r="B4997" s="3" t="s">
        <v>937</v>
      </c>
      <c r="C4997" s="3">
        <v>341</v>
      </c>
      <c r="D4997" s="3" t="s">
        <v>1052</v>
      </c>
      <c r="E4997" s="3" t="s">
        <v>7620</v>
      </c>
      <c r="F4997" s="3" t="s">
        <v>7611</v>
      </c>
      <c r="G4997" s="3" t="s">
        <v>7625</v>
      </c>
    </row>
    <row r="4998" spans="1:7">
      <c r="A4998" s="2">
        <v>233</v>
      </c>
      <c r="B4998" s="2" t="s">
        <v>937</v>
      </c>
      <c r="C4998" s="2">
        <v>343</v>
      </c>
      <c r="D4998" s="2" t="s">
        <v>977</v>
      </c>
      <c r="E4998" s="2" t="s">
        <v>7620</v>
      </c>
      <c r="F4998" s="2" t="s">
        <v>7611</v>
      </c>
      <c r="G4998" s="2" t="s">
        <v>7625</v>
      </c>
    </row>
    <row r="4999" spans="1:7">
      <c r="A4999" s="3">
        <v>242</v>
      </c>
      <c r="B4999" s="3" t="s">
        <v>939</v>
      </c>
      <c r="C4999" s="3">
        <v>343</v>
      </c>
      <c r="D4999" s="3" t="s">
        <v>977</v>
      </c>
      <c r="E4999" s="3" t="s">
        <v>7620</v>
      </c>
      <c r="F4999" s="3" t="s">
        <v>7751</v>
      </c>
      <c r="G4999" s="3" t="s">
        <v>7625</v>
      </c>
    </row>
    <row r="5000" spans="1:7">
      <c r="A5000" s="2">
        <v>243</v>
      </c>
      <c r="B5000" s="2" t="s">
        <v>941</v>
      </c>
      <c r="C5000" s="2">
        <v>264</v>
      </c>
      <c r="D5000" s="2" t="s">
        <v>775</v>
      </c>
      <c r="E5000" s="2" t="s">
        <v>7618</v>
      </c>
      <c r="F5000" s="2" t="s">
        <v>7608</v>
      </c>
      <c r="G5000" s="2" t="s">
        <v>7633</v>
      </c>
    </row>
    <row r="5001" spans="1:7">
      <c r="A5001" s="3">
        <v>249</v>
      </c>
      <c r="B5001" s="3" t="s">
        <v>927</v>
      </c>
      <c r="C5001" s="3">
        <v>343</v>
      </c>
      <c r="D5001" s="3" t="s">
        <v>977</v>
      </c>
      <c r="E5001" s="3" t="s">
        <v>7620</v>
      </c>
      <c r="F5001" s="3" t="s">
        <v>7751</v>
      </c>
      <c r="G5001" s="3" t="s">
        <v>7625</v>
      </c>
    </row>
    <row r="5002" spans="1:7">
      <c r="A5002" s="2">
        <v>251</v>
      </c>
      <c r="B5002" s="2" t="s">
        <v>819</v>
      </c>
      <c r="C5002" s="2">
        <v>264</v>
      </c>
      <c r="D5002" s="2" t="s">
        <v>775</v>
      </c>
      <c r="E5002" s="2" t="s">
        <v>7620</v>
      </c>
      <c r="F5002" s="2" t="s">
        <v>7611</v>
      </c>
      <c r="G5002" s="2" t="s">
        <v>7625</v>
      </c>
    </row>
    <row r="5003" spans="1:7">
      <c r="A5003" s="3">
        <v>251</v>
      </c>
      <c r="B5003" s="3" t="s">
        <v>819</v>
      </c>
      <c r="C5003" s="3">
        <v>341</v>
      </c>
      <c r="D5003" s="3" t="s">
        <v>1052</v>
      </c>
      <c r="E5003" s="3" t="s">
        <v>7620</v>
      </c>
      <c r="F5003" s="3" t="s">
        <v>7611</v>
      </c>
      <c r="G5003" s="3" t="s">
        <v>7621</v>
      </c>
    </row>
    <row r="5004" spans="1:7">
      <c r="A5004" s="2">
        <v>251</v>
      </c>
      <c r="B5004" s="2" t="s">
        <v>819</v>
      </c>
      <c r="C5004" s="2">
        <v>343</v>
      </c>
      <c r="D5004" s="2" t="s">
        <v>977</v>
      </c>
      <c r="E5004" s="2" t="s">
        <v>7620</v>
      </c>
      <c r="F5004" s="2" t="s">
        <v>7611</v>
      </c>
      <c r="G5004" s="2" t="s">
        <v>7625</v>
      </c>
    </row>
    <row r="5005" spans="1:7">
      <c r="A5005" s="3">
        <v>254</v>
      </c>
      <c r="B5005" s="3" t="s">
        <v>837</v>
      </c>
      <c r="C5005" s="3">
        <v>264</v>
      </c>
      <c r="D5005" s="3" t="s">
        <v>775</v>
      </c>
      <c r="E5005" s="3" t="s">
        <v>7630</v>
      </c>
      <c r="F5005" s="3" t="s">
        <v>7649</v>
      </c>
      <c r="G5005" s="3" t="s">
        <v>7619</v>
      </c>
    </row>
    <row r="5006" spans="1:7">
      <c r="A5006" s="2">
        <v>254</v>
      </c>
      <c r="B5006" s="2" t="s">
        <v>837</v>
      </c>
      <c r="C5006" s="2">
        <v>341</v>
      </c>
      <c r="D5006" s="2" t="s">
        <v>1052</v>
      </c>
      <c r="E5006" s="2" t="s">
        <v>7620</v>
      </c>
      <c r="F5006" s="2" t="s">
        <v>7649</v>
      </c>
      <c r="G5006" s="2" t="s">
        <v>7609</v>
      </c>
    </row>
    <row r="5007" spans="1:7">
      <c r="A5007" s="3">
        <v>254</v>
      </c>
      <c r="B5007" s="3" t="s">
        <v>837</v>
      </c>
      <c r="C5007" s="3">
        <v>343</v>
      </c>
      <c r="D5007" s="3" t="s">
        <v>977</v>
      </c>
      <c r="E5007" s="3" t="s">
        <v>7620</v>
      </c>
      <c r="F5007" s="3" t="s">
        <v>7649</v>
      </c>
      <c r="G5007" s="3" t="s">
        <v>7622</v>
      </c>
    </row>
    <row r="5008" spans="1:7">
      <c r="A5008" s="2">
        <v>256</v>
      </c>
      <c r="B5008" s="2" t="s">
        <v>785</v>
      </c>
      <c r="C5008" s="2">
        <v>264</v>
      </c>
      <c r="D5008" s="2" t="s">
        <v>775</v>
      </c>
      <c r="E5008" s="2" t="s">
        <v>7618</v>
      </c>
      <c r="F5008" s="2" t="s">
        <v>7611</v>
      </c>
      <c r="G5008" s="2" t="s">
        <v>7617</v>
      </c>
    </row>
    <row r="5009" spans="1:7">
      <c r="A5009" s="3">
        <v>256</v>
      </c>
      <c r="B5009" s="3" t="s">
        <v>785</v>
      </c>
      <c r="C5009" s="3">
        <v>341</v>
      </c>
      <c r="D5009" s="3" t="s">
        <v>1052</v>
      </c>
      <c r="E5009" s="3" t="s">
        <v>7620</v>
      </c>
      <c r="F5009" s="3" t="s">
        <v>7611</v>
      </c>
      <c r="G5009" s="3" t="s">
        <v>7621</v>
      </c>
    </row>
    <row r="5010" spans="1:7">
      <c r="A5010" s="2">
        <v>256</v>
      </c>
      <c r="B5010" s="2" t="s">
        <v>785</v>
      </c>
      <c r="C5010" s="2">
        <v>343</v>
      </c>
      <c r="D5010" s="2" t="s">
        <v>977</v>
      </c>
      <c r="E5010" s="2" t="s">
        <v>7620</v>
      </c>
      <c r="F5010" s="2" t="s">
        <v>7611</v>
      </c>
      <c r="G5010" s="2" t="s">
        <v>7625</v>
      </c>
    </row>
    <row r="5011" spans="1:7">
      <c r="A5011" s="3">
        <v>257</v>
      </c>
      <c r="B5011" s="3" t="s">
        <v>876</v>
      </c>
      <c r="C5011" s="3">
        <v>264</v>
      </c>
      <c r="D5011" s="3" t="s">
        <v>775</v>
      </c>
      <c r="E5011" s="3" t="s">
        <v>7620</v>
      </c>
      <c r="F5011" s="3" t="s">
        <v>7611</v>
      </c>
      <c r="G5011" s="3" t="s">
        <v>7625</v>
      </c>
    </row>
    <row r="5012" spans="1:7">
      <c r="A5012" s="2">
        <v>257</v>
      </c>
      <c r="B5012" s="2" t="s">
        <v>876</v>
      </c>
      <c r="C5012" s="2">
        <v>341</v>
      </c>
      <c r="D5012" s="2" t="s">
        <v>1052</v>
      </c>
      <c r="E5012" s="2" t="s">
        <v>7620</v>
      </c>
      <c r="F5012" s="2" t="s">
        <v>7611</v>
      </c>
      <c r="G5012" s="2" t="s">
        <v>7625</v>
      </c>
    </row>
    <row r="5013" spans="1:7">
      <c r="A5013" s="3">
        <v>257</v>
      </c>
      <c r="B5013" s="3" t="s">
        <v>876</v>
      </c>
      <c r="C5013" s="3">
        <v>343</v>
      </c>
      <c r="D5013" s="3" t="s">
        <v>977</v>
      </c>
      <c r="E5013" s="3" t="s">
        <v>7620</v>
      </c>
      <c r="F5013" s="3" t="s">
        <v>7611</v>
      </c>
      <c r="G5013" s="3" t="s">
        <v>7625</v>
      </c>
    </row>
    <row r="5014" spans="1:7">
      <c r="A5014" s="2">
        <v>258</v>
      </c>
      <c r="B5014" s="2" t="s">
        <v>882</v>
      </c>
      <c r="C5014" s="2">
        <v>264</v>
      </c>
      <c r="D5014" s="2" t="s">
        <v>775</v>
      </c>
      <c r="E5014" s="2" t="s">
        <v>7618</v>
      </c>
      <c r="F5014" s="2" t="s">
        <v>7608</v>
      </c>
      <c r="G5014" s="2" t="s">
        <v>7633</v>
      </c>
    </row>
    <row r="5015" spans="1:7">
      <c r="A5015" s="3">
        <v>258</v>
      </c>
      <c r="B5015" s="3" t="s">
        <v>882</v>
      </c>
      <c r="C5015" s="3">
        <v>341</v>
      </c>
      <c r="D5015" s="3" t="s">
        <v>1052</v>
      </c>
      <c r="E5015" s="3" t="s">
        <v>7620</v>
      </c>
      <c r="F5015" s="3" t="s">
        <v>7608</v>
      </c>
      <c r="G5015" s="3" t="s">
        <v>7625</v>
      </c>
    </row>
    <row r="5016" spans="1:7">
      <c r="A5016" s="2">
        <v>262</v>
      </c>
      <c r="B5016" s="2" t="s">
        <v>355</v>
      </c>
      <c r="C5016" s="2">
        <v>264</v>
      </c>
      <c r="D5016" s="2" t="s">
        <v>775</v>
      </c>
      <c r="E5016" s="2" t="s">
        <v>7618</v>
      </c>
      <c r="F5016" s="2" t="s">
        <v>7611</v>
      </c>
      <c r="G5016" s="2" t="s">
        <v>7617</v>
      </c>
    </row>
    <row r="5017" spans="1:7">
      <c r="A5017" s="3">
        <v>262</v>
      </c>
      <c r="B5017" s="3" t="s">
        <v>355</v>
      </c>
      <c r="C5017" s="3">
        <v>341</v>
      </c>
      <c r="D5017" s="3" t="s">
        <v>1052</v>
      </c>
      <c r="E5017" s="3" t="s">
        <v>7620</v>
      </c>
      <c r="F5017" s="3" t="s">
        <v>7611</v>
      </c>
      <c r="G5017" s="3" t="s">
        <v>7622</v>
      </c>
    </row>
    <row r="5018" spans="1:7">
      <c r="A5018" s="2">
        <v>262</v>
      </c>
      <c r="B5018" s="2" t="s">
        <v>355</v>
      </c>
      <c r="C5018" s="2">
        <v>343</v>
      </c>
      <c r="D5018" s="2" t="s">
        <v>977</v>
      </c>
      <c r="E5018" s="2" t="s">
        <v>7620</v>
      </c>
      <c r="F5018" s="2" t="s">
        <v>7611</v>
      </c>
      <c r="G5018" s="2" t="s">
        <v>7621</v>
      </c>
    </row>
    <row r="5019" spans="1:7">
      <c r="A5019" s="3">
        <v>264</v>
      </c>
      <c r="B5019" s="3" t="s">
        <v>775</v>
      </c>
      <c r="C5019" s="3">
        <v>265</v>
      </c>
      <c r="D5019" s="3" t="s">
        <v>860</v>
      </c>
      <c r="E5019" s="3" t="s">
        <v>7620</v>
      </c>
      <c r="F5019" s="3" t="s">
        <v>7611</v>
      </c>
      <c r="G5019" s="3" t="s">
        <v>7621</v>
      </c>
    </row>
    <row r="5020" spans="1:7">
      <c r="A5020" s="2">
        <v>264</v>
      </c>
      <c r="B5020" s="2" t="s">
        <v>775</v>
      </c>
      <c r="C5020" s="2">
        <v>266</v>
      </c>
      <c r="D5020" s="2" t="s">
        <v>826</v>
      </c>
      <c r="E5020" s="2" t="s">
        <v>7716</v>
      </c>
      <c r="F5020" s="2" t="s">
        <v>7659</v>
      </c>
      <c r="G5020" s="2" t="s">
        <v>7612</v>
      </c>
    </row>
    <row r="5021" spans="1:7">
      <c r="A5021" s="3">
        <v>264</v>
      </c>
      <c r="B5021" s="3" t="s">
        <v>775</v>
      </c>
      <c r="C5021" s="3">
        <v>267</v>
      </c>
      <c r="D5021" s="3" t="s">
        <v>801</v>
      </c>
      <c r="E5021" s="3" t="s">
        <v>7618</v>
      </c>
      <c r="F5021" s="3" t="s">
        <v>7649</v>
      </c>
      <c r="G5021" s="3" t="s">
        <v>7634</v>
      </c>
    </row>
    <row r="5022" spans="1:7">
      <c r="A5022" s="2">
        <v>264</v>
      </c>
      <c r="B5022" s="2" t="s">
        <v>775</v>
      </c>
      <c r="C5022" s="2">
        <v>269</v>
      </c>
      <c r="D5022" s="2" t="s">
        <v>825</v>
      </c>
      <c r="E5022" s="2" t="s">
        <v>7618</v>
      </c>
      <c r="F5022" s="2" t="s">
        <v>7649</v>
      </c>
      <c r="G5022" s="2" t="s">
        <v>7619</v>
      </c>
    </row>
    <row r="5023" spans="1:7">
      <c r="A5023" s="3">
        <v>264</v>
      </c>
      <c r="B5023" s="3" t="s">
        <v>775</v>
      </c>
      <c r="C5023" s="3">
        <v>270</v>
      </c>
      <c r="D5023" s="3" t="s">
        <v>769</v>
      </c>
      <c r="E5023" s="3" t="s">
        <v>7620</v>
      </c>
      <c r="F5023" s="3" t="s">
        <v>7611</v>
      </c>
      <c r="G5023" s="3" t="s">
        <v>7621</v>
      </c>
    </row>
    <row r="5024" spans="1:7">
      <c r="A5024" s="2">
        <v>264</v>
      </c>
      <c r="B5024" s="2" t="s">
        <v>775</v>
      </c>
      <c r="C5024" s="2">
        <v>272</v>
      </c>
      <c r="D5024" s="2" t="s">
        <v>873</v>
      </c>
      <c r="E5024" s="2" t="s">
        <v>7618</v>
      </c>
      <c r="F5024" s="2" t="s">
        <v>7628</v>
      </c>
      <c r="G5024" s="2" t="s">
        <v>7619</v>
      </c>
    </row>
    <row r="5025" spans="1:7">
      <c r="A5025" s="3">
        <v>264</v>
      </c>
      <c r="B5025" s="3" t="s">
        <v>775</v>
      </c>
      <c r="C5025" s="3">
        <v>273</v>
      </c>
      <c r="D5025" s="3" t="s">
        <v>816</v>
      </c>
      <c r="E5025" s="3" t="s">
        <v>7620</v>
      </c>
      <c r="F5025" s="3" t="s">
        <v>7650</v>
      </c>
      <c r="G5025" s="3" t="s">
        <v>7621</v>
      </c>
    </row>
    <row r="5026" spans="1:7">
      <c r="A5026" s="2">
        <v>264</v>
      </c>
      <c r="B5026" s="2" t="s">
        <v>775</v>
      </c>
      <c r="C5026" s="2">
        <v>275</v>
      </c>
      <c r="D5026" s="2" t="s">
        <v>781</v>
      </c>
      <c r="E5026" s="2" t="s">
        <v>7630</v>
      </c>
      <c r="F5026" s="2" t="s">
        <v>7649</v>
      </c>
      <c r="G5026" s="2" t="s">
        <v>7619</v>
      </c>
    </row>
    <row r="5027" spans="1:7">
      <c r="A5027" s="3">
        <v>264</v>
      </c>
      <c r="B5027" s="3" t="s">
        <v>775</v>
      </c>
      <c r="C5027" s="3">
        <v>276</v>
      </c>
      <c r="D5027" s="3" t="s">
        <v>842</v>
      </c>
      <c r="E5027" s="3" t="s">
        <v>7618</v>
      </c>
      <c r="F5027" s="3" t="s">
        <v>7611</v>
      </c>
      <c r="G5027" s="3" t="s">
        <v>7617</v>
      </c>
    </row>
    <row r="5028" spans="1:7">
      <c r="A5028" s="2">
        <v>264</v>
      </c>
      <c r="B5028" s="2" t="s">
        <v>775</v>
      </c>
      <c r="C5028" s="2">
        <v>277</v>
      </c>
      <c r="D5028" s="2" t="s">
        <v>796</v>
      </c>
      <c r="E5028" s="2" t="s">
        <v>7620</v>
      </c>
      <c r="F5028" s="2" t="s">
        <v>7650</v>
      </c>
      <c r="G5028" s="2" t="s">
        <v>7621</v>
      </c>
    </row>
    <row r="5029" spans="1:7">
      <c r="A5029" s="3">
        <v>264</v>
      </c>
      <c r="B5029" s="3" t="s">
        <v>775</v>
      </c>
      <c r="C5029" s="3">
        <v>280</v>
      </c>
      <c r="D5029" s="3" t="s">
        <v>847</v>
      </c>
      <c r="E5029" s="3" t="s">
        <v>7645</v>
      </c>
      <c r="F5029" s="3" t="s">
        <v>7611</v>
      </c>
      <c r="G5029" s="3" t="s">
        <v>7621</v>
      </c>
    </row>
    <row r="5030" spans="1:7">
      <c r="A5030" s="2">
        <v>264</v>
      </c>
      <c r="B5030" s="2" t="s">
        <v>775</v>
      </c>
      <c r="C5030" s="2">
        <v>281</v>
      </c>
      <c r="D5030" s="2" t="s">
        <v>856</v>
      </c>
      <c r="E5030" s="2" t="s">
        <v>7618</v>
      </c>
      <c r="F5030" s="2" t="s">
        <v>7659</v>
      </c>
      <c r="G5030" s="2" t="s">
        <v>7639</v>
      </c>
    </row>
    <row r="5031" spans="1:7">
      <c r="A5031" s="3">
        <v>264</v>
      </c>
      <c r="B5031" s="3" t="s">
        <v>775</v>
      </c>
      <c r="C5031" s="3">
        <v>282</v>
      </c>
      <c r="D5031" s="3" t="s">
        <v>885</v>
      </c>
      <c r="E5031" s="3" t="s">
        <v>7630</v>
      </c>
      <c r="F5031" s="3" t="s">
        <v>7649</v>
      </c>
      <c r="G5031" s="3" t="s">
        <v>7619</v>
      </c>
    </row>
    <row r="5032" spans="1:7">
      <c r="A5032" s="2">
        <v>264</v>
      </c>
      <c r="B5032" s="2" t="s">
        <v>775</v>
      </c>
      <c r="C5032" s="2">
        <v>284</v>
      </c>
      <c r="D5032" s="2" t="s">
        <v>854</v>
      </c>
      <c r="E5032" s="2" t="s">
        <v>7618</v>
      </c>
      <c r="F5032" s="2" t="s">
        <v>7628</v>
      </c>
      <c r="G5032" s="2" t="s">
        <v>7619</v>
      </c>
    </row>
    <row r="5033" spans="1:7">
      <c r="A5033" s="3">
        <v>264</v>
      </c>
      <c r="B5033" s="3" t="s">
        <v>775</v>
      </c>
      <c r="C5033" s="3">
        <v>285</v>
      </c>
      <c r="D5033" s="3" t="s">
        <v>854</v>
      </c>
      <c r="E5033" s="3" t="s">
        <v>7620</v>
      </c>
      <c r="F5033" s="3" t="s">
        <v>7611</v>
      </c>
      <c r="G5033" s="3" t="s">
        <v>7621</v>
      </c>
    </row>
    <row r="5034" spans="1:7">
      <c r="A5034" s="2">
        <v>264</v>
      </c>
      <c r="B5034" s="2" t="s">
        <v>775</v>
      </c>
      <c r="C5034" s="2">
        <v>286</v>
      </c>
      <c r="D5034" s="2" t="s">
        <v>807</v>
      </c>
      <c r="E5034" s="2" t="s">
        <v>7620</v>
      </c>
      <c r="F5034" s="2" t="s">
        <v>7649</v>
      </c>
      <c r="G5034" s="2" t="s">
        <v>7622</v>
      </c>
    </row>
    <row r="5035" spans="1:7">
      <c r="A5035" s="3">
        <v>264</v>
      </c>
      <c r="B5035" s="3" t="s">
        <v>775</v>
      </c>
      <c r="C5035" s="3">
        <v>287</v>
      </c>
      <c r="D5035" s="3" t="s">
        <v>929</v>
      </c>
      <c r="E5035" s="3" t="s">
        <v>7630</v>
      </c>
      <c r="F5035" s="3" t="s">
        <v>7611</v>
      </c>
      <c r="G5035" s="3" t="s">
        <v>7617</v>
      </c>
    </row>
    <row r="5036" spans="1:7">
      <c r="A5036" s="2">
        <v>264</v>
      </c>
      <c r="B5036" s="2" t="s">
        <v>775</v>
      </c>
      <c r="C5036" s="2">
        <v>288</v>
      </c>
      <c r="D5036" s="2" t="s">
        <v>805</v>
      </c>
      <c r="E5036" s="2" t="s">
        <v>7618</v>
      </c>
      <c r="F5036" s="2" t="s">
        <v>7611</v>
      </c>
      <c r="G5036" s="2" t="s">
        <v>7617</v>
      </c>
    </row>
    <row r="5037" spans="1:7">
      <c r="A5037" s="3">
        <v>264</v>
      </c>
      <c r="B5037" s="3" t="s">
        <v>775</v>
      </c>
      <c r="C5037" s="3">
        <v>290</v>
      </c>
      <c r="D5037" s="3" t="s">
        <v>854</v>
      </c>
      <c r="E5037" s="3" t="s">
        <v>7620</v>
      </c>
      <c r="F5037" s="3" t="s">
        <v>7611</v>
      </c>
      <c r="G5037" s="3" t="s">
        <v>7625</v>
      </c>
    </row>
    <row r="5038" spans="1:7">
      <c r="A5038" s="2">
        <v>264</v>
      </c>
      <c r="B5038" s="2" t="s">
        <v>775</v>
      </c>
      <c r="C5038" s="2">
        <v>293</v>
      </c>
      <c r="D5038" s="2" t="s">
        <v>854</v>
      </c>
      <c r="E5038" s="2" t="s">
        <v>7618</v>
      </c>
      <c r="F5038" s="2" t="s">
        <v>7611</v>
      </c>
      <c r="G5038" s="2" t="s">
        <v>7617</v>
      </c>
    </row>
    <row r="5039" spans="1:7">
      <c r="A5039" s="3">
        <v>264</v>
      </c>
      <c r="B5039" s="3" t="s">
        <v>775</v>
      </c>
      <c r="C5039" s="3">
        <v>294</v>
      </c>
      <c r="D5039" s="3" t="s">
        <v>854</v>
      </c>
      <c r="E5039" s="3" t="s">
        <v>7618</v>
      </c>
      <c r="F5039" s="3" t="s">
        <v>7608</v>
      </c>
      <c r="G5039" s="3" t="s">
        <v>7633</v>
      </c>
    </row>
    <row r="5040" spans="1:7">
      <c r="A5040" s="2">
        <v>264</v>
      </c>
      <c r="B5040" s="2" t="s">
        <v>775</v>
      </c>
      <c r="C5040" s="2">
        <v>295</v>
      </c>
      <c r="D5040" s="2" t="s">
        <v>854</v>
      </c>
      <c r="E5040" s="2" t="s">
        <v>7620</v>
      </c>
      <c r="F5040" s="2" t="s">
        <v>7635</v>
      </c>
      <c r="G5040" s="2" t="s">
        <v>7621</v>
      </c>
    </row>
    <row r="5041" spans="1:7">
      <c r="A5041" s="3">
        <v>264</v>
      </c>
      <c r="B5041" s="3" t="s">
        <v>775</v>
      </c>
      <c r="C5041" s="3">
        <v>297</v>
      </c>
      <c r="D5041" s="3" t="s">
        <v>833</v>
      </c>
      <c r="E5041" s="3" t="s">
        <v>7618</v>
      </c>
      <c r="F5041" s="3" t="s">
        <v>7608</v>
      </c>
      <c r="G5041" s="3" t="s">
        <v>7633</v>
      </c>
    </row>
    <row r="5042" spans="1:7">
      <c r="A5042" s="2">
        <v>264</v>
      </c>
      <c r="B5042" s="2" t="s">
        <v>775</v>
      </c>
      <c r="C5042" s="2">
        <v>301</v>
      </c>
      <c r="D5042" s="2" t="s">
        <v>850</v>
      </c>
      <c r="E5042" s="2" t="s">
        <v>7655</v>
      </c>
      <c r="F5042" s="2" t="s">
        <v>7650</v>
      </c>
      <c r="G5042" s="2" t="s">
        <v>7617</v>
      </c>
    </row>
    <row r="5043" spans="1:7">
      <c r="A5043" s="3">
        <v>264</v>
      </c>
      <c r="B5043" s="3" t="s">
        <v>775</v>
      </c>
      <c r="C5043" s="3">
        <v>302</v>
      </c>
      <c r="D5043" s="3" t="s">
        <v>916</v>
      </c>
      <c r="E5043" s="3" t="s">
        <v>7620</v>
      </c>
      <c r="F5043" s="3" t="s">
        <v>7628</v>
      </c>
      <c r="G5043" s="3" t="s">
        <v>7622</v>
      </c>
    </row>
    <row r="5044" spans="1:7">
      <c r="A5044" s="2">
        <v>264</v>
      </c>
      <c r="B5044" s="2" t="s">
        <v>775</v>
      </c>
      <c r="C5044" s="2">
        <v>303</v>
      </c>
      <c r="D5044" s="2" t="s">
        <v>854</v>
      </c>
      <c r="E5044" s="2" t="s">
        <v>7620</v>
      </c>
      <c r="F5044" s="2" t="s">
        <v>7611</v>
      </c>
      <c r="G5044" s="2" t="s">
        <v>7621</v>
      </c>
    </row>
    <row r="5045" spans="1:7">
      <c r="A5045" s="3">
        <v>264</v>
      </c>
      <c r="B5045" s="3" t="s">
        <v>775</v>
      </c>
      <c r="C5045" s="3">
        <v>307</v>
      </c>
      <c r="D5045" s="3" t="s">
        <v>854</v>
      </c>
      <c r="E5045" s="3" t="s">
        <v>7620</v>
      </c>
      <c r="F5045" s="3" t="s">
        <v>7611</v>
      </c>
      <c r="G5045" s="3" t="s">
        <v>7625</v>
      </c>
    </row>
    <row r="5046" spans="1:7">
      <c r="A5046" s="2">
        <v>264</v>
      </c>
      <c r="B5046" s="2" t="s">
        <v>775</v>
      </c>
      <c r="C5046" s="2">
        <v>308</v>
      </c>
      <c r="D5046" s="2" t="s">
        <v>854</v>
      </c>
      <c r="E5046" s="2" t="s">
        <v>7618</v>
      </c>
      <c r="F5046" s="2" t="s">
        <v>7608</v>
      </c>
      <c r="G5046" s="2" t="s">
        <v>7633</v>
      </c>
    </row>
    <row r="5047" spans="1:7">
      <c r="A5047" s="3">
        <v>264</v>
      </c>
      <c r="B5047" s="3" t="s">
        <v>775</v>
      </c>
      <c r="C5047" s="3">
        <v>311</v>
      </c>
      <c r="D5047" s="3" t="s">
        <v>954</v>
      </c>
      <c r="E5047" s="3" t="s">
        <v>7635</v>
      </c>
      <c r="F5047" s="3" t="s">
        <v>7635</v>
      </c>
      <c r="G5047" s="3" t="s">
        <v>7622</v>
      </c>
    </row>
    <row r="5048" spans="1:7">
      <c r="A5048" s="2">
        <v>264</v>
      </c>
      <c r="B5048" s="2" t="s">
        <v>775</v>
      </c>
      <c r="C5048" s="2">
        <v>312</v>
      </c>
      <c r="D5048" s="2" t="s">
        <v>949</v>
      </c>
      <c r="E5048" s="2" t="s">
        <v>7635</v>
      </c>
      <c r="F5048" s="2" t="s">
        <v>7659</v>
      </c>
      <c r="G5048" s="2" t="s">
        <v>7636</v>
      </c>
    </row>
    <row r="5049" spans="1:7">
      <c r="A5049" s="3">
        <v>264</v>
      </c>
      <c r="B5049" s="3" t="s">
        <v>775</v>
      </c>
      <c r="C5049" s="3">
        <v>314</v>
      </c>
      <c r="D5049" s="3" t="s">
        <v>1050</v>
      </c>
      <c r="E5049" s="3" t="s">
        <v>7635</v>
      </c>
      <c r="F5049" s="3" t="s">
        <v>7652</v>
      </c>
      <c r="G5049" s="3" t="s">
        <v>7609</v>
      </c>
    </row>
    <row r="5050" spans="1:7">
      <c r="A5050" s="2">
        <v>264</v>
      </c>
      <c r="B5050" s="2" t="s">
        <v>775</v>
      </c>
      <c r="C5050" s="2">
        <v>316</v>
      </c>
      <c r="D5050" s="2" t="s">
        <v>1028</v>
      </c>
      <c r="E5050" s="2" t="s">
        <v>7620</v>
      </c>
      <c r="F5050" s="2" t="s">
        <v>7650</v>
      </c>
      <c r="G5050" s="2" t="s">
        <v>7625</v>
      </c>
    </row>
    <row r="5051" spans="1:7">
      <c r="A5051" s="3">
        <v>264</v>
      </c>
      <c r="B5051" s="3" t="s">
        <v>775</v>
      </c>
      <c r="C5051" s="3">
        <v>317</v>
      </c>
      <c r="D5051" s="3" t="s">
        <v>1030</v>
      </c>
      <c r="E5051" s="3" t="s">
        <v>7618</v>
      </c>
      <c r="F5051" s="3" t="s">
        <v>7611</v>
      </c>
      <c r="G5051" s="3" t="s">
        <v>7617</v>
      </c>
    </row>
    <row r="5052" spans="1:7">
      <c r="A5052" s="2">
        <v>264</v>
      </c>
      <c r="B5052" s="2" t="s">
        <v>775</v>
      </c>
      <c r="C5052" s="2">
        <v>318</v>
      </c>
      <c r="D5052" s="2" t="s">
        <v>1032</v>
      </c>
      <c r="E5052" s="2" t="s">
        <v>7618</v>
      </c>
      <c r="F5052" s="2" t="s">
        <v>7611</v>
      </c>
      <c r="G5052" s="2" t="s">
        <v>7617</v>
      </c>
    </row>
    <row r="5053" spans="1:7">
      <c r="A5053" s="3">
        <v>264</v>
      </c>
      <c r="B5053" s="3" t="s">
        <v>775</v>
      </c>
      <c r="C5053" s="3">
        <v>319</v>
      </c>
      <c r="D5053" s="3" t="s">
        <v>1035</v>
      </c>
      <c r="E5053" s="3" t="s">
        <v>7635</v>
      </c>
      <c r="F5053" s="3" t="s">
        <v>7628</v>
      </c>
      <c r="G5053" s="3" t="s">
        <v>7609</v>
      </c>
    </row>
    <row r="5054" spans="1:7">
      <c r="A5054" s="2">
        <v>264</v>
      </c>
      <c r="B5054" s="2" t="s">
        <v>775</v>
      </c>
      <c r="C5054" s="2">
        <v>320</v>
      </c>
      <c r="D5054" s="2" t="s">
        <v>1039</v>
      </c>
      <c r="E5054" s="2" t="s">
        <v>7635</v>
      </c>
      <c r="F5054" s="2" t="s">
        <v>7652</v>
      </c>
      <c r="G5054" s="2" t="s">
        <v>7617</v>
      </c>
    </row>
    <row r="5055" spans="1:7">
      <c r="A5055" s="3">
        <v>264</v>
      </c>
      <c r="B5055" s="3" t="s">
        <v>775</v>
      </c>
      <c r="C5055" s="3">
        <v>321</v>
      </c>
      <c r="D5055" s="3" t="s">
        <v>1048</v>
      </c>
      <c r="E5055" s="3" t="s">
        <v>7618</v>
      </c>
      <c r="F5055" s="3" t="s">
        <v>7649</v>
      </c>
      <c r="G5055" s="3" t="s">
        <v>7634</v>
      </c>
    </row>
    <row r="5056" spans="1:7">
      <c r="A5056" s="2">
        <v>264</v>
      </c>
      <c r="B5056" s="2" t="s">
        <v>775</v>
      </c>
      <c r="C5056" s="2">
        <v>322</v>
      </c>
      <c r="D5056" s="2" t="s">
        <v>1012</v>
      </c>
      <c r="E5056" s="2" t="s">
        <v>7635</v>
      </c>
      <c r="F5056" s="2" t="s">
        <v>7652</v>
      </c>
      <c r="G5056" s="2" t="s">
        <v>7617</v>
      </c>
    </row>
    <row r="5057" spans="1:7">
      <c r="A5057" s="3">
        <v>264</v>
      </c>
      <c r="B5057" s="3" t="s">
        <v>775</v>
      </c>
      <c r="C5057" s="3">
        <v>323</v>
      </c>
      <c r="D5057" s="3" t="s">
        <v>1016</v>
      </c>
      <c r="E5057" s="3" t="s">
        <v>7618</v>
      </c>
      <c r="F5057" s="3" t="s">
        <v>7649</v>
      </c>
      <c r="G5057" s="3" t="s">
        <v>7634</v>
      </c>
    </row>
    <row r="5058" spans="1:7">
      <c r="A5058" s="2">
        <v>264</v>
      </c>
      <c r="B5058" s="2" t="s">
        <v>775</v>
      </c>
      <c r="C5058" s="2">
        <v>325</v>
      </c>
      <c r="D5058" s="2" t="s">
        <v>1020</v>
      </c>
      <c r="E5058" s="2" t="s">
        <v>7618</v>
      </c>
      <c r="F5058" s="2" t="s">
        <v>7611</v>
      </c>
      <c r="G5058" s="2" t="s">
        <v>7636</v>
      </c>
    </row>
    <row r="5059" spans="1:7">
      <c r="A5059" s="3">
        <v>264</v>
      </c>
      <c r="B5059" s="3" t="s">
        <v>775</v>
      </c>
      <c r="C5059" s="3">
        <v>326</v>
      </c>
      <c r="D5059" s="3" t="s">
        <v>1022</v>
      </c>
      <c r="E5059" s="3" t="s">
        <v>7618</v>
      </c>
      <c r="F5059" s="3" t="s">
        <v>7628</v>
      </c>
      <c r="G5059" s="3" t="s">
        <v>7619</v>
      </c>
    </row>
    <row r="5060" spans="1:7">
      <c r="A5060" s="2">
        <v>264</v>
      </c>
      <c r="B5060" s="2" t="s">
        <v>775</v>
      </c>
      <c r="C5060" s="2">
        <v>327</v>
      </c>
      <c r="D5060" s="2" t="s">
        <v>1025</v>
      </c>
      <c r="E5060" s="2" t="s">
        <v>7618</v>
      </c>
      <c r="F5060" s="2" t="s">
        <v>7628</v>
      </c>
      <c r="G5060" s="2" t="s">
        <v>7619</v>
      </c>
    </row>
    <row r="5061" spans="1:7">
      <c r="A5061" s="3">
        <v>264</v>
      </c>
      <c r="B5061" s="3" t="s">
        <v>775</v>
      </c>
      <c r="C5061" s="3">
        <v>328</v>
      </c>
      <c r="D5061" s="3" t="s">
        <v>1026</v>
      </c>
      <c r="E5061" s="3" t="s">
        <v>7618</v>
      </c>
      <c r="F5061" s="3" t="s">
        <v>7649</v>
      </c>
      <c r="G5061" s="3" t="s">
        <v>7619</v>
      </c>
    </row>
    <row r="5062" spans="1:7">
      <c r="A5062" s="2">
        <v>264</v>
      </c>
      <c r="B5062" s="2" t="s">
        <v>775</v>
      </c>
      <c r="C5062" s="2">
        <v>329</v>
      </c>
      <c r="D5062" s="2" t="s">
        <v>965</v>
      </c>
      <c r="E5062" s="2" t="s">
        <v>7618</v>
      </c>
      <c r="F5062" s="2" t="s">
        <v>7649</v>
      </c>
      <c r="G5062" s="2" t="s">
        <v>7619</v>
      </c>
    </row>
    <row r="5063" spans="1:7">
      <c r="A5063" s="3">
        <v>264</v>
      </c>
      <c r="B5063" s="3" t="s">
        <v>775</v>
      </c>
      <c r="C5063" s="3">
        <v>330</v>
      </c>
      <c r="D5063" s="3" t="s">
        <v>974</v>
      </c>
      <c r="E5063" s="3" t="s">
        <v>7618</v>
      </c>
      <c r="F5063" s="3" t="s">
        <v>7652</v>
      </c>
      <c r="G5063" s="3" t="s">
        <v>7619</v>
      </c>
    </row>
    <row r="5064" spans="1:7">
      <c r="A5064" s="2">
        <v>264</v>
      </c>
      <c r="B5064" s="2" t="s">
        <v>775</v>
      </c>
      <c r="C5064" s="2">
        <v>332</v>
      </c>
      <c r="D5064" s="2" t="s">
        <v>986</v>
      </c>
      <c r="E5064" s="2" t="s">
        <v>7645</v>
      </c>
      <c r="F5064" s="2" t="s">
        <v>7611</v>
      </c>
      <c r="G5064" s="2" t="s">
        <v>7621</v>
      </c>
    </row>
    <row r="5065" spans="1:7">
      <c r="A5065" s="3">
        <v>264</v>
      </c>
      <c r="B5065" s="3" t="s">
        <v>775</v>
      </c>
      <c r="C5065" s="3">
        <v>333</v>
      </c>
      <c r="D5065" s="3" t="s">
        <v>989</v>
      </c>
      <c r="E5065" s="3" t="s">
        <v>7618</v>
      </c>
      <c r="F5065" s="3" t="s">
        <v>7649</v>
      </c>
      <c r="G5065" s="3" t="s">
        <v>7619</v>
      </c>
    </row>
    <row r="5066" spans="1:7">
      <c r="A5066" s="2">
        <v>264</v>
      </c>
      <c r="B5066" s="2" t="s">
        <v>775</v>
      </c>
      <c r="C5066" s="2">
        <v>334</v>
      </c>
      <c r="D5066" s="2" t="s">
        <v>970</v>
      </c>
      <c r="E5066" s="2" t="s">
        <v>7655</v>
      </c>
      <c r="F5066" s="2" t="s">
        <v>7659</v>
      </c>
      <c r="G5066" s="2" t="s">
        <v>7639</v>
      </c>
    </row>
    <row r="5067" spans="1:7">
      <c r="A5067" s="3">
        <v>264</v>
      </c>
      <c r="B5067" s="3" t="s">
        <v>775</v>
      </c>
      <c r="C5067" s="3">
        <v>335</v>
      </c>
      <c r="D5067" s="3" t="s">
        <v>1057</v>
      </c>
      <c r="E5067" s="3" t="s">
        <v>7620</v>
      </c>
      <c r="F5067" s="3" t="s">
        <v>7611</v>
      </c>
      <c r="G5067" s="3" t="s">
        <v>7625</v>
      </c>
    </row>
    <row r="5068" spans="1:7">
      <c r="A5068" s="2">
        <v>264</v>
      </c>
      <c r="B5068" s="2" t="s">
        <v>775</v>
      </c>
      <c r="C5068" s="2">
        <v>336</v>
      </c>
      <c r="D5068" s="2" t="s">
        <v>992</v>
      </c>
      <c r="E5068" s="2" t="s">
        <v>7620</v>
      </c>
      <c r="F5068" s="2" t="s">
        <v>7611</v>
      </c>
      <c r="G5068" s="2" t="s">
        <v>7625</v>
      </c>
    </row>
    <row r="5069" spans="1:7">
      <c r="A5069" s="3">
        <v>264</v>
      </c>
      <c r="B5069" s="3" t="s">
        <v>775</v>
      </c>
      <c r="C5069" s="3">
        <v>337</v>
      </c>
      <c r="D5069" s="3" t="s">
        <v>1042</v>
      </c>
      <c r="E5069" s="3" t="s">
        <v>7620</v>
      </c>
      <c r="F5069" s="3" t="s">
        <v>7649</v>
      </c>
      <c r="G5069" s="3" t="s">
        <v>7633</v>
      </c>
    </row>
    <row r="5070" spans="1:7">
      <c r="A5070" s="2">
        <v>264</v>
      </c>
      <c r="B5070" s="2" t="s">
        <v>775</v>
      </c>
      <c r="C5070" s="2">
        <v>338</v>
      </c>
      <c r="D5070" s="2" t="s">
        <v>996</v>
      </c>
      <c r="E5070" s="2" t="s">
        <v>7620</v>
      </c>
      <c r="F5070" s="2" t="s">
        <v>7649</v>
      </c>
      <c r="G5070" s="2" t="s">
        <v>7622</v>
      </c>
    </row>
    <row r="5071" spans="1:7">
      <c r="A5071" s="3">
        <v>264</v>
      </c>
      <c r="B5071" s="3" t="s">
        <v>775</v>
      </c>
      <c r="C5071" s="3">
        <v>339</v>
      </c>
      <c r="D5071" s="3" t="s">
        <v>1058</v>
      </c>
      <c r="E5071" s="3" t="s">
        <v>7620</v>
      </c>
      <c r="F5071" s="3" t="s">
        <v>7611</v>
      </c>
      <c r="G5071" s="3" t="s">
        <v>7621</v>
      </c>
    </row>
    <row r="5072" spans="1:7">
      <c r="A5072" s="2">
        <v>264</v>
      </c>
      <c r="B5072" s="2" t="s">
        <v>775</v>
      </c>
      <c r="C5072" s="2">
        <v>340</v>
      </c>
      <c r="D5072" s="2" t="s">
        <v>1000</v>
      </c>
      <c r="E5072" s="2" t="s">
        <v>7620</v>
      </c>
      <c r="F5072" s="2" t="s">
        <v>7650</v>
      </c>
      <c r="G5072" s="2" t="s">
        <v>7621</v>
      </c>
    </row>
    <row r="5073" spans="1:7">
      <c r="A5073" s="3">
        <v>264</v>
      </c>
      <c r="B5073" s="3" t="s">
        <v>775</v>
      </c>
      <c r="C5073" s="3">
        <v>341</v>
      </c>
      <c r="D5073" s="3" t="s">
        <v>1052</v>
      </c>
      <c r="E5073" s="3" t="s">
        <v>7655</v>
      </c>
      <c r="F5073" s="3" t="s">
        <v>7649</v>
      </c>
      <c r="G5073" s="3" t="s">
        <v>7634</v>
      </c>
    </row>
    <row r="5074" spans="1:7">
      <c r="A5074" s="2">
        <v>264</v>
      </c>
      <c r="B5074" s="2" t="s">
        <v>775</v>
      </c>
      <c r="C5074" s="2">
        <v>343</v>
      </c>
      <c r="D5074" s="2" t="s">
        <v>977</v>
      </c>
      <c r="E5074" s="2" t="s">
        <v>7694</v>
      </c>
      <c r="F5074" s="2" t="s">
        <v>7659</v>
      </c>
      <c r="G5074" s="2" t="s">
        <v>7632</v>
      </c>
    </row>
    <row r="5075" spans="1:7">
      <c r="A5075" s="3">
        <v>264</v>
      </c>
      <c r="B5075" s="3" t="s">
        <v>775</v>
      </c>
      <c r="C5075" s="3">
        <v>402</v>
      </c>
      <c r="D5075" s="3" t="s">
        <v>1120</v>
      </c>
      <c r="E5075" s="3" t="s">
        <v>7645</v>
      </c>
      <c r="F5075" s="3" t="s">
        <v>7649</v>
      </c>
      <c r="G5075" s="3" t="s">
        <v>7633</v>
      </c>
    </row>
    <row r="5076" spans="1:7">
      <c r="A5076" s="2">
        <v>264</v>
      </c>
      <c r="B5076" s="2" t="s">
        <v>775</v>
      </c>
      <c r="C5076" s="2">
        <v>405</v>
      </c>
      <c r="D5076" s="2" t="s">
        <v>1110</v>
      </c>
      <c r="E5076" s="2" t="s">
        <v>7630</v>
      </c>
      <c r="F5076" s="2" t="s">
        <v>7611</v>
      </c>
      <c r="G5076" s="2" t="s">
        <v>7617</v>
      </c>
    </row>
    <row r="5077" spans="1:7">
      <c r="A5077" s="3">
        <v>264</v>
      </c>
      <c r="B5077" s="3" t="s">
        <v>775</v>
      </c>
      <c r="C5077" s="3">
        <v>406</v>
      </c>
      <c r="D5077" s="3" t="s">
        <v>1114</v>
      </c>
      <c r="E5077" s="3" t="s">
        <v>7618</v>
      </c>
      <c r="F5077" s="3" t="s">
        <v>7628</v>
      </c>
      <c r="G5077" s="3" t="s">
        <v>7619</v>
      </c>
    </row>
    <row r="5078" spans="1:7">
      <c r="A5078" s="2">
        <v>264</v>
      </c>
      <c r="B5078" s="2" t="s">
        <v>775</v>
      </c>
      <c r="C5078" s="2">
        <v>408</v>
      </c>
      <c r="D5078" s="2" t="s">
        <v>1131</v>
      </c>
      <c r="E5078" s="2" t="s">
        <v>7618</v>
      </c>
      <c r="F5078" s="2" t="s">
        <v>7608</v>
      </c>
      <c r="G5078" s="2" t="s">
        <v>7633</v>
      </c>
    </row>
    <row r="5079" spans="1:7">
      <c r="A5079" s="3">
        <v>264</v>
      </c>
      <c r="B5079" s="3" t="s">
        <v>775</v>
      </c>
      <c r="C5079" s="3">
        <v>409</v>
      </c>
      <c r="D5079" s="3" t="s">
        <v>1126</v>
      </c>
      <c r="E5079" s="3" t="s">
        <v>7618</v>
      </c>
      <c r="F5079" s="3" t="s">
        <v>7611</v>
      </c>
      <c r="G5079" s="3" t="s">
        <v>7617</v>
      </c>
    </row>
    <row r="5080" spans="1:7">
      <c r="A5080" s="2">
        <v>264</v>
      </c>
      <c r="B5080" s="2" t="s">
        <v>775</v>
      </c>
      <c r="C5080" s="2">
        <v>410</v>
      </c>
      <c r="D5080" s="2" t="s">
        <v>1123</v>
      </c>
      <c r="E5080" s="2" t="s">
        <v>7620</v>
      </c>
      <c r="F5080" s="2" t="s">
        <v>7611</v>
      </c>
      <c r="G5080" s="2" t="s">
        <v>7625</v>
      </c>
    </row>
    <row r="5081" spans="1:7">
      <c r="A5081" s="3">
        <v>265</v>
      </c>
      <c r="B5081" s="3" t="s">
        <v>860</v>
      </c>
      <c r="C5081" s="3">
        <v>341</v>
      </c>
      <c r="D5081" s="3" t="s">
        <v>1052</v>
      </c>
      <c r="E5081" s="3" t="s">
        <v>7620</v>
      </c>
      <c r="F5081" s="3" t="s">
        <v>7611</v>
      </c>
      <c r="G5081" s="3" t="s">
        <v>7621</v>
      </c>
    </row>
    <row r="5082" spans="1:7">
      <c r="A5082" s="2">
        <v>265</v>
      </c>
      <c r="B5082" s="2" t="s">
        <v>860</v>
      </c>
      <c r="C5082" s="2">
        <v>343</v>
      </c>
      <c r="D5082" s="2" t="s">
        <v>977</v>
      </c>
      <c r="E5082" s="2" t="s">
        <v>7620</v>
      </c>
      <c r="F5082" s="2" t="s">
        <v>7611</v>
      </c>
      <c r="G5082" s="2" t="s">
        <v>7625</v>
      </c>
    </row>
    <row r="5083" spans="1:7">
      <c r="A5083" s="3">
        <v>266</v>
      </c>
      <c r="B5083" s="3" t="s">
        <v>826</v>
      </c>
      <c r="C5083" s="3">
        <v>312</v>
      </c>
      <c r="D5083" s="3" t="s">
        <v>949</v>
      </c>
      <c r="E5083" s="3" t="s">
        <v>7608</v>
      </c>
      <c r="F5083" s="3" t="s">
        <v>7659</v>
      </c>
      <c r="G5083" s="3" t="s">
        <v>7625</v>
      </c>
    </row>
    <row r="5084" spans="1:7">
      <c r="A5084" s="2">
        <v>266</v>
      </c>
      <c r="B5084" s="2" t="s">
        <v>826</v>
      </c>
      <c r="C5084" s="2">
        <v>341</v>
      </c>
      <c r="D5084" s="2" t="s">
        <v>1052</v>
      </c>
      <c r="E5084" s="2" t="s">
        <v>7655</v>
      </c>
      <c r="F5084" s="2" t="s">
        <v>7649</v>
      </c>
      <c r="G5084" s="2" t="s">
        <v>7639</v>
      </c>
    </row>
    <row r="5085" spans="1:7">
      <c r="A5085" s="3">
        <v>266</v>
      </c>
      <c r="B5085" s="3" t="s">
        <v>826</v>
      </c>
      <c r="C5085" s="3">
        <v>343</v>
      </c>
      <c r="D5085" s="3" t="s">
        <v>977</v>
      </c>
      <c r="E5085" s="3" t="s">
        <v>7620</v>
      </c>
      <c r="F5085" s="3" t="s">
        <v>7659</v>
      </c>
      <c r="G5085" s="3" t="s">
        <v>7609</v>
      </c>
    </row>
    <row r="5086" spans="1:7">
      <c r="A5086" s="2">
        <v>267</v>
      </c>
      <c r="B5086" s="2" t="s">
        <v>801</v>
      </c>
      <c r="C5086" s="2">
        <v>312</v>
      </c>
      <c r="D5086" s="2" t="s">
        <v>949</v>
      </c>
      <c r="E5086" s="2" t="s">
        <v>7608</v>
      </c>
      <c r="F5086" s="2" t="s">
        <v>7720</v>
      </c>
      <c r="G5086" s="2" t="s">
        <v>7621</v>
      </c>
    </row>
    <row r="5087" spans="1:7">
      <c r="A5087" s="3">
        <v>267</v>
      </c>
      <c r="B5087" s="3" t="s">
        <v>801</v>
      </c>
      <c r="C5087" s="3">
        <v>341</v>
      </c>
      <c r="D5087" s="3" t="s">
        <v>1052</v>
      </c>
      <c r="E5087" s="3" t="s">
        <v>7620</v>
      </c>
      <c r="F5087" s="3" t="s">
        <v>7649</v>
      </c>
      <c r="G5087" s="3" t="s">
        <v>7617</v>
      </c>
    </row>
    <row r="5088" spans="1:7">
      <c r="A5088" s="2">
        <v>267</v>
      </c>
      <c r="B5088" s="2" t="s">
        <v>801</v>
      </c>
      <c r="C5088" s="2">
        <v>343</v>
      </c>
      <c r="D5088" s="2" t="s">
        <v>977</v>
      </c>
      <c r="E5088" s="2" t="s">
        <v>7620</v>
      </c>
      <c r="F5088" s="2" t="s">
        <v>7752</v>
      </c>
      <c r="G5088" s="2" t="s">
        <v>7617</v>
      </c>
    </row>
    <row r="5089" spans="1:7">
      <c r="A5089" s="3">
        <v>268</v>
      </c>
      <c r="B5089" s="3" t="s">
        <v>934</v>
      </c>
      <c r="C5089" s="3">
        <v>343</v>
      </c>
      <c r="D5089" s="3" t="s">
        <v>977</v>
      </c>
      <c r="E5089" s="3" t="s">
        <v>7620</v>
      </c>
      <c r="F5089" s="3" t="s">
        <v>7751</v>
      </c>
      <c r="G5089" s="3" t="s">
        <v>7621</v>
      </c>
    </row>
    <row r="5090" spans="1:7">
      <c r="A5090" s="2">
        <v>269</v>
      </c>
      <c r="B5090" s="2" t="s">
        <v>825</v>
      </c>
      <c r="C5090" s="2">
        <v>341</v>
      </c>
      <c r="D5090" s="2" t="s">
        <v>1052</v>
      </c>
      <c r="E5090" s="2" t="s">
        <v>7620</v>
      </c>
      <c r="F5090" s="2" t="s">
        <v>7649</v>
      </c>
      <c r="G5090" s="2" t="s">
        <v>7633</v>
      </c>
    </row>
    <row r="5091" spans="1:7">
      <c r="A5091" s="3">
        <v>269</v>
      </c>
      <c r="B5091" s="3" t="s">
        <v>825</v>
      </c>
      <c r="C5091" s="3">
        <v>343</v>
      </c>
      <c r="D5091" s="3" t="s">
        <v>977</v>
      </c>
      <c r="E5091" s="3" t="s">
        <v>7620</v>
      </c>
      <c r="F5091" s="3" t="s">
        <v>7649</v>
      </c>
      <c r="G5091" s="3" t="s">
        <v>7622</v>
      </c>
    </row>
    <row r="5092" spans="1:7">
      <c r="A5092" s="2">
        <v>270</v>
      </c>
      <c r="B5092" s="2" t="s">
        <v>769</v>
      </c>
      <c r="C5092" s="2">
        <v>341</v>
      </c>
      <c r="D5092" s="2" t="s">
        <v>1052</v>
      </c>
      <c r="E5092" s="2" t="s">
        <v>7620</v>
      </c>
      <c r="F5092" s="2" t="s">
        <v>7611</v>
      </c>
      <c r="G5092" s="2" t="s">
        <v>7633</v>
      </c>
    </row>
    <row r="5093" spans="1:7">
      <c r="A5093" s="3">
        <v>270</v>
      </c>
      <c r="B5093" s="3" t="s">
        <v>769</v>
      </c>
      <c r="C5093" s="3">
        <v>343</v>
      </c>
      <c r="D5093" s="3" t="s">
        <v>977</v>
      </c>
      <c r="E5093" s="3" t="s">
        <v>7620</v>
      </c>
      <c r="F5093" s="3" t="s">
        <v>7611</v>
      </c>
      <c r="G5093" s="3" t="s">
        <v>7625</v>
      </c>
    </row>
    <row r="5094" spans="1:7">
      <c r="A5094" s="2">
        <v>272</v>
      </c>
      <c r="B5094" s="2" t="s">
        <v>873</v>
      </c>
      <c r="C5094" s="2">
        <v>312</v>
      </c>
      <c r="D5094" s="2" t="s">
        <v>949</v>
      </c>
      <c r="E5094" s="2" t="s">
        <v>7608</v>
      </c>
      <c r="F5094" s="2" t="s">
        <v>7631</v>
      </c>
      <c r="G5094" s="2" t="s">
        <v>7625</v>
      </c>
    </row>
    <row r="5095" spans="1:7">
      <c r="A5095" s="3">
        <v>272</v>
      </c>
      <c r="B5095" s="3" t="s">
        <v>873</v>
      </c>
      <c r="C5095" s="3">
        <v>341</v>
      </c>
      <c r="D5095" s="3" t="s">
        <v>1052</v>
      </c>
      <c r="E5095" s="3" t="s">
        <v>7620</v>
      </c>
      <c r="F5095" s="3" t="s">
        <v>7611</v>
      </c>
      <c r="G5095" s="3" t="s">
        <v>7633</v>
      </c>
    </row>
    <row r="5096" spans="1:7">
      <c r="A5096" s="2">
        <v>272</v>
      </c>
      <c r="B5096" s="2" t="s">
        <v>873</v>
      </c>
      <c r="C5096" s="2">
        <v>343</v>
      </c>
      <c r="D5096" s="2" t="s">
        <v>977</v>
      </c>
      <c r="E5096" s="2" t="s">
        <v>7620</v>
      </c>
      <c r="F5096" s="2" t="s">
        <v>7628</v>
      </c>
      <c r="G5096" s="2" t="s">
        <v>7622</v>
      </c>
    </row>
    <row r="5097" spans="1:7">
      <c r="A5097" s="3">
        <v>273</v>
      </c>
      <c r="B5097" s="3" t="s">
        <v>816</v>
      </c>
      <c r="C5097" s="3">
        <v>341</v>
      </c>
      <c r="D5097" s="3" t="s">
        <v>1052</v>
      </c>
      <c r="E5097" s="3" t="s">
        <v>7620</v>
      </c>
      <c r="F5097" s="3" t="s">
        <v>7650</v>
      </c>
      <c r="G5097" s="3" t="s">
        <v>7622</v>
      </c>
    </row>
    <row r="5098" spans="1:7">
      <c r="A5098" s="2">
        <v>273</v>
      </c>
      <c r="B5098" s="2" t="s">
        <v>816</v>
      </c>
      <c r="C5098" s="2">
        <v>343</v>
      </c>
      <c r="D5098" s="2" t="s">
        <v>977</v>
      </c>
      <c r="E5098" s="2" t="s">
        <v>7620</v>
      </c>
      <c r="F5098" s="2" t="s">
        <v>7728</v>
      </c>
      <c r="G5098" s="2" t="s">
        <v>7633</v>
      </c>
    </row>
    <row r="5099" spans="1:7">
      <c r="A5099" s="3">
        <v>275</v>
      </c>
      <c r="B5099" s="3" t="s">
        <v>781</v>
      </c>
      <c r="C5099" s="3">
        <v>341</v>
      </c>
      <c r="D5099" s="3" t="s">
        <v>1052</v>
      </c>
      <c r="E5099" s="3" t="s">
        <v>7620</v>
      </c>
      <c r="F5099" s="3" t="s">
        <v>7649</v>
      </c>
      <c r="G5099" s="3" t="s">
        <v>7633</v>
      </c>
    </row>
    <row r="5100" spans="1:7">
      <c r="A5100" s="2">
        <v>275</v>
      </c>
      <c r="B5100" s="2" t="s">
        <v>781</v>
      </c>
      <c r="C5100" s="2">
        <v>343</v>
      </c>
      <c r="D5100" s="2" t="s">
        <v>977</v>
      </c>
      <c r="E5100" s="2" t="s">
        <v>7620</v>
      </c>
      <c r="F5100" s="2" t="s">
        <v>7649</v>
      </c>
      <c r="G5100" s="2" t="s">
        <v>7622</v>
      </c>
    </row>
    <row r="5101" spans="1:7">
      <c r="A5101" s="3">
        <v>276</v>
      </c>
      <c r="B5101" s="3" t="s">
        <v>842</v>
      </c>
      <c r="C5101" s="3">
        <v>341</v>
      </c>
      <c r="D5101" s="3" t="s">
        <v>1052</v>
      </c>
      <c r="E5101" s="3" t="s">
        <v>7620</v>
      </c>
      <c r="F5101" s="3" t="s">
        <v>7611</v>
      </c>
      <c r="G5101" s="3" t="s">
        <v>7622</v>
      </c>
    </row>
    <row r="5102" spans="1:7">
      <c r="A5102" s="2">
        <v>276</v>
      </c>
      <c r="B5102" s="2" t="s">
        <v>842</v>
      </c>
      <c r="C5102" s="2">
        <v>343</v>
      </c>
      <c r="D5102" s="2" t="s">
        <v>977</v>
      </c>
      <c r="E5102" s="2" t="s">
        <v>7620</v>
      </c>
      <c r="F5102" s="2" t="s">
        <v>7611</v>
      </c>
      <c r="G5102" s="2" t="s">
        <v>7625</v>
      </c>
    </row>
    <row r="5103" spans="1:7">
      <c r="A5103" s="3">
        <v>277</v>
      </c>
      <c r="B5103" s="3" t="s">
        <v>796</v>
      </c>
      <c r="C5103" s="3">
        <v>341</v>
      </c>
      <c r="D5103" s="3" t="s">
        <v>1052</v>
      </c>
      <c r="E5103" s="3" t="s">
        <v>7620</v>
      </c>
      <c r="F5103" s="3" t="s">
        <v>7650</v>
      </c>
      <c r="G5103" s="3" t="s">
        <v>7622</v>
      </c>
    </row>
    <row r="5104" spans="1:7">
      <c r="A5104" s="2">
        <v>277</v>
      </c>
      <c r="B5104" s="2" t="s">
        <v>796</v>
      </c>
      <c r="C5104" s="2">
        <v>343</v>
      </c>
      <c r="D5104" s="2" t="s">
        <v>977</v>
      </c>
      <c r="E5104" s="2" t="s">
        <v>7620</v>
      </c>
      <c r="F5104" s="2" t="s">
        <v>7650</v>
      </c>
      <c r="G5104" s="2" t="s">
        <v>7625</v>
      </c>
    </row>
    <row r="5105" spans="1:7">
      <c r="A5105" s="3">
        <v>281</v>
      </c>
      <c r="B5105" s="3" t="s">
        <v>856</v>
      </c>
      <c r="C5105" s="3">
        <v>312</v>
      </c>
      <c r="D5105" s="3" t="s">
        <v>949</v>
      </c>
      <c r="E5105" s="3" t="s">
        <v>7608</v>
      </c>
      <c r="F5105" s="3" t="s">
        <v>7659</v>
      </c>
      <c r="G5105" s="3" t="s">
        <v>7625</v>
      </c>
    </row>
    <row r="5106" spans="1:7">
      <c r="A5106" s="2">
        <v>281</v>
      </c>
      <c r="B5106" s="2" t="s">
        <v>856</v>
      </c>
      <c r="C5106" s="2">
        <v>341</v>
      </c>
      <c r="D5106" s="2" t="s">
        <v>1052</v>
      </c>
      <c r="E5106" s="2" t="s">
        <v>7620</v>
      </c>
      <c r="F5106" s="2" t="s">
        <v>7649</v>
      </c>
      <c r="G5106" s="2" t="s">
        <v>7617</v>
      </c>
    </row>
    <row r="5107" spans="1:7">
      <c r="A5107" s="3">
        <v>281</v>
      </c>
      <c r="B5107" s="3" t="s">
        <v>856</v>
      </c>
      <c r="C5107" s="3">
        <v>343</v>
      </c>
      <c r="D5107" s="3" t="s">
        <v>977</v>
      </c>
      <c r="E5107" s="3" t="s">
        <v>7620</v>
      </c>
      <c r="F5107" s="3" t="s">
        <v>7659</v>
      </c>
      <c r="G5107" s="3" t="s">
        <v>7617</v>
      </c>
    </row>
    <row r="5108" spans="1:7">
      <c r="A5108" s="2">
        <v>282</v>
      </c>
      <c r="B5108" s="2" t="s">
        <v>885</v>
      </c>
      <c r="C5108" s="2">
        <v>341</v>
      </c>
      <c r="D5108" s="2" t="s">
        <v>1052</v>
      </c>
      <c r="E5108" s="2" t="s">
        <v>7620</v>
      </c>
      <c r="F5108" s="2" t="s">
        <v>7649</v>
      </c>
      <c r="G5108" s="2" t="s">
        <v>7633</v>
      </c>
    </row>
    <row r="5109" spans="1:7">
      <c r="A5109" s="3">
        <v>282</v>
      </c>
      <c r="B5109" s="3" t="s">
        <v>885</v>
      </c>
      <c r="C5109" s="3">
        <v>343</v>
      </c>
      <c r="D5109" s="3" t="s">
        <v>977</v>
      </c>
      <c r="E5109" s="3" t="s">
        <v>7620</v>
      </c>
      <c r="F5109" s="3" t="s">
        <v>7649</v>
      </c>
      <c r="G5109" s="3" t="s">
        <v>7622</v>
      </c>
    </row>
    <row r="5110" spans="1:7">
      <c r="A5110" s="2">
        <v>284</v>
      </c>
      <c r="B5110" s="2" t="s">
        <v>854</v>
      </c>
      <c r="C5110" s="2">
        <v>341</v>
      </c>
      <c r="D5110" s="2" t="s">
        <v>1052</v>
      </c>
      <c r="E5110" s="2" t="s">
        <v>7620</v>
      </c>
      <c r="F5110" s="2" t="s">
        <v>7611</v>
      </c>
      <c r="G5110" s="2" t="s">
        <v>7622</v>
      </c>
    </row>
    <row r="5111" spans="1:7">
      <c r="A5111" s="3">
        <v>284</v>
      </c>
      <c r="B5111" s="3" t="s">
        <v>854</v>
      </c>
      <c r="C5111" s="3">
        <v>343</v>
      </c>
      <c r="D5111" s="3" t="s">
        <v>977</v>
      </c>
      <c r="E5111" s="3" t="s">
        <v>7620</v>
      </c>
      <c r="F5111" s="3" t="s">
        <v>7628</v>
      </c>
      <c r="G5111" s="3" t="s">
        <v>7633</v>
      </c>
    </row>
    <row r="5112" spans="1:7">
      <c r="A5112" s="2">
        <v>285</v>
      </c>
      <c r="B5112" s="2" t="s">
        <v>854</v>
      </c>
      <c r="C5112" s="2">
        <v>341</v>
      </c>
      <c r="D5112" s="2" t="s">
        <v>1052</v>
      </c>
      <c r="E5112" s="2" t="s">
        <v>7620</v>
      </c>
      <c r="F5112" s="2" t="s">
        <v>7611</v>
      </c>
      <c r="G5112" s="2" t="s">
        <v>7621</v>
      </c>
    </row>
    <row r="5113" spans="1:7">
      <c r="A5113" s="3">
        <v>285</v>
      </c>
      <c r="B5113" s="3" t="s">
        <v>854</v>
      </c>
      <c r="C5113" s="3">
        <v>343</v>
      </c>
      <c r="D5113" s="3" t="s">
        <v>977</v>
      </c>
      <c r="E5113" s="3" t="s">
        <v>7620</v>
      </c>
      <c r="F5113" s="3" t="s">
        <v>7611</v>
      </c>
      <c r="G5113" s="3" t="s">
        <v>7621</v>
      </c>
    </row>
    <row r="5114" spans="1:7">
      <c r="A5114" s="2">
        <v>286</v>
      </c>
      <c r="B5114" s="2" t="s">
        <v>807</v>
      </c>
      <c r="C5114" s="2">
        <v>341</v>
      </c>
      <c r="D5114" s="2" t="s">
        <v>1052</v>
      </c>
      <c r="E5114" s="2" t="s">
        <v>7620</v>
      </c>
      <c r="F5114" s="2" t="s">
        <v>7649</v>
      </c>
      <c r="G5114" s="2" t="s">
        <v>7633</v>
      </c>
    </row>
    <row r="5115" spans="1:7">
      <c r="A5115" s="3">
        <v>286</v>
      </c>
      <c r="B5115" s="3" t="s">
        <v>807</v>
      </c>
      <c r="C5115" s="3">
        <v>343</v>
      </c>
      <c r="D5115" s="3" t="s">
        <v>977</v>
      </c>
      <c r="E5115" s="3" t="s">
        <v>7620</v>
      </c>
      <c r="F5115" s="3" t="s">
        <v>7649</v>
      </c>
      <c r="G5115" s="3" t="s">
        <v>7622</v>
      </c>
    </row>
    <row r="5116" spans="1:7">
      <c r="A5116" s="2">
        <v>287</v>
      </c>
      <c r="B5116" s="2" t="s">
        <v>929</v>
      </c>
      <c r="C5116" s="2">
        <v>341</v>
      </c>
      <c r="D5116" s="2" t="s">
        <v>1052</v>
      </c>
      <c r="E5116" s="2" t="s">
        <v>7620</v>
      </c>
      <c r="F5116" s="2" t="s">
        <v>7611</v>
      </c>
      <c r="G5116" s="2" t="s">
        <v>7621</v>
      </c>
    </row>
    <row r="5117" spans="1:7">
      <c r="A5117" s="3">
        <v>287</v>
      </c>
      <c r="B5117" s="3" t="s">
        <v>929</v>
      </c>
      <c r="C5117" s="3">
        <v>343</v>
      </c>
      <c r="D5117" s="3" t="s">
        <v>977</v>
      </c>
      <c r="E5117" s="3" t="s">
        <v>7620</v>
      </c>
      <c r="F5117" s="3" t="s">
        <v>7611</v>
      </c>
      <c r="G5117" s="3" t="s">
        <v>7625</v>
      </c>
    </row>
    <row r="5118" spans="1:7">
      <c r="A5118" s="2">
        <v>288</v>
      </c>
      <c r="B5118" s="2" t="s">
        <v>805</v>
      </c>
      <c r="C5118" s="2">
        <v>341</v>
      </c>
      <c r="D5118" s="2" t="s">
        <v>1052</v>
      </c>
      <c r="E5118" s="2" t="s">
        <v>7620</v>
      </c>
      <c r="F5118" s="2" t="s">
        <v>7611</v>
      </c>
      <c r="G5118" s="2" t="s">
        <v>7633</v>
      </c>
    </row>
    <row r="5119" spans="1:7">
      <c r="A5119" s="3">
        <v>288</v>
      </c>
      <c r="B5119" s="3" t="s">
        <v>805</v>
      </c>
      <c r="C5119" s="3">
        <v>343</v>
      </c>
      <c r="D5119" s="3" t="s">
        <v>977</v>
      </c>
      <c r="E5119" s="3" t="s">
        <v>7620</v>
      </c>
      <c r="F5119" s="3" t="s">
        <v>7611</v>
      </c>
      <c r="G5119" s="3" t="s">
        <v>7625</v>
      </c>
    </row>
    <row r="5120" spans="1:7">
      <c r="A5120" s="2">
        <v>289</v>
      </c>
      <c r="B5120" s="2" t="s">
        <v>854</v>
      </c>
      <c r="C5120" s="2">
        <v>341</v>
      </c>
      <c r="D5120" s="2" t="s">
        <v>1052</v>
      </c>
      <c r="E5120" s="2" t="s">
        <v>7620</v>
      </c>
      <c r="F5120" s="2" t="s">
        <v>7608</v>
      </c>
      <c r="G5120" s="2" t="s">
        <v>7625</v>
      </c>
    </row>
    <row r="5121" spans="1:7">
      <c r="A5121" s="3">
        <v>290</v>
      </c>
      <c r="B5121" s="3" t="s">
        <v>854</v>
      </c>
      <c r="C5121" s="3">
        <v>341</v>
      </c>
      <c r="D5121" s="3" t="s">
        <v>1052</v>
      </c>
      <c r="E5121" s="3" t="s">
        <v>7620</v>
      </c>
      <c r="F5121" s="3" t="s">
        <v>7611</v>
      </c>
      <c r="G5121" s="3" t="s">
        <v>7621</v>
      </c>
    </row>
    <row r="5122" spans="1:7">
      <c r="A5122" s="2">
        <v>290</v>
      </c>
      <c r="B5122" s="2" t="s">
        <v>854</v>
      </c>
      <c r="C5122" s="2">
        <v>343</v>
      </c>
      <c r="D5122" s="2" t="s">
        <v>977</v>
      </c>
      <c r="E5122" s="2" t="s">
        <v>7620</v>
      </c>
      <c r="F5122" s="2" t="s">
        <v>7611</v>
      </c>
      <c r="G5122" s="2" t="s">
        <v>7625</v>
      </c>
    </row>
    <row r="5123" spans="1:7">
      <c r="A5123" s="3">
        <v>293</v>
      </c>
      <c r="B5123" s="3" t="s">
        <v>854</v>
      </c>
      <c r="C5123" s="3">
        <v>341</v>
      </c>
      <c r="D5123" s="3" t="s">
        <v>1052</v>
      </c>
      <c r="E5123" s="3" t="s">
        <v>7620</v>
      </c>
      <c r="F5123" s="3" t="s">
        <v>7611</v>
      </c>
      <c r="G5123" s="3" t="s">
        <v>7621</v>
      </c>
    </row>
    <row r="5124" spans="1:7">
      <c r="A5124" s="2">
        <v>293</v>
      </c>
      <c r="B5124" s="2" t="s">
        <v>854</v>
      </c>
      <c r="C5124" s="2">
        <v>343</v>
      </c>
      <c r="D5124" s="2" t="s">
        <v>977</v>
      </c>
      <c r="E5124" s="2" t="s">
        <v>7620</v>
      </c>
      <c r="F5124" s="2" t="s">
        <v>7611</v>
      </c>
      <c r="G5124" s="2" t="s">
        <v>7625</v>
      </c>
    </row>
    <row r="5125" spans="1:7">
      <c r="A5125" s="3">
        <v>294</v>
      </c>
      <c r="B5125" s="3" t="s">
        <v>854</v>
      </c>
      <c r="C5125" s="3">
        <v>341</v>
      </c>
      <c r="D5125" s="3" t="s">
        <v>1052</v>
      </c>
      <c r="E5125" s="3" t="s">
        <v>7620</v>
      </c>
      <c r="F5125" s="3" t="s">
        <v>7608</v>
      </c>
      <c r="G5125" s="3" t="s">
        <v>7625</v>
      </c>
    </row>
    <row r="5126" spans="1:7">
      <c r="A5126" s="2">
        <v>294</v>
      </c>
      <c r="B5126" s="2" t="s">
        <v>854</v>
      </c>
      <c r="C5126" s="2">
        <v>343</v>
      </c>
      <c r="D5126" s="2" t="s">
        <v>977</v>
      </c>
      <c r="E5126" s="2" t="s">
        <v>7620</v>
      </c>
      <c r="F5126" s="2" t="s">
        <v>7751</v>
      </c>
      <c r="G5126" s="2" t="s">
        <v>7621</v>
      </c>
    </row>
    <row r="5127" spans="1:7">
      <c r="A5127" s="3">
        <v>295</v>
      </c>
      <c r="B5127" s="3" t="s">
        <v>854</v>
      </c>
      <c r="C5127" s="3">
        <v>341</v>
      </c>
      <c r="D5127" s="3" t="s">
        <v>1052</v>
      </c>
      <c r="E5127" s="3" t="s">
        <v>7620</v>
      </c>
      <c r="F5127" s="3" t="s">
        <v>7608</v>
      </c>
      <c r="G5127" s="3" t="s">
        <v>7625</v>
      </c>
    </row>
    <row r="5128" spans="1:7">
      <c r="A5128" s="2">
        <v>295</v>
      </c>
      <c r="B5128" s="2" t="s">
        <v>854</v>
      </c>
      <c r="C5128" s="2">
        <v>343</v>
      </c>
      <c r="D5128" s="2" t="s">
        <v>977</v>
      </c>
      <c r="E5128" s="2" t="s">
        <v>7620</v>
      </c>
      <c r="F5128" s="2" t="s">
        <v>7635</v>
      </c>
      <c r="G5128" s="2" t="s">
        <v>7625</v>
      </c>
    </row>
    <row r="5129" spans="1:7">
      <c r="A5129" s="3">
        <v>296</v>
      </c>
      <c r="B5129" s="3" t="s">
        <v>854</v>
      </c>
      <c r="C5129" s="3">
        <v>341</v>
      </c>
      <c r="D5129" s="3" t="s">
        <v>1052</v>
      </c>
      <c r="E5129" s="3" t="s">
        <v>7620</v>
      </c>
      <c r="F5129" s="3" t="s">
        <v>7608</v>
      </c>
      <c r="G5129" s="3" t="s">
        <v>7625</v>
      </c>
    </row>
    <row r="5130" spans="1:7">
      <c r="A5130" s="2">
        <v>297</v>
      </c>
      <c r="B5130" s="2" t="s">
        <v>833</v>
      </c>
      <c r="C5130" s="2">
        <v>341</v>
      </c>
      <c r="D5130" s="2" t="s">
        <v>1052</v>
      </c>
      <c r="E5130" s="2" t="s">
        <v>7620</v>
      </c>
      <c r="F5130" s="2" t="s">
        <v>7608</v>
      </c>
      <c r="G5130" s="2" t="s">
        <v>7625</v>
      </c>
    </row>
    <row r="5131" spans="1:7">
      <c r="A5131" s="3">
        <v>301</v>
      </c>
      <c r="B5131" s="3" t="s">
        <v>850</v>
      </c>
      <c r="C5131" s="3">
        <v>341</v>
      </c>
      <c r="D5131" s="3" t="s">
        <v>1052</v>
      </c>
      <c r="E5131" s="3" t="s">
        <v>7655</v>
      </c>
      <c r="F5131" s="3" t="s">
        <v>7650</v>
      </c>
      <c r="G5131" s="3" t="s">
        <v>7634</v>
      </c>
    </row>
    <row r="5132" spans="1:7">
      <c r="A5132" s="2">
        <v>301</v>
      </c>
      <c r="B5132" s="2" t="s">
        <v>850</v>
      </c>
      <c r="C5132" s="2">
        <v>343</v>
      </c>
      <c r="D5132" s="2" t="s">
        <v>977</v>
      </c>
      <c r="E5132" s="2" t="s">
        <v>7620</v>
      </c>
      <c r="F5132" s="2" t="s">
        <v>7650</v>
      </c>
      <c r="G5132" s="2" t="s">
        <v>7625</v>
      </c>
    </row>
    <row r="5133" spans="1:7">
      <c r="A5133" s="3">
        <v>302</v>
      </c>
      <c r="B5133" s="3" t="s">
        <v>916</v>
      </c>
      <c r="C5133" s="3">
        <v>341</v>
      </c>
      <c r="D5133" s="3" t="s">
        <v>1052</v>
      </c>
      <c r="E5133" s="3" t="s">
        <v>7620</v>
      </c>
      <c r="F5133" s="3" t="s">
        <v>7611</v>
      </c>
      <c r="G5133" s="3" t="s">
        <v>7621</v>
      </c>
    </row>
    <row r="5134" spans="1:7">
      <c r="A5134" s="2">
        <v>302</v>
      </c>
      <c r="B5134" s="2" t="s">
        <v>916</v>
      </c>
      <c r="C5134" s="2">
        <v>343</v>
      </c>
      <c r="D5134" s="2" t="s">
        <v>977</v>
      </c>
      <c r="E5134" s="2" t="s">
        <v>7620</v>
      </c>
      <c r="F5134" s="2" t="s">
        <v>7628</v>
      </c>
      <c r="G5134" s="2" t="s">
        <v>7622</v>
      </c>
    </row>
    <row r="5135" spans="1:7">
      <c r="A5135" s="3">
        <v>303</v>
      </c>
      <c r="B5135" s="3" t="s">
        <v>854</v>
      </c>
      <c r="C5135" s="3">
        <v>341</v>
      </c>
      <c r="D5135" s="3" t="s">
        <v>1052</v>
      </c>
      <c r="E5135" s="3" t="s">
        <v>7620</v>
      </c>
      <c r="F5135" s="3" t="s">
        <v>7611</v>
      </c>
      <c r="G5135" s="3" t="s">
        <v>7622</v>
      </c>
    </row>
    <row r="5136" spans="1:7">
      <c r="A5136" s="2">
        <v>303</v>
      </c>
      <c r="B5136" s="2" t="s">
        <v>854</v>
      </c>
      <c r="C5136" s="2">
        <v>343</v>
      </c>
      <c r="D5136" s="2" t="s">
        <v>977</v>
      </c>
      <c r="E5136" s="2" t="s">
        <v>7620</v>
      </c>
      <c r="F5136" s="2" t="s">
        <v>7611</v>
      </c>
      <c r="G5136" s="2" t="s">
        <v>7621</v>
      </c>
    </row>
    <row r="5137" spans="1:7">
      <c r="A5137" s="3">
        <v>304</v>
      </c>
      <c r="B5137" s="3" t="s">
        <v>854</v>
      </c>
      <c r="C5137" s="3">
        <v>341</v>
      </c>
      <c r="D5137" s="3" t="s">
        <v>1052</v>
      </c>
      <c r="E5137" s="3" t="s">
        <v>7620</v>
      </c>
      <c r="F5137" s="3" t="s">
        <v>7608</v>
      </c>
      <c r="G5137" s="3" t="s">
        <v>7625</v>
      </c>
    </row>
    <row r="5138" spans="1:7">
      <c r="A5138" s="2">
        <v>305</v>
      </c>
      <c r="B5138" s="2" t="s">
        <v>854</v>
      </c>
      <c r="C5138" s="2">
        <v>341</v>
      </c>
      <c r="D5138" s="2" t="s">
        <v>1052</v>
      </c>
      <c r="E5138" s="2" t="s">
        <v>7620</v>
      </c>
      <c r="F5138" s="2" t="s">
        <v>7608</v>
      </c>
      <c r="G5138" s="2" t="s">
        <v>7625</v>
      </c>
    </row>
    <row r="5139" spans="1:7">
      <c r="A5139" s="3">
        <v>307</v>
      </c>
      <c r="B5139" s="3" t="s">
        <v>854</v>
      </c>
      <c r="C5139" s="3">
        <v>341</v>
      </c>
      <c r="D5139" s="3" t="s">
        <v>1052</v>
      </c>
      <c r="E5139" s="3" t="s">
        <v>7620</v>
      </c>
      <c r="F5139" s="3" t="s">
        <v>7611</v>
      </c>
      <c r="G5139" s="3" t="s">
        <v>7625</v>
      </c>
    </row>
    <row r="5140" spans="1:7">
      <c r="A5140" s="2">
        <v>307</v>
      </c>
      <c r="B5140" s="2" t="s">
        <v>854</v>
      </c>
      <c r="C5140" s="2">
        <v>343</v>
      </c>
      <c r="D5140" s="2" t="s">
        <v>977</v>
      </c>
      <c r="E5140" s="2" t="s">
        <v>7620</v>
      </c>
      <c r="F5140" s="2" t="s">
        <v>7611</v>
      </c>
      <c r="G5140" s="2" t="s">
        <v>7625</v>
      </c>
    </row>
    <row r="5141" spans="1:7">
      <c r="A5141" s="3">
        <v>311</v>
      </c>
      <c r="B5141" s="3" t="s">
        <v>954</v>
      </c>
      <c r="C5141" s="3">
        <v>343</v>
      </c>
      <c r="D5141" s="3" t="s">
        <v>977</v>
      </c>
      <c r="E5141" s="3" t="s">
        <v>7635</v>
      </c>
      <c r="F5141" s="3" t="s">
        <v>7635</v>
      </c>
      <c r="G5141" s="3" t="s">
        <v>7621</v>
      </c>
    </row>
    <row r="5142" spans="1:7">
      <c r="A5142" s="2">
        <v>312</v>
      </c>
      <c r="B5142" s="2" t="s">
        <v>949</v>
      </c>
      <c r="C5142" s="2">
        <v>328</v>
      </c>
      <c r="D5142" s="2" t="s">
        <v>1026</v>
      </c>
      <c r="E5142" s="2" t="s">
        <v>7608</v>
      </c>
      <c r="F5142" s="2" t="s">
        <v>7717</v>
      </c>
      <c r="G5142" s="2" t="s">
        <v>7625</v>
      </c>
    </row>
    <row r="5143" spans="1:7">
      <c r="A5143" s="3">
        <v>312</v>
      </c>
      <c r="B5143" s="3" t="s">
        <v>949</v>
      </c>
      <c r="C5143" s="3">
        <v>334</v>
      </c>
      <c r="D5143" s="3" t="s">
        <v>970</v>
      </c>
      <c r="E5143" s="3" t="s">
        <v>7608</v>
      </c>
      <c r="F5143" s="3" t="s">
        <v>7659</v>
      </c>
      <c r="G5143" s="3" t="s">
        <v>7625</v>
      </c>
    </row>
    <row r="5144" spans="1:7">
      <c r="A5144" s="2">
        <v>312</v>
      </c>
      <c r="B5144" s="2" t="s">
        <v>949</v>
      </c>
      <c r="C5144" s="2">
        <v>341</v>
      </c>
      <c r="D5144" s="2" t="s">
        <v>1052</v>
      </c>
      <c r="E5144" s="2" t="s">
        <v>7750</v>
      </c>
      <c r="F5144" s="2" t="s">
        <v>7649</v>
      </c>
      <c r="G5144" s="2" t="s">
        <v>7633</v>
      </c>
    </row>
    <row r="5145" spans="1:7">
      <c r="A5145" s="3">
        <v>312</v>
      </c>
      <c r="B5145" s="3" t="s">
        <v>949</v>
      </c>
      <c r="C5145" s="3">
        <v>343</v>
      </c>
      <c r="D5145" s="3" t="s">
        <v>977</v>
      </c>
      <c r="E5145" s="3" t="s">
        <v>7635</v>
      </c>
      <c r="F5145" s="3" t="s">
        <v>7659</v>
      </c>
      <c r="G5145" s="3" t="s">
        <v>7636</v>
      </c>
    </row>
    <row r="5146" spans="1:7">
      <c r="A5146" s="2">
        <v>312</v>
      </c>
      <c r="B5146" s="2" t="s">
        <v>949</v>
      </c>
      <c r="C5146" s="2">
        <v>406</v>
      </c>
      <c r="D5146" s="2" t="s">
        <v>1114</v>
      </c>
      <c r="E5146" s="2" t="s">
        <v>7608</v>
      </c>
      <c r="F5146" s="2" t="s">
        <v>7631</v>
      </c>
      <c r="G5146" s="2" t="s">
        <v>7625</v>
      </c>
    </row>
    <row r="5147" spans="1:7">
      <c r="A5147" s="3">
        <v>314</v>
      </c>
      <c r="B5147" s="3" t="s">
        <v>1050</v>
      </c>
      <c r="C5147" s="3">
        <v>343</v>
      </c>
      <c r="D5147" s="3" t="s">
        <v>977</v>
      </c>
      <c r="E5147" s="3" t="s">
        <v>7635</v>
      </c>
      <c r="F5147" s="3" t="s">
        <v>7652</v>
      </c>
      <c r="G5147" s="3" t="s">
        <v>7609</v>
      </c>
    </row>
    <row r="5148" spans="1:7">
      <c r="A5148" s="2">
        <v>316</v>
      </c>
      <c r="B5148" s="2" t="s">
        <v>1028</v>
      </c>
      <c r="C5148" s="2">
        <v>341</v>
      </c>
      <c r="D5148" s="2" t="s">
        <v>1052</v>
      </c>
      <c r="E5148" s="2" t="s">
        <v>7620</v>
      </c>
      <c r="F5148" s="2" t="s">
        <v>7650</v>
      </c>
      <c r="G5148" s="2" t="s">
        <v>7622</v>
      </c>
    </row>
    <row r="5149" spans="1:7">
      <c r="A5149" s="3">
        <v>316</v>
      </c>
      <c r="B5149" s="3" t="s">
        <v>1028</v>
      </c>
      <c r="C5149" s="3">
        <v>343</v>
      </c>
      <c r="D5149" s="3" t="s">
        <v>977</v>
      </c>
      <c r="E5149" s="3" t="s">
        <v>7620</v>
      </c>
      <c r="F5149" s="3" t="s">
        <v>7650</v>
      </c>
      <c r="G5149" s="3" t="s">
        <v>7621</v>
      </c>
    </row>
    <row r="5150" spans="1:7">
      <c r="A5150" s="2">
        <v>317</v>
      </c>
      <c r="B5150" s="2" t="s">
        <v>1030</v>
      </c>
      <c r="C5150" s="2">
        <v>341</v>
      </c>
      <c r="D5150" s="2" t="s">
        <v>1052</v>
      </c>
      <c r="E5150" s="2" t="s">
        <v>7620</v>
      </c>
      <c r="F5150" s="2" t="s">
        <v>7611</v>
      </c>
      <c r="G5150" s="2" t="s">
        <v>7633</v>
      </c>
    </row>
    <row r="5151" spans="1:7">
      <c r="A5151" s="3">
        <v>317</v>
      </c>
      <c r="B5151" s="3" t="s">
        <v>1030</v>
      </c>
      <c r="C5151" s="3">
        <v>343</v>
      </c>
      <c r="D5151" s="3" t="s">
        <v>977</v>
      </c>
      <c r="E5151" s="3" t="s">
        <v>7620</v>
      </c>
      <c r="F5151" s="3" t="s">
        <v>7611</v>
      </c>
      <c r="G5151" s="3" t="s">
        <v>7625</v>
      </c>
    </row>
    <row r="5152" spans="1:7">
      <c r="A5152" s="2">
        <v>318</v>
      </c>
      <c r="B5152" s="2" t="s">
        <v>1032</v>
      </c>
      <c r="C5152" s="2">
        <v>341</v>
      </c>
      <c r="D5152" s="2" t="s">
        <v>1052</v>
      </c>
      <c r="E5152" s="2" t="s">
        <v>7620</v>
      </c>
      <c r="F5152" s="2" t="s">
        <v>7611</v>
      </c>
      <c r="G5152" s="2" t="s">
        <v>7622</v>
      </c>
    </row>
    <row r="5153" spans="1:7">
      <c r="A5153" s="3">
        <v>318</v>
      </c>
      <c r="B5153" s="3" t="s">
        <v>1032</v>
      </c>
      <c r="C5153" s="3">
        <v>343</v>
      </c>
      <c r="D5153" s="3" t="s">
        <v>977</v>
      </c>
      <c r="E5153" s="3" t="s">
        <v>7620</v>
      </c>
      <c r="F5153" s="3" t="s">
        <v>7611</v>
      </c>
      <c r="G5153" s="3" t="s">
        <v>7625</v>
      </c>
    </row>
    <row r="5154" spans="1:7">
      <c r="A5154" s="2">
        <v>319</v>
      </c>
      <c r="B5154" s="2" t="s">
        <v>1035</v>
      </c>
      <c r="C5154" s="2">
        <v>343</v>
      </c>
      <c r="D5154" s="2" t="s">
        <v>977</v>
      </c>
      <c r="E5154" s="2" t="s">
        <v>7635</v>
      </c>
      <c r="F5154" s="2" t="s">
        <v>7628</v>
      </c>
      <c r="G5154" s="2" t="s">
        <v>7609</v>
      </c>
    </row>
    <row r="5155" spans="1:7">
      <c r="A5155" s="3">
        <v>320</v>
      </c>
      <c r="B5155" s="3" t="s">
        <v>1039</v>
      </c>
      <c r="C5155" s="3">
        <v>341</v>
      </c>
      <c r="D5155" s="3" t="s">
        <v>1052</v>
      </c>
      <c r="E5155" s="3" t="s">
        <v>7750</v>
      </c>
      <c r="F5155" s="3" t="s">
        <v>7650</v>
      </c>
      <c r="G5155" s="3" t="s">
        <v>7621</v>
      </c>
    </row>
    <row r="5156" spans="1:7">
      <c r="A5156" s="2">
        <v>320</v>
      </c>
      <c r="B5156" s="2" t="s">
        <v>1039</v>
      </c>
      <c r="C5156" s="2">
        <v>343</v>
      </c>
      <c r="D5156" s="2" t="s">
        <v>977</v>
      </c>
      <c r="E5156" s="2" t="s">
        <v>7743</v>
      </c>
      <c r="F5156" s="2" t="s">
        <v>7652</v>
      </c>
      <c r="G5156" s="2" t="s">
        <v>7641</v>
      </c>
    </row>
    <row r="5157" spans="1:7">
      <c r="A5157" s="3">
        <v>321</v>
      </c>
      <c r="B5157" s="3" t="s">
        <v>1048</v>
      </c>
      <c r="C5157" s="3">
        <v>341</v>
      </c>
      <c r="D5157" s="3" t="s">
        <v>1052</v>
      </c>
      <c r="E5157" s="3" t="s">
        <v>7620</v>
      </c>
      <c r="F5157" s="3" t="s">
        <v>7649</v>
      </c>
      <c r="G5157" s="3" t="s">
        <v>7636</v>
      </c>
    </row>
    <row r="5158" spans="1:7">
      <c r="A5158" s="2">
        <v>321</v>
      </c>
      <c r="B5158" s="2" t="s">
        <v>1048</v>
      </c>
      <c r="C5158" s="2">
        <v>343</v>
      </c>
      <c r="D5158" s="2" t="s">
        <v>977</v>
      </c>
      <c r="E5158" s="2" t="s">
        <v>7620</v>
      </c>
      <c r="F5158" s="2" t="s">
        <v>7649</v>
      </c>
      <c r="G5158" s="2" t="s">
        <v>7622</v>
      </c>
    </row>
    <row r="5159" spans="1:7">
      <c r="A5159" s="3">
        <v>322</v>
      </c>
      <c r="B5159" s="3" t="s">
        <v>1012</v>
      </c>
      <c r="C5159" s="3">
        <v>343</v>
      </c>
      <c r="D5159" s="3" t="s">
        <v>977</v>
      </c>
      <c r="E5159" s="3" t="s">
        <v>7743</v>
      </c>
      <c r="F5159" s="3" t="s">
        <v>7652</v>
      </c>
      <c r="G5159" s="3" t="s">
        <v>7641</v>
      </c>
    </row>
    <row r="5160" spans="1:7">
      <c r="A5160" s="2">
        <v>323</v>
      </c>
      <c r="B5160" s="2" t="s">
        <v>1016</v>
      </c>
      <c r="C5160" s="2">
        <v>341</v>
      </c>
      <c r="D5160" s="2" t="s">
        <v>1052</v>
      </c>
      <c r="E5160" s="2" t="s">
        <v>7620</v>
      </c>
      <c r="F5160" s="2" t="s">
        <v>7649</v>
      </c>
      <c r="G5160" s="2" t="s">
        <v>7617</v>
      </c>
    </row>
    <row r="5161" spans="1:7">
      <c r="A5161" s="3">
        <v>323</v>
      </c>
      <c r="B5161" s="3" t="s">
        <v>1016</v>
      </c>
      <c r="C5161" s="3">
        <v>343</v>
      </c>
      <c r="D5161" s="3" t="s">
        <v>977</v>
      </c>
      <c r="E5161" s="3" t="s">
        <v>7620</v>
      </c>
      <c r="F5161" s="3" t="s">
        <v>7752</v>
      </c>
      <c r="G5161" s="3" t="s">
        <v>7617</v>
      </c>
    </row>
    <row r="5162" spans="1:7">
      <c r="A5162" s="2">
        <v>325</v>
      </c>
      <c r="B5162" s="2" t="s">
        <v>1020</v>
      </c>
      <c r="C5162" s="2">
        <v>341</v>
      </c>
      <c r="D5162" s="2" t="s">
        <v>1052</v>
      </c>
      <c r="E5162" s="2" t="s">
        <v>7620</v>
      </c>
      <c r="F5162" s="2" t="s">
        <v>7611</v>
      </c>
      <c r="G5162" s="2" t="s">
        <v>7622</v>
      </c>
    </row>
    <row r="5163" spans="1:7">
      <c r="A5163" s="3">
        <v>325</v>
      </c>
      <c r="B5163" s="3" t="s">
        <v>1020</v>
      </c>
      <c r="C5163" s="3">
        <v>343</v>
      </c>
      <c r="D5163" s="3" t="s">
        <v>977</v>
      </c>
      <c r="E5163" s="3" t="s">
        <v>7620</v>
      </c>
      <c r="F5163" s="3" t="s">
        <v>7611</v>
      </c>
      <c r="G5163" s="3" t="s">
        <v>7621</v>
      </c>
    </row>
    <row r="5164" spans="1:7">
      <c r="A5164" s="2">
        <v>326</v>
      </c>
      <c r="B5164" s="2" t="s">
        <v>1022</v>
      </c>
      <c r="C5164" s="2">
        <v>341</v>
      </c>
      <c r="D5164" s="2" t="s">
        <v>1052</v>
      </c>
      <c r="E5164" s="2" t="s">
        <v>7620</v>
      </c>
      <c r="F5164" s="2" t="s">
        <v>7611</v>
      </c>
      <c r="G5164" s="2" t="s">
        <v>7622</v>
      </c>
    </row>
    <row r="5165" spans="1:7">
      <c r="A5165" s="3">
        <v>326</v>
      </c>
      <c r="B5165" s="3" t="s">
        <v>1022</v>
      </c>
      <c r="C5165" s="3">
        <v>343</v>
      </c>
      <c r="D5165" s="3" t="s">
        <v>977</v>
      </c>
      <c r="E5165" s="3" t="s">
        <v>7620</v>
      </c>
      <c r="F5165" s="3" t="s">
        <v>7628</v>
      </c>
      <c r="G5165" s="3" t="s">
        <v>7633</v>
      </c>
    </row>
    <row r="5166" spans="1:7">
      <c r="A5166" s="2">
        <v>327</v>
      </c>
      <c r="B5166" s="2" t="s">
        <v>1025</v>
      </c>
      <c r="C5166" s="2">
        <v>341</v>
      </c>
      <c r="D5166" s="2" t="s">
        <v>1052</v>
      </c>
      <c r="E5166" s="2" t="s">
        <v>7620</v>
      </c>
      <c r="F5166" s="2" t="s">
        <v>7611</v>
      </c>
      <c r="G5166" s="2" t="s">
        <v>7621</v>
      </c>
    </row>
    <row r="5167" spans="1:7">
      <c r="A5167" s="3">
        <v>327</v>
      </c>
      <c r="B5167" s="3" t="s">
        <v>1025</v>
      </c>
      <c r="C5167" s="3">
        <v>343</v>
      </c>
      <c r="D5167" s="3" t="s">
        <v>977</v>
      </c>
      <c r="E5167" s="3" t="s">
        <v>7620</v>
      </c>
      <c r="F5167" s="3" t="s">
        <v>7628</v>
      </c>
      <c r="G5167" s="3" t="s">
        <v>7622</v>
      </c>
    </row>
    <row r="5168" spans="1:7">
      <c r="A5168" s="2">
        <v>328</v>
      </c>
      <c r="B5168" s="2" t="s">
        <v>1026</v>
      </c>
      <c r="C5168" s="2">
        <v>341</v>
      </c>
      <c r="D5168" s="2" t="s">
        <v>1052</v>
      </c>
      <c r="E5168" s="2" t="s">
        <v>7620</v>
      </c>
      <c r="F5168" s="2" t="s">
        <v>7649</v>
      </c>
      <c r="G5168" s="2" t="s">
        <v>7609</v>
      </c>
    </row>
    <row r="5169" spans="1:7">
      <c r="A5169" s="3">
        <v>328</v>
      </c>
      <c r="B5169" s="3" t="s">
        <v>1026</v>
      </c>
      <c r="C5169" s="3">
        <v>343</v>
      </c>
      <c r="D5169" s="3" t="s">
        <v>977</v>
      </c>
      <c r="E5169" s="3" t="s">
        <v>7620</v>
      </c>
      <c r="F5169" s="3" t="s">
        <v>7649</v>
      </c>
      <c r="G5169" s="3" t="s">
        <v>7622</v>
      </c>
    </row>
    <row r="5170" spans="1:7">
      <c r="A5170" s="2">
        <v>329</v>
      </c>
      <c r="B5170" s="2" t="s">
        <v>965</v>
      </c>
      <c r="C5170" s="2">
        <v>341</v>
      </c>
      <c r="D5170" s="2" t="s">
        <v>1052</v>
      </c>
      <c r="E5170" s="2" t="s">
        <v>7620</v>
      </c>
      <c r="F5170" s="2" t="s">
        <v>7649</v>
      </c>
      <c r="G5170" s="2" t="s">
        <v>7633</v>
      </c>
    </row>
    <row r="5171" spans="1:7">
      <c r="A5171" s="3">
        <v>329</v>
      </c>
      <c r="B5171" s="3" t="s">
        <v>965</v>
      </c>
      <c r="C5171" s="3">
        <v>343</v>
      </c>
      <c r="D5171" s="3" t="s">
        <v>977</v>
      </c>
      <c r="E5171" s="3" t="s">
        <v>7620</v>
      </c>
      <c r="F5171" s="3" t="s">
        <v>7649</v>
      </c>
      <c r="G5171" s="3" t="s">
        <v>7633</v>
      </c>
    </row>
    <row r="5172" spans="1:7">
      <c r="A5172" s="2">
        <v>330</v>
      </c>
      <c r="B5172" s="2" t="s">
        <v>974</v>
      </c>
      <c r="C5172" s="2">
        <v>341</v>
      </c>
      <c r="D5172" s="2" t="s">
        <v>1052</v>
      </c>
      <c r="E5172" s="2" t="s">
        <v>7620</v>
      </c>
      <c r="F5172" s="2" t="s">
        <v>7650</v>
      </c>
      <c r="G5172" s="2" t="s">
        <v>7622</v>
      </c>
    </row>
    <row r="5173" spans="1:7">
      <c r="A5173" s="3">
        <v>330</v>
      </c>
      <c r="B5173" s="3" t="s">
        <v>974</v>
      </c>
      <c r="C5173" s="3">
        <v>343</v>
      </c>
      <c r="D5173" s="3" t="s">
        <v>977</v>
      </c>
      <c r="E5173" s="3" t="s">
        <v>7620</v>
      </c>
      <c r="F5173" s="3" t="s">
        <v>7652</v>
      </c>
      <c r="G5173" s="3" t="s">
        <v>7633</v>
      </c>
    </row>
    <row r="5174" spans="1:7">
      <c r="A5174" s="2">
        <v>333</v>
      </c>
      <c r="B5174" s="2" t="s">
        <v>989</v>
      </c>
      <c r="C5174" s="2">
        <v>341</v>
      </c>
      <c r="D5174" s="2" t="s">
        <v>1052</v>
      </c>
      <c r="E5174" s="2" t="s">
        <v>7620</v>
      </c>
      <c r="F5174" s="2" t="s">
        <v>7649</v>
      </c>
      <c r="G5174" s="2" t="s">
        <v>7633</v>
      </c>
    </row>
    <row r="5175" spans="1:7">
      <c r="A5175" s="3">
        <v>333</v>
      </c>
      <c r="B5175" s="3" t="s">
        <v>989</v>
      </c>
      <c r="C5175" s="3">
        <v>343</v>
      </c>
      <c r="D5175" s="3" t="s">
        <v>977</v>
      </c>
      <c r="E5175" s="3" t="s">
        <v>7620</v>
      </c>
      <c r="F5175" s="3" t="s">
        <v>7649</v>
      </c>
      <c r="G5175" s="3" t="s">
        <v>7622</v>
      </c>
    </row>
    <row r="5176" spans="1:7">
      <c r="A5176" s="2">
        <v>334</v>
      </c>
      <c r="B5176" s="2" t="s">
        <v>970</v>
      </c>
      <c r="C5176" s="2">
        <v>341</v>
      </c>
      <c r="D5176" s="2" t="s">
        <v>1052</v>
      </c>
      <c r="E5176" s="2" t="s">
        <v>7655</v>
      </c>
      <c r="F5176" s="2" t="s">
        <v>7649</v>
      </c>
      <c r="G5176" s="2" t="s">
        <v>7619</v>
      </c>
    </row>
    <row r="5177" spans="1:7">
      <c r="A5177" s="3">
        <v>334</v>
      </c>
      <c r="B5177" s="3" t="s">
        <v>970</v>
      </c>
      <c r="C5177" s="3">
        <v>343</v>
      </c>
      <c r="D5177" s="3" t="s">
        <v>977</v>
      </c>
      <c r="E5177" s="3" t="s">
        <v>7620</v>
      </c>
      <c r="F5177" s="3" t="s">
        <v>7659</v>
      </c>
      <c r="G5177" s="3" t="s">
        <v>7617</v>
      </c>
    </row>
    <row r="5178" spans="1:7">
      <c r="A5178" s="2">
        <v>335</v>
      </c>
      <c r="B5178" s="2" t="s">
        <v>1057</v>
      </c>
      <c r="C5178" s="2">
        <v>341</v>
      </c>
      <c r="D5178" s="2" t="s">
        <v>1052</v>
      </c>
      <c r="E5178" s="2" t="s">
        <v>7620</v>
      </c>
      <c r="F5178" s="2" t="s">
        <v>7611</v>
      </c>
      <c r="G5178" s="2" t="s">
        <v>7621</v>
      </c>
    </row>
    <row r="5179" spans="1:7">
      <c r="A5179" s="3">
        <v>335</v>
      </c>
      <c r="B5179" s="3" t="s">
        <v>1057</v>
      </c>
      <c r="C5179" s="3">
        <v>343</v>
      </c>
      <c r="D5179" s="3" t="s">
        <v>977</v>
      </c>
      <c r="E5179" s="3" t="s">
        <v>7620</v>
      </c>
      <c r="F5179" s="3" t="s">
        <v>7611</v>
      </c>
      <c r="G5179" s="3" t="s">
        <v>7625</v>
      </c>
    </row>
    <row r="5180" spans="1:7">
      <c r="A5180" s="2">
        <v>336</v>
      </c>
      <c r="B5180" s="2" t="s">
        <v>992</v>
      </c>
      <c r="C5180" s="2">
        <v>341</v>
      </c>
      <c r="D5180" s="2" t="s">
        <v>1052</v>
      </c>
      <c r="E5180" s="2" t="s">
        <v>7620</v>
      </c>
      <c r="F5180" s="2" t="s">
        <v>7611</v>
      </c>
      <c r="G5180" s="2" t="s">
        <v>7625</v>
      </c>
    </row>
    <row r="5181" spans="1:7">
      <c r="A5181" s="3">
        <v>336</v>
      </c>
      <c r="B5181" s="3" t="s">
        <v>992</v>
      </c>
      <c r="C5181" s="3">
        <v>343</v>
      </c>
      <c r="D5181" s="3" t="s">
        <v>977</v>
      </c>
      <c r="E5181" s="3" t="s">
        <v>7620</v>
      </c>
      <c r="F5181" s="3" t="s">
        <v>7611</v>
      </c>
      <c r="G5181" s="3" t="s">
        <v>7625</v>
      </c>
    </row>
    <row r="5182" spans="1:7">
      <c r="A5182" s="2">
        <v>337</v>
      </c>
      <c r="B5182" s="2" t="s">
        <v>1042</v>
      </c>
      <c r="C5182" s="2">
        <v>341</v>
      </c>
      <c r="D5182" s="2" t="s">
        <v>1052</v>
      </c>
      <c r="E5182" s="2" t="s">
        <v>7620</v>
      </c>
      <c r="F5182" s="2" t="s">
        <v>7649</v>
      </c>
      <c r="G5182" s="2" t="s">
        <v>7609</v>
      </c>
    </row>
    <row r="5183" spans="1:7">
      <c r="A5183" s="3">
        <v>337</v>
      </c>
      <c r="B5183" s="3" t="s">
        <v>1042</v>
      </c>
      <c r="C5183" s="3">
        <v>343</v>
      </c>
      <c r="D5183" s="3" t="s">
        <v>977</v>
      </c>
      <c r="E5183" s="3" t="s">
        <v>7620</v>
      </c>
      <c r="F5183" s="3" t="s">
        <v>7649</v>
      </c>
      <c r="G5183" s="3" t="s">
        <v>7622</v>
      </c>
    </row>
    <row r="5184" spans="1:7">
      <c r="A5184" s="2">
        <v>338</v>
      </c>
      <c r="B5184" s="2" t="s">
        <v>996</v>
      </c>
      <c r="C5184" s="2">
        <v>341</v>
      </c>
      <c r="D5184" s="2" t="s">
        <v>1052</v>
      </c>
      <c r="E5184" s="2" t="s">
        <v>7620</v>
      </c>
      <c r="F5184" s="2" t="s">
        <v>7649</v>
      </c>
      <c r="G5184" s="2" t="s">
        <v>7622</v>
      </c>
    </row>
    <row r="5185" spans="1:7">
      <c r="A5185" s="3">
        <v>338</v>
      </c>
      <c r="B5185" s="3" t="s">
        <v>996</v>
      </c>
      <c r="C5185" s="3">
        <v>343</v>
      </c>
      <c r="D5185" s="3" t="s">
        <v>977</v>
      </c>
      <c r="E5185" s="3" t="s">
        <v>7620</v>
      </c>
      <c r="F5185" s="3" t="s">
        <v>7649</v>
      </c>
      <c r="G5185" s="3" t="s">
        <v>7622</v>
      </c>
    </row>
    <row r="5186" spans="1:7">
      <c r="A5186" s="2">
        <v>339</v>
      </c>
      <c r="B5186" s="2" t="s">
        <v>1058</v>
      </c>
      <c r="C5186" s="2">
        <v>341</v>
      </c>
      <c r="D5186" s="2" t="s">
        <v>1052</v>
      </c>
      <c r="E5186" s="2" t="s">
        <v>7620</v>
      </c>
      <c r="F5186" s="2" t="s">
        <v>7611</v>
      </c>
      <c r="G5186" s="2" t="s">
        <v>7621</v>
      </c>
    </row>
    <row r="5187" spans="1:7">
      <c r="A5187" s="3">
        <v>339</v>
      </c>
      <c r="B5187" s="3" t="s">
        <v>1058</v>
      </c>
      <c r="C5187" s="3">
        <v>343</v>
      </c>
      <c r="D5187" s="3" t="s">
        <v>977</v>
      </c>
      <c r="E5187" s="3" t="s">
        <v>7620</v>
      </c>
      <c r="F5187" s="3" t="s">
        <v>7611</v>
      </c>
      <c r="G5187" s="3" t="s">
        <v>7625</v>
      </c>
    </row>
    <row r="5188" spans="1:7">
      <c r="A5188" s="2">
        <v>340</v>
      </c>
      <c r="B5188" s="2" t="s">
        <v>1000</v>
      </c>
      <c r="C5188" s="2">
        <v>341</v>
      </c>
      <c r="D5188" s="2" t="s">
        <v>1052</v>
      </c>
      <c r="E5188" s="2" t="s">
        <v>7620</v>
      </c>
      <c r="F5188" s="2" t="s">
        <v>7650</v>
      </c>
      <c r="G5188" s="2" t="s">
        <v>7622</v>
      </c>
    </row>
    <row r="5189" spans="1:7">
      <c r="A5189" s="3">
        <v>340</v>
      </c>
      <c r="B5189" s="3" t="s">
        <v>1000</v>
      </c>
      <c r="C5189" s="3">
        <v>343</v>
      </c>
      <c r="D5189" s="3" t="s">
        <v>977</v>
      </c>
      <c r="E5189" s="3" t="s">
        <v>7620</v>
      </c>
      <c r="F5189" s="3" t="s">
        <v>7650</v>
      </c>
      <c r="G5189" s="3" t="s">
        <v>7621</v>
      </c>
    </row>
    <row r="5190" spans="1:7">
      <c r="A5190" s="2">
        <v>341</v>
      </c>
      <c r="B5190" s="2" t="s">
        <v>1052</v>
      </c>
      <c r="C5190" s="2">
        <v>343</v>
      </c>
      <c r="D5190" s="2" t="s">
        <v>977</v>
      </c>
      <c r="E5190" s="2" t="s">
        <v>7620</v>
      </c>
      <c r="F5190" s="2" t="s">
        <v>7649</v>
      </c>
      <c r="G5190" s="2" t="s">
        <v>7622</v>
      </c>
    </row>
    <row r="5191" spans="1:7">
      <c r="A5191" s="3">
        <v>341</v>
      </c>
      <c r="B5191" s="3" t="s">
        <v>1052</v>
      </c>
      <c r="C5191" s="3">
        <v>405</v>
      </c>
      <c r="D5191" s="3" t="s">
        <v>1110</v>
      </c>
      <c r="E5191" s="3" t="s">
        <v>7620</v>
      </c>
      <c r="F5191" s="3" t="s">
        <v>7611</v>
      </c>
      <c r="G5191" s="3" t="s">
        <v>7621</v>
      </c>
    </row>
    <row r="5192" spans="1:7">
      <c r="A5192" s="2">
        <v>341</v>
      </c>
      <c r="B5192" s="2" t="s">
        <v>1052</v>
      </c>
      <c r="C5192" s="2">
        <v>406</v>
      </c>
      <c r="D5192" s="2" t="s">
        <v>1114</v>
      </c>
      <c r="E5192" s="2" t="s">
        <v>7620</v>
      </c>
      <c r="F5192" s="2" t="s">
        <v>7611</v>
      </c>
      <c r="G5192" s="2" t="s">
        <v>7622</v>
      </c>
    </row>
    <row r="5193" spans="1:7">
      <c r="A5193" s="3">
        <v>341</v>
      </c>
      <c r="B5193" s="3" t="s">
        <v>1052</v>
      </c>
      <c r="C5193" s="3">
        <v>409</v>
      </c>
      <c r="D5193" s="3" t="s">
        <v>1126</v>
      </c>
      <c r="E5193" s="3" t="s">
        <v>7620</v>
      </c>
      <c r="F5193" s="3" t="s">
        <v>7611</v>
      </c>
      <c r="G5193" s="3" t="s">
        <v>7621</v>
      </c>
    </row>
    <row r="5194" spans="1:7">
      <c r="A5194" s="2">
        <v>341</v>
      </c>
      <c r="B5194" s="2" t="s">
        <v>1052</v>
      </c>
      <c r="C5194" s="2">
        <v>410</v>
      </c>
      <c r="D5194" s="2" t="s">
        <v>1123</v>
      </c>
      <c r="E5194" s="2" t="s">
        <v>7620</v>
      </c>
      <c r="F5194" s="2" t="s">
        <v>7611</v>
      </c>
      <c r="G5194" s="2" t="s">
        <v>7625</v>
      </c>
    </row>
    <row r="5195" spans="1:7">
      <c r="A5195" s="3">
        <v>342</v>
      </c>
      <c r="B5195" s="3" t="s">
        <v>854</v>
      </c>
      <c r="C5195" s="3">
        <v>343</v>
      </c>
      <c r="D5195" s="3" t="s">
        <v>977</v>
      </c>
      <c r="E5195" s="3" t="s">
        <v>7620</v>
      </c>
      <c r="F5195" s="3" t="s">
        <v>7751</v>
      </c>
      <c r="G5195" s="3" t="s">
        <v>7625</v>
      </c>
    </row>
    <row r="5196" spans="1:7">
      <c r="A5196" s="2">
        <v>343</v>
      </c>
      <c r="B5196" s="2" t="s">
        <v>977</v>
      </c>
      <c r="C5196" s="2">
        <v>405</v>
      </c>
      <c r="D5196" s="2" t="s">
        <v>1110</v>
      </c>
      <c r="E5196" s="2" t="s">
        <v>7620</v>
      </c>
      <c r="F5196" s="2" t="s">
        <v>7611</v>
      </c>
      <c r="G5196" s="2" t="s">
        <v>7625</v>
      </c>
    </row>
    <row r="5197" spans="1:7">
      <c r="A5197" s="3">
        <v>343</v>
      </c>
      <c r="B5197" s="3" t="s">
        <v>977</v>
      </c>
      <c r="C5197" s="3">
        <v>406</v>
      </c>
      <c r="D5197" s="3" t="s">
        <v>1114</v>
      </c>
      <c r="E5197" s="3" t="s">
        <v>7620</v>
      </c>
      <c r="F5197" s="3" t="s">
        <v>7628</v>
      </c>
      <c r="G5197" s="3" t="s">
        <v>7622</v>
      </c>
    </row>
    <row r="5198" spans="1:7">
      <c r="A5198" s="2">
        <v>343</v>
      </c>
      <c r="B5198" s="2" t="s">
        <v>977</v>
      </c>
      <c r="C5198" s="2">
        <v>409</v>
      </c>
      <c r="D5198" s="2" t="s">
        <v>1126</v>
      </c>
      <c r="E5198" s="2" t="s">
        <v>7620</v>
      </c>
      <c r="F5198" s="2" t="s">
        <v>7611</v>
      </c>
      <c r="G5198" s="2" t="s">
        <v>7625</v>
      </c>
    </row>
    <row r="5199" spans="1:7">
      <c r="A5199" s="3">
        <v>343</v>
      </c>
      <c r="B5199" s="3" t="s">
        <v>977</v>
      </c>
      <c r="C5199" s="3">
        <v>410</v>
      </c>
      <c r="D5199" s="3" t="s">
        <v>1123</v>
      </c>
      <c r="E5199" s="3" t="s">
        <v>7620</v>
      </c>
      <c r="F5199" s="3" t="s">
        <v>7611</v>
      </c>
      <c r="G5199" s="3" t="s">
        <v>7625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All Papers</vt:lpstr>
      <vt:lpstr>01-Core-DPF</vt:lpstr>
      <vt:lpstr>02-Z-Pinch</vt:lpstr>
      <vt:lpstr>03-MHD-Numerics</vt:lpstr>
      <vt:lpstr>04-Plasma-Physics</vt:lpstr>
      <vt:lpstr>05-Nuclear-Radiation</vt:lpstr>
      <vt:lpstr>06-Circuit-Engineering</vt:lpstr>
      <vt:lpstr>07-Diagnostics</vt:lpstr>
      <vt:lpstr>08-Electrodes-Materials</vt:lpstr>
      <vt:lpstr>09-Machine-Learning</vt:lpstr>
      <vt:lpstr>10-Uncertainty-Quantification</vt:lpstr>
      <vt:lpstr>12-Textbooks</vt:lpstr>
      <vt:lpstr>13-Computing</vt:lpstr>
      <vt:lpstr>15-Adjacent-Fields</vt:lpstr>
      <vt:lpstr>16-LAPD-Dataset-Plots</vt:lpstr>
      <vt:lpstr>17-Archive-Unsorted</vt:lpstr>
      <vt:lpstr>Equations</vt:lpstr>
      <vt:lpstr>Key Terms</vt:lpstr>
      <vt:lpstr>Methods Summary</vt:lpstr>
      <vt:lpstr>Domain Analysis</vt:lpstr>
      <vt:lpstr>AI-Physics Crossovers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2026-03-16T05:17:26Z</dcterms:created>
  <dcterms:modified xsi:type="dcterms:W3CDTF">2026-03-16T05:17:26Z</dcterms:modified>
</cp:coreProperties>
</file>